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vy\OneDrive\Desktop\Tecnico UAB\Estudio de CSC\Implementaciones Papers\Interactive Tool for CSC-based EC Simulation\data\Normalizados\"/>
    </mc:Choice>
  </mc:AlternateContent>
  <xr:revisionPtr revIDLastSave="0" documentId="13_ncr:1_{362BB79F-7C92-438B-82E9-53DDA26BFD30}" xr6:coauthVersionLast="47" xr6:coauthVersionMax="47" xr10:uidLastSave="{00000000-0000-0000-0000-000000000000}"/>
  <bookViews>
    <workbookView xWindow="-108" yWindow="-108" windowWidth="23256" windowHeight="12576" xr2:uid="{20A19A6B-9843-4A4F-9302-1262100428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61" i="1" l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<sst xmlns="http://schemas.openxmlformats.org/spreadsheetml/2006/main" count="8763" uniqueCount="8763">
  <si>
    <t>Consum_kWh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</si>
  <si>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</si>
  <si>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</si>
  <si>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</si>
  <si>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</si>
  <si>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</si>
  <si>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</si>
  <si>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</si>
  <si>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</si>
  <si>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</si>
  <si>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</si>
  <si>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</si>
  <si>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</si>
  <si>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</si>
  <si>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</si>
  <si>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</si>
  <si>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</si>
  <si>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</si>
  <si>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</si>
  <si>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</si>
  <si>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</si>
  <si>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</si>
  <si>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</si>
  <si>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</si>
  <si>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</si>
  <si>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</si>
  <si>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</si>
  <si>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</si>
  <si>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</si>
  <si>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</si>
  <si>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</si>
  <si>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</si>
  <si>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</si>
  <si>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</si>
  <si>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</si>
  <si>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</si>
  <si>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</si>
  <si>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</si>
  <si>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</si>
  <si>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</si>
  <si>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</si>
  <si>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</si>
  <si>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</si>
  <si>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</si>
  <si>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</si>
  <si>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</si>
  <si>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</si>
  <si>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</si>
  <si>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</si>
  <si>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</si>
  <si>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</si>
  <si>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</si>
  <si>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</si>
  <si>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</si>
  <si>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</si>
  <si>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</si>
  <si>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</si>
  <si>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</si>
  <si>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</si>
  <si>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</si>
  <si>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</si>
  <si>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</si>
  <si>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</si>
  <si>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</si>
  <si>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</si>
  <si>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</si>
  <si>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</si>
  <si>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</si>
  <si>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</si>
  <si>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</si>
  <si>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</si>
  <si>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</si>
  <si>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</si>
  <si>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</si>
  <si>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</si>
  <si>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</si>
  <si>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</si>
  <si>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</si>
  <si>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</si>
  <si>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</si>
  <si>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</si>
  <si>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</si>
  <si>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</si>
  <si>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</si>
  <si>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</si>
  <si>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</si>
  <si>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</si>
  <si>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</si>
  <si>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</si>
  <si>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</si>
  <si>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</si>
  <si>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</si>
  <si>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</si>
  <si>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</si>
  <si>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</si>
  <si>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</si>
  <si>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</si>
  <si>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</si>
  <si>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</si>
  <si>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</si>
  <si>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</si>
  <si>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</si>
  <si>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</si>
  <si>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</si>
  <si>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</si>
  <si>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</si>
  <si>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</si>
  <si>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</si>
  <si>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</si>
  <si>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</si>
  <si>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</si>
  <si>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</si>
  <si>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</si>
  <si>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</si>
  <si>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</si>
  <si>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</si>
  <si>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</si>
  <si>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</si>
  <si>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</si>
  <si>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</si>
  <si>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</si>
  <si>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</si>
  <si>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</si>
  <si>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</si>
  <si>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</si>
  <si>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</si>
  <si>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</si>
  <si>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</si>
  <si>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</si>
  <si>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</si>
  <si>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</si>
  <si>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</si>
  <si>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</si>
  <si>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</si>
  <si>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</si>
  <si>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</si>
  <si>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</si>
  <si>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</si>
  <si>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</si>
  <si>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</si>
  <si>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</si>
  <si>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</si>
  <si>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</si>
  <si>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</si>
  <si>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</si>
  <si>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</si>
  <si>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</si>
  <si>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</si>
  <si>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</si>
  <si>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</si>
  <si>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</si>
  <si>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</si>
  <si>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</si>
  <si>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</si>
  <si>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</si>
  <si>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</si>
  <si>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</si>
  <si>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</si>
  <si>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</si>
  <si>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</si>
  <si>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</si>
  <si>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</si>
  <si>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</si>
  <si>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</si>
  <si>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</si>
  <si>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</si>
  <si>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</si>
  <si>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</si>
  <si>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</si>
  <si>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</si>
  <si>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</si>
  <si>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</si>
  <si>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</si>
  <si>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</si>
  <si>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</si>
  <si>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</si>
  <si>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</si>
  <si>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</si>
  <si>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</si>
  <si>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</si>
  <si>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</si>
  <si>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</si>
  <si>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</si>
  <si>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</si>
  <si>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</si>
  <si>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</si>
  <si>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</si>
  <si>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</si>
  <si>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</si>
  <si>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</si>
  <si>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</si>
  <si>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</si>
  <si>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</si>
  <si>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</si>
  <si>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</si>
  <si>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</si>
  <si>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</si>
  <si>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</si>
  <si>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</si>
  <si>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</si>
  <si>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</si>
  <si>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</si>
  <si>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</si>
  <si>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</si>
  <si>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</si>
  <si>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</si>
  <si>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</si>
  <si>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</si>
  <si>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</si>
  <si>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</si>
  <si>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</si>
  <si>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</si>
  <si>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</si>
  <si>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</si>
  <si>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</si>
  <si>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</si>
  <si>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</si>
  <si>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</si>
  <si>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</si>
  <si>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</si>
  <si>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</si>
  <si>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</si>
  <si>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</si>
  <si>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</si>
  <si>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</si>
  <si>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</si>
  <si>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</si>
  <si>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</si>
  <si>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</si>
  <si>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</si>
  <si>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</si>
  <si>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</si>
  <si>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</si>
  <si>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</si>
  <si>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</si>
  <si>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</si>
  <si>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</si>
  <si>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</si>
  <si>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</si>
  <si>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</si>
  <si>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</si>
  <si>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</si>
  <si>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</si>
  <si>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</si>
  <si>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</si>
  <si>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</si>
  <si>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</si>
  <si>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</si>
  <si>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</si>
  <si>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</si>
  <si>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</si>
  <si>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</si>
  <si>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</si>
  <si>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</si>
  <si>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</si>
  <si>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</si>
  <si>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</si>
  <si>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</si>
  <si>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</si>
  <si>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</si>
  <si>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</si>
  <si>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</si>
  <si>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</si>
  <si>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</si>
  <si>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</si>
  <si>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</si>
  <si>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</si>
  <si>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</si>
  <si>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</si>
  <si>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</si>
  <si>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</si>
  <si>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</si>
  <si>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</si>
  <si>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</si>
  <si>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</si>
  <si>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</si>
  <si>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</si>
  <si>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</si>
  <si>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</si>
  <si>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</si>
  <si>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</si>
  <si>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</si>
  <si>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</si>
  <si>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</si>
  <si>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</si>
  <si>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</si>
  <si>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</si>
  <si>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</si>
  <si>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</si>
  <si>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</si>
  <si>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</si>
  <si>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</si>
  <si>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</si>
  <si>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</si>
  <si>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</si>
  <si>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</si>
  <si>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</si>
  <si>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</si>
  <si>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</si>
  <si>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</si>
  <si>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</si>
  <si>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</si>
  <si>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</si>
  <si>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</si>
  <si>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</si>
  <si>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</si>
  <si>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</si>
  <si>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</si>
  <si>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</si>
  <si>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</si>
  <si>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</si>
  <si>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</si>
  <si>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</si>
  <si>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</si>
  <si>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</si>
  <si>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</si>
  <si>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</si>
  <si>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</si>
  <si>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</si>
  <si>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</si>
  <si>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</si>
  <si>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</si>
  <si>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</si>
  <si>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</si>
  <si>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</si>
  <si>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</si>
  <si>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</si>
  <si>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</si>
  <si>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</si>
  <si>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</si>
  <si>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</si>
  <si>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</si>
  <si>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</si>
  <si>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</si>
  <si>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</si>
  <si>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</si>
  <si>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</si>
  <si>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</si>
  <si>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</si>
  <si>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</si>
  <si>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</si>
  <si>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</si>
  <si>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</si>
  <si>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</si>
  <si>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</si>
  <si>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</si>
  <si>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</si>
  <si>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</si>
  <si>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</si>
  <si>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</si>
  <si>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</si>
  <si>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</si>
  <si>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</si>
  <si>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</si>
  <si>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</si>
  <si>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</si>
  <si>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</si>
  <si>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</si>
  <si>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</si>
  <si>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</si>
  <si>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</si>
  <si>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</si>
  <si>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</si>
  <si>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</si>
  <si>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</si>
  <si>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</si>
  <si>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</si>
  <si>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</si>
  <si>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</si>
  <si>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</si>
  <si>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</si>
  <si>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</si>
  <si>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</si>
  <si>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</si>
  <si>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</si>
  <si>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</si>
  <si>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</si>
  <si>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</si>
  <si>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</si>
  <si>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</si>
  <si>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</si>
  <si>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</si>
  <si>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</si>
  <si>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</si>
  <si>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</si>
  <si>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</si>
  <si>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</si>
  <si>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</si>
  <si>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</si>
  <si>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</si>
  <si>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</si>
  <si>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</si>
  <si>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</si>
  <si>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</si>
  <si>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</si>
  <si>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</si>
  <si>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</si>
  <si>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</si>
  <si>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</si>
  <si>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</si>
  <si>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</si>
  <si>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</si>
  <si>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</si>
  <si>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</si>
  <si>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</si>
  <si>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</si>
  <si>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</si>
  <si>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</si>
  <si>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</si>
  <si>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</si>
  <si>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</si>
  <si>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</si>
  <si>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</si>
  <si>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</si>
  <si>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</si>
  <si>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</si>
  <si>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</si>
  <si>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</si>
  <si>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</si>
  <si>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</si>
  <si>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</si>
  <si>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</si>
  <si>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</si>
  <si>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</si>
  <si>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</si>
  <si>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</si>
  <si>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</si>
  <si>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</si>
  <si>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</si>
  <si>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</si>
  <si>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</si>
  <si>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</si>
  <si>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</si>
  <si>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</si>
  <si>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</si>
  <si>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</si>
  <si>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</si>
  <si>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</si>
  <si>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</si>
  <si>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</si>
  <si>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</si>
  <si>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</si>
  <si>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</si>
  <si>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</si>
  <si>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</si>
  <si>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</si>
  <si>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</si>
  <si>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</si>
  <si>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</si>
  <si>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</si>
  <si>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</si>
  <si>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</si>
  <si>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</si>
  <si>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</si>
  <si>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</si>
  <si>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</si>
  <si>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</si>
  <si>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</si>
  <si>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</si>
  <si>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</si>
  <si>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</si>
  <si>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</si>
  <si>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</si>
  <si>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</si>
  <si>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</si>
  <si>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</si>
  <si>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</si>
  <si>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</si>
  <si>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</si>
  <si>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</si>
  <si>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</si>
  <si>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</si>
  <si>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</si>
  <si>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</si>
  <si>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</si>
  <si>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</si>
  <si>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</si>
  <si>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</si>
  <si>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</si>
  <si>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</si>
  <si>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</si>
  <si>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</si>
  <si>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</si>
  <si>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</si>
  <si>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</si>
  <si>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</si>
  <si>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</si>
  <si>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</si>
  <si>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</si>
  <si>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</si>
  <si>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</si>
  <si>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</si>
  <si>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</si>
  <si>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</si>
  <si>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</si>
  <si>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</si>
  <si>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</si>
  <si>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</si>
  <si>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</si>
  <si>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</si>
  <si>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</si>
  <si>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</si>
  <si>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</si>
  <si>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</si>
  <si>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</si>
  <si>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</si>
  <si>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</si>
  <si>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</si>
  <si>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</si>
  <si>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</si>
  <si>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</si>
  <si>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</si>
  <si>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</si>
  <si>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</si>
  <si>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</si>
  <si>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</si>
  <si>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</si>
  <si>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</si>
  <si>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</si>
  <si>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</si>
  <si>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</si>
  <si>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</si>
  <si>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</si>
  <si>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</si>
  <si>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</si>
  <si>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</si>
  <si>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</si>
  <si>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</si>
  <si>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</si>
  <si>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</si>
  <si>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</si>
  <si>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</si>
  <si>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</si>
  <si>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</si>
  <si>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</si>
  <si>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</si>
  <si>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</si>
  <si>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</si>
  <si>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</si>
  <si>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</si>
  <si>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</si>
  <si>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</si>
  <si>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</si>
  <si>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</si>
  <si>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</si>
  <si>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</si>
  <si>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</si>
  <si>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</si>
  <si>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</si>
  <si>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</si>
  <si>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</si>
  <si>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</si>
  <si>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</si>
  <si>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</si>
  <si>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</si>
  <si>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</si>
  <si>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</si>
  <si>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</si>
  <si>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</si>
  <si>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</si>
  <si>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</si>
  <si>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</si>
  <si>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</si>
  <si>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</si>
  <si>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</si>
  <si>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</si>
  <si>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</si>
  <si>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</si>
  <si>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</si>
  <si>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</si>
  <si>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</si>
  <si>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</si>
  <si>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</si>
  <si>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</si>
  <si>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</si>
  <si>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</si>
  <si>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</si>
  <si>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</si>
  <si>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</si>
  <si>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</si>
  <si>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</si>
  <si>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</si>
  <si>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</si>
  <si>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</si>
  <si>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</si>
  <si>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</si>
  <si>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</si>
  <si>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</si>
  <si>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</si>
  <si>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</si>
  <si>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</si>
  <si>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</si>
  <si>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</si>
  <si>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</si>
  <si>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</si>
  <si>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</si>
  <si>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</si>
  <si>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</si>
  <si>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</si>
  <si>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</si>
  <si>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</si>
  <si>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</si>
  <si>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</si>
  <si>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</si>
  <si>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</si>
  <si>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</si>
  <si>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</si>
  <si>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</si>
  <si>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</si>
  <si>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</si>
  <si>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</si>
  <si>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</si>
  <si>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</si>
  <si>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</si>
  <si>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</si>
  <si>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</si>
  <si>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</si>
  <si>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</si>
  <si>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</si>
  <si>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</si>
  <si>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</si>
  <si>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</si>
  <si>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</si>
  <si>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</si>
  <si>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</si>
  <si>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</si>
  <si>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</si>
  <si>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</si>
  <si>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</si>
  <si>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</si>
  <si>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</si>
  <si>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</si>
  <si>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</si>
  <si>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</si>
  <si>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</si>
  <si>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</si>
  <si>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</si>
  <si>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</si>
  <si>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</si>
  <si>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</si>
  <si>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</si>
  <si>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</si>
  <si>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</si>
  <si>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</si>
  <si>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</si>
  <si>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</si>
  <si>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</si>
  <si>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</si>
  <si>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</si>
  <si>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</si>
  <si>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</si>
  <si>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</si>
  <si>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</si>
  <si>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</si>
  <si>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</si>
  <si>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</si>
  <si>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</si>
  <si>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</si>
  <si>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</si>
  <si>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</si>
  <si>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</si>
  <si>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</si>
  <si>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</si>
  <si>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</si>
  <si>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</si>
  <si>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</si>
  <si>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</si>
  <si>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</si>
  <si>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</si>
  <si>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</si>
  <si>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</si>
  <si>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</si>
  <si>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</si>
  <si>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</si>
  <si>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</si>
  <si>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</si>
  <si>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</si>
  <si>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</si>
  <si>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</si>
  <si>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</si>
  <si>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</si>
  <si>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</si>
  <si>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</si>
  <si>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</si>
  <si>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</si>
  <si>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</si>
  <si>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</si>
  <si>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</si>
  <si>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</si>
  <si>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</si>
  <si>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</si>
  <si>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</si>
  <si>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</si>
  <si>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</si>
  <si>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</si>
  <si>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</si>
  <si>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</si>
  <si>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</si>
  <si>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</si>
  <si>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</si>
  <si>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</si>
  <si>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</si>
  <si>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</si>
  <si>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</si>
  <si>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</si>
  <si>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</si>
  <si>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</si>
  <si>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</si>
  <si>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</si>
  <si>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</si>
  <si>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</si>
  <si>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</si>
  <si>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</si>
  <si>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</si>
  <si>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</si>
  <si>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</si>
  <si>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</si>
  <si>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</si>
  <si>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</si>
  <si>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</si>
  <si>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</si>
  <si>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</si>
  <si>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</si>
  <si>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</si>
  <si>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</si>
  <si>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</si>
  <si>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</si>
  <si>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</si>
  <si>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</si>
  <si>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</si>
  <si>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</si>
  <si>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</si>
  <si>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</si>
  <si>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</si>
  <si>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</si>
  <si>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</si>
  <si>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</si>
  <si>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</si>
  <si>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</si>
  <si>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</si>
  <si>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</si>
  <si>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</si>
  <si>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</si>
  <si>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</si>
  <si>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</si>
  <si>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</si>
  <si>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</si>
  <si>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</si>
  <si>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</si>
  <si>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</si>
  <si>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</si>
  <si>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</si>
  <si>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</si>
  <si>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</si>
  <si>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</si>
  <si>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</si>
  <si>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</si>
  <si>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</si>
  <si>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</si>
  <si>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</si>
  <si>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</si>
  <si>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</si>
  <si>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</si>
  <si>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</si>
  <si>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</si>
  <si>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</si>
  <si>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</si>
  <si>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</si>
  <si>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</si>
  <si>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</si>
  <si>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</si>
  <si>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</si>
  <si>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</si>
  <si>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</si>
  <si>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</si>
  <si>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</si>
  <si>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</si>
  <si>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</si>
  <si>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</si>
  <si>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</si>
  <si>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</si>
  <si>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</si>
  <si>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</si>
  <si>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</si>
  <si>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</si>
  <si>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</si>
  <si>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</si>
  <si>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</si>
  <si>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</si>
  <si>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</si>
  <si>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</si>
  <si>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</si>
  <si>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</si>
  <si>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</si>
  <si>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</si>
  <si>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</si>
  <si>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</si>
  <si>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</si>
  <si>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</si>
  <si>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</si>
  <si>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</si>
  <si>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</si>
  <si>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</si>
  <si>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</si>
  <si>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</si>
  <si>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</si>
  <si>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</si>
  <si>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</si>
  <si>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</si>
  <si>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</si>
  <si>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</si>
  <si>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</si>
  <si>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</si>
  <si>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</si>
  <si>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</si>
  <si>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</si>
  <si>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</si>
  <si>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</si>
  <si>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</si>
  <si>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</si>
  <si>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</si>
  <si>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</si>
  <si>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</si>
  <si>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</si>
  <si>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</si>
  <si>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</si>
  <si>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</si>
  <si>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</si>
  <si>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</si>
  <si>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</si>
  <si>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</si>
  <si>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</si>
  <si>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</si>
  <si>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</si>
  <si>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</si>
  <si>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</si>
  <si>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</si>
  <si>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</si>
  <si>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</si>
  <si>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</si>
  <si>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</si>
  <si>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</si>
  <si>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</si>
  <si>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</si>
  <si>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</si>
  <si>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</si>
  <si>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</si>
  <si>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</si>
  <si>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</si>
  <si>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</si>
  <si>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</si>
  <si>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</si>
  <si>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</si>
  <si>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</si>
  <si>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</si>
  <si>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</si>
  <si>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</si>
  <si>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</si>
  <si>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</si>
  <si>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</si>
  <si>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</si>
  <si>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</si>
  <si>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</si>
  <si>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</si>
  <si>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</si>
  <si>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</si>
  <si>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</si>
  <si>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</si>
  <si>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</si>
  <si>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</si>
  <si>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</si>
  <si>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</si>
  <si>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</si>
  <si>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</si>
  <si>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</si>
  <si>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</si>
  <si>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</si>
  <si>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</si>
  <si>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</si>
  <si>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</si>
  <si>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</si>
  <si>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</si>
  <si>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</si>
  <si>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</si>
  <si>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</si>
  <si>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</si>
  <si>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</si>
  <si>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</si>
  <si>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</si>
  <si>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</si>
  <si>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</si>
  <si>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</si>
  <si>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</si>
  <si>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</si>
  <si>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</si>
  <si>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</si>
  <si>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</si>
  <si>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</si>
  <si>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</si>
  <si>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</si>
  <si>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</si>
  <si>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</si>
  <si>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</si>
  <si>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</si>
  <si>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</si>
  <si>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</si>
  <si>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</si>
  <si>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</si>
  <si>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</si>
  <si>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</si>
  <si>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</si>
  <si>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</si>
  <si>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</si>
  <si>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</si>
  <si>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</si>
  <si>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</si>
  <si>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</si>
  <si>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</si>
  <si>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</si>
  <si>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</si>
  <si>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</si>
  <si>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</si>
  <si>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</si>
  <si>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</si>
  <si>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</si>
  <si>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</si>
  <si>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</si>
  <si>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</si>
  <si>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</si>
  <si>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</si>
  <si>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</si>
  <si>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</si>
  <si>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</si>
  <si>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</si>
  <si>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</si>
  <si>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</si>
  <si>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</si>
  <si>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</si>
  <si>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</si>
  <si>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</si>
  <si>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</si>
  <si>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</si>
  <si>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</si>
  <si>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</si>
  <si>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</si>
  <si>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</si>
  <si>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</si>
  <si>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</si>
  <si>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</si>
  <si>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</si>
  <si>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</si>
  <si>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</si>
  <si>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</si>
  <si>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</si>
  <si>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</si>
  <si>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</si>
  <si>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</si>
  <si>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</si>
  <si>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</si>
  <si>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</si>
  <si>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</si>
  <si>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</si>
  <si>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</si>
  <si>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</si>
  <si>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</si>
  <si>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</si>
  <si>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</si>
  <si>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</si>
  <si>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</si>
  <si>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</si>
  <si>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</si>
  <si>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</si>
  <si>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</si>
  <si>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</si>
  <si>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</si>
  <si>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</si>
  <si>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</si>
  <si>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</si>
  <si>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</si>
  <si>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</si>
  <si>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</si>
  <si>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</si>
  <si>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</si>
  <si>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</si>
  <si>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</si>
  <si>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</si>
  <si>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</si>
  <si>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</si>
  <si>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</si>
  <si>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</si>
  <si>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</si>
  <si>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</si>
  <si>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</si>
  <si>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</si>
  <si>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</si>
  <si>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</si>
  <si>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</si>
  <si>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</si>
  <si>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</si>
  <si>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</si>
  <si>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</si>
  <si>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</si>
  <si>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</si>
  <si>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</si>
  <si>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</si>
  <si>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</si>
  <si>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</si>
  <si>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</si>
  <si>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</si>
  <si>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</si>
  <si>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</si>
  <si>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</si>
  <si>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</si>
  <si>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</si>
  <si>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</si>
  <si>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</si>
  <si>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</si>
  <si>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</si>
  <si>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</si>
  <si>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</si>
  <si>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</si>
  <si>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</si>
  <si>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</si>
  <si>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</si>
  <si>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</si>
  <si>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</si>
  <si>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</si>
  <si>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</si>
  <si>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</si>
  <si>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</si>
  <si>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</si>
  <si>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</si>
  <si>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</si>
  <si>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</si>
  <si>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</si>
  <si>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</si>
  <si>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</si>
  <si>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</si>
  <si>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</si>
  <si>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</si>
  <si>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</si>
  <si>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</si>
  <si>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</si>
  <si>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</si>
  <si>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</si>
  <si>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</si>
  <si>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</si>
  <si>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</si>
  <si>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</si>
  <si>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</si>
  <si>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</si>
  <si>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</si>
  <si>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</si>
  <si>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</si>
  <si>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</si>
  <si>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</si>
  <si>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</si>
  <si>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</si>
  <si>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</si>
  <si>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</si>
  <si>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</si>
  <si>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</si>
  <si>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</si>
  <si>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</si>
  <si>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</si>
  <si>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</si>
  <si>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</si>
  <si>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</si>
  <si>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</si>
  <si>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</si>
  <si>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</si>
  <si>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</si>
  <si>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</si>
  <si>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</si>
  <si>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</si>
  <si>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</si>
  <si>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</si>
  <si>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</si>
  <si>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</si>
  <si>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</si>
  <si>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</si>
  <si>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</si>
  <si>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</si>
  <si>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</si>
  <si>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</si>
  <si>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</si>
  <si>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</si>
  <si>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</si>
  <si>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</si>
  <si>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</si>
  <si>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</si>
  <si>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</si>
  <si>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</si>
  <si>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</si>
  <si>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</si>
  <si>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</si>
  <si>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</si>
  <si>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</si>
  <si>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</si>
  <si>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</si>
  <si>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</si>
  <si>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</si>
  <si>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</si>
  <si>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</si>
  <si>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</si>
  <si>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</si>
  <si>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</si>
  <si>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</si>
  <si>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</si>
  <si>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</si>
  <si>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</si>
  <si>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</si>
  <si>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</si>
  <si>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</si>
  <si>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</si>
  <si>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</si>
  <si>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</si>
  <si>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</si>
  <si>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</si>
  <si>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</si>
  <si>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</si>
  <si>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</si>
  <si>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</si>
  <si>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</si>
  <si>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</si>
  <si>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</si>
  <si>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</si>
  <si>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</si>
  <si>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</si>
  <si>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</si>
  <si>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</si>
  <si>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</si>
  <si>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</si>
  <si>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</si>
  <si>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</si>
  <si>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</si>
  <si>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</si>
  <si>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</si>
  <si>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</si>
  <si>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</si>
  <si>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</si>
  <si>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</si>
  <si>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</si>
  <si>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</si>
  <si>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</si>
  <si>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</si>
  <si>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</si>
  <si>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</si>
  <si>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</si>
  <si>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</si>
  <si>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</si>
  <si>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</si>
  <si>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</si>
  <si>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</si>
  <si>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</si>
  <si>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</si>
  <si>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</si>
  <si>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</si>
  <si>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</si>
  <si>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</si>
  <si>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</si>
  <si>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</si>
  <si>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</si>
  <si>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</si>
  <si>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</si>
  <si>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</si>
  <si>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</si>
  <si>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</si>
  <si>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</si>
  <si>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</si>
  <si>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</si>
  <si>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</si>
  <si>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</si>
  <si>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</si>
  <si>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</si>
  <si>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</si>
  <si>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</si>
  <si>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</si>
  <si>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</si>
  <si>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</si>
  <si>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</si>
  <si>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</si>
  <si>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</si>
  <si>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</si>
  <si>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</si>
  <si>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</si>
  <si>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</si>
  <si>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</si>
  <si>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</si>
  <si>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</si>
  <si>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</si>
  <si>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</si>
  <si>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</si>
  <si>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</si>
  <si>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</si>
  <si>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</si>
  <si>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</si>
  <si>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</si>
  <si>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</si>
  <si>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</si>
  <si>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</si>
  <si>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</si>
  <si>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</si>
  <si>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</si>
  <si>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</si>
  <si>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</si>
  <si>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</si>
  <si>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</si>
  <si>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</si>
  <si>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</si>
  <si>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</si>
  <si>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</si>
  <si>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</si>
  <si>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</si>
  <si>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</si>
  <si>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</si>
  <si>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</si>
  <si>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</si>
  <si>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</si>
  <si>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</si>
  <si>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</si>
  <si>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</si>
  <si>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</si>
  <si>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</si>
  <si>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</si>
  <si>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</si>
  <si>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</si>
  <si>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</si>
  <si>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</si>
  <si>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</si>
  <si>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</si>
  <si>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</si>
  <si>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</si>
  <si>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</si>
  <si>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</si>
  <si>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</si>
  <si>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</si>
  <si>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</si>
  <si>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</si>
  <si>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</si>
  <si>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</si>
  <si>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</si>
  <si>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</si>
  <si>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</si>
  <si>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</si>
  <si>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</si>
  <si>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</si>
  <si>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</si>
  <si>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</si>
  <si>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</si>
  <si>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</si>
  <si>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</si>
  <si>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</si>
  <si>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</si>
  <si>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</si>
  <si>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</si>
  <si>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</si>
  <si>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</si>
  <si>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</si>
  <si>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</si>
  <si>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</si>
  <si>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</si>
  <si>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</si>
  <si>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</si>
  <si>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</si>
  <si>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</si>
  <si>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</si>
  <si>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</si>
  <si>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</si>
  <si>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</si>
  <si>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</si>
  <si>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</si>
  <si>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</si>
  <si>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</si>
  <si>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</si>
  <si>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</si>
  <si>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</si>
  <si>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</si>
  <si>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</si>
  <si>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</si>
  <si>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</si>
  <si>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</si>
  <si>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</si>
  <si>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</si>
  <si>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</si>
  <si>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</si>
  <si>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</si>
  <si>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</si>
  <si>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</si>
  <si>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</si>
  <si>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</si>
  <si>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</si>
  <si>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</si>
  <si>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</si>
  <si>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</si>
  <si>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</si>
  <si>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</si>
  <si>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</si>
  <si>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</si>
  <si>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</si>
  <si>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</si>
  <si>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</si>
  <si>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</si>
  <si>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</si>
  <si>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</si>
  <si>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</si>
  <si>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</si>
  <si>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</si>
  <si>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</si>
  <si>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</si>
  <si>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</si>
  <si>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</si>
  <si>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</si>
  <si>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</si>
  <si>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</si>
  <si>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</si>
  <si>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</si>
  <si>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</si>
  <si>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</si>
  <si>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</si>
  <si>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</si>
  <si>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</si>
  <si>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</si>
  <si>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</si>
  <si>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</si>
  <si>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</si>
  <si>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</si>
  <si>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</si>
  <si>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</si>
  <si>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</si>
  <si>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</si>
  <si>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</si>
  <si>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</si>
  <si>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</si>
  <si>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</si>
  <si>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</si>
  <si>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</si>
  <si>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</si>
  <si>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</si>
  <si>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</si>
  <si>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</si>
  <si>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</si>
  <si>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</si>
  <si>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</si>
  <si>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</si>
  <si>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</si>
  <si>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</si>
  <si>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</si>
  <si>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</si>
  <si>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</si>
  <si>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</si>
  <si>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</si>
  <si>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</si>
  <si>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</si>
  <si>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</si>
  <si>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</si>
  <si>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</si>
  <si>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</si>
  <si>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</si>
  <si>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</si>
  <si>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</si>
  <si>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</si>
  <si>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</si>
  <si>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</si>
  <si>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</si>
  <si>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</si>
  <si>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</si>
  <si>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</si>
  <si>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</si>
  <si>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</si>
  <si>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</si>
  <si>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</si>
  <si>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</si>
  <si>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</si>
  <si>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</si>
  <si>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</si>
  <si>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</si>
  <si>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</si>
  <si>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</si>
  <si>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</si>
  <si>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</si>
  <si>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</si>
  <si>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</si>
  <si>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</si>
  <si>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</si>
  <si>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</si>
  <si>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</si>
  <si>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</si>
  <si>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</si>
  <si>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</si>
  <si>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</si>
  <si>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</si>
  <si>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</si>
  <si>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</si>
  <si>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</si>
  <si>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</si>
  <si>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</si>
  <si>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</si>
  <si>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</si>
  <si>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</si>
  <si>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</si>
  <si>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</si>
  <si>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</si>
  <si>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</si>
  <si>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</si>
  <si>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</si>
  <si>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</si>
  <si>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</si>
  <si>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</si>
  <si>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</si>
  <si>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</si>
  <si>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</si>
  <si>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</si>
  <si>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</si>
  <si>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</si>
  <si>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</si>
  <si>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</si>
  <si>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</si>
  <si>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</si>
  <si>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</si>
  <si>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</si>
  <si>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</si>
  <si>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</si>
  <si>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</si>
  <si>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</si>
  <si>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</si>
  <si>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</si>
  <si>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</si>
  <si>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</si>
  <si>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</si>
  <si>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</si>
  <si>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</si>
  <si>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</si>
  <si>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</si>
  <si>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</si>
  <si>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</si>
  <si>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</si>
  <si>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</si>
  <si>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</si>
  <si>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</si>
  <si>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</si>
  <si>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</si>
  <si>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</si>
  <si>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</si>
  <si>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</si>
  <si>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</si>
  <si>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</si>
  <si>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</si>
  <si>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</si>
  <si>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</si>
  <si>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</si>
  <si>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</si>
  <si>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</si>
  <si>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</si>
  <si>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</si>
  <si>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</si>
  <si>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</si>
  <si>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</si>
  <si>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</si>
  <si>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</si>
  <si>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</si>
  <si>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</si>
  <si>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</si>
  <si>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</si>
  <si>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</si>
  <si>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</si>
  <si>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</si>
  <si>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</si>
  <si>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</si>
  <si>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</si>
  <si>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</si>
  <si>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</si>
  <si>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</si>
  <si>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</si>
  <si>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</si>
  <si>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</si>
  <si>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</si>
  <si>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</si>
  <si>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</si>
  <si>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</si>
  <si>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</si>
  <si>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</si>
  <si>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</si>
  <si>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</si>
  <si>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</si>
  <si>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</si>
  <si>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</si>
  <si>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</si>
  <si>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</si>
  <si>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</si>
  <si>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</si>
  <si>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</si>
  <si>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</si>
  <si>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</si>
  <si>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</si>
  <si>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</si>
  <si>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</si>
  <si>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</si>
  <si>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</si>
  <si>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</si>
  <si>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</si>
  <si>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</si>
  <si>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</si>
  <si>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</si>
  <si>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</si>
  <si>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</si>
  <si>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</si>
  <si>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</si>
  <si>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</si>
  <si>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</si>
  <si>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</si>
  <si>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</si>
  <si>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</si>
  <si>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</si>
  <si>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</si>
  <si>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</si>
  <si>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</si>
  <si>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</si>
  <si>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</si>
  <si>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</si>
  <si>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</si>
  <si>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</si>
  <si>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</si>
  <si>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</si>
  <si>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</si>
  <si>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</si>
  <si>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</si>
  <si>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</si>
  <si>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</si>
  <si>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</si>
  <si>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</si>
  <si>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</si>
  <si>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</si>
  <si>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</si>
  <si>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</si>
  <si>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</si>
  <si>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</si>
  <si>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</si>
  <si>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</si>
  <si>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</si>
  <si>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</si>
  <si>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</si>
  <si>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</si>
  <si>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</si>
  <si>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</si>
  <si>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</si>
  <si>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</si>
  <si>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</si>
  <si>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</si>
  <si>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</si>
  <si>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</si>
  <si>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</si>
  <si>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</si>
  <si>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</si>
  <si>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</si>
  <si>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</si>
  <si>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</si>
  <si>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</si>
  <si>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</si>
  <si>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</si>
  <si>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</si>
  <si>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</si>
  <si>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</si>
  <si>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</si>
  <si>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</si>
  <si>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</si>
  <si>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</si>
  <si>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</si>
  <si>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</si>
  <si>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</si>
  <si>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</si>
  <si>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</si>
  <si>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</si>
  <si>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</si>
  <si>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</si>
  <si>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</si>
  <si>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</si>
  <si>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</si>
  <si>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</si>
  <si>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</si>
  <si>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</si>
  <si>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</si>
  <si>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</si>
  <si>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</si>
  <si>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</si>
  <si>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</si>
  <si>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</si>
  <si>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</si>
  <si>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</si>
  <si>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</si>
  <si>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</si>
  <si>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</si>
  <si>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</si>
  <si>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</si>
  <si>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</si>
  <si>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</si>
  <si>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</si>
  <si>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</si>
  <si>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</si>
  <si>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</si>
  <si>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</si>
  <si>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</si>
  <si>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</si>
  <si>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</si>
  <si>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</si>
  <si>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</si>
  <si>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</si>
  <si>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</si>
  <si>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</si>
  <si>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</si>
  <si>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</si>
  <si>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</si>
  <si>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</si>
  <si>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</si>
  <si>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</si>
  <si>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</si>
  <si>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</si>
  <si>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</si>
  <si>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</si>
  <si>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</si>
  <si>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</si>
  <si>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</si>
  <si>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</si>
  <si>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</si>
  <si>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</si>
  <si>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</si>
  <si>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</si>
  <si>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</si>
  <si>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</si>
  <si>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</si>
  <si>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</si>
  <si>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</si>
  <si>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</si>
  <si>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</si>
  <si>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</si>
  <si>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</si>
  <si>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</si>
  <si>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</si>
  <si>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</si>
  <si>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</si>
  <si>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</si>
  <si>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</si>
  <si>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</si>
  <si>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</si>
  <si>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</si>
  <si>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</si>
  <si>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</si>
  <si>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</si>
  <si>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</si>
  <si>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</si>
  <si>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</si>
  <si>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</si>
  <si>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</si>
  <si>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</si>
  <si>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</si>
  <si>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</si>
  <si>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</si>
  <si>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</si>
  <si>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</si>
  <si>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</si>
  <si>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</si>
  <si>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</si>
  <si>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</si>
  <si>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</si>
  <si>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</si>
  <si>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</si>
  <si>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</si>
  <si>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</si>
  <si>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</si>
  <si>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</si>
  <si>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</si>
  <si>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</si>
  <si>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</si>
  <si>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</si>
  <si>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</si>
  <si>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</si>
  <si>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</si>
  <si>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</si>
  <si>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</si>
  <si>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</si>
  <si>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</si>
  <si>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</si>
  <si>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</si>
  <si>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</si>
  <si>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</si>
  <si>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</si>
  <si>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</si>
  <si>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</si>
  <si>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</si>
  <si>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</si>
  <si>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</si>
  <si>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</si>
  <si>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</si>
  <si>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</si>
  <si>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</si>
  <si>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</si>
  <si>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</si>
  <si>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</si>
  <si>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</si>
  <si>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</si>
  <si>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</si>
  <si>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</si>
  <si>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</si>
  <si>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</si>
  <si>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</si>
  <si>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</si>
  <si>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</si>
  <si>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</si>
  <si>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</si>
  <si>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</si>
  <si>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</si>
  <si>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</si>
  <si>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</si>
  <si>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</si>
  <si>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</si>
  <si>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</si>
  <si>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</si>
  <si>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</si>
  <si>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</si>
  <si>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</si>
  <si>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</si>
  <si>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</si>
  <si>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</si>
  <si>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</si>
  <si>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</si>
  <si>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</si>
  <si>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</si>
  <si>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</si>
  <si>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</si>
  <si>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</si>
  <si>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</si>
  <si>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</si>
  <si>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</si>
  <si>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</si>
  <si>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</si>
  <si>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</si>
  <si>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</si>
  <si>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</si>
  <si>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</si>
  <si>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</si>
  <si>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</si>
  <si>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</si>
  <si>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</si>
  <si>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</si>
  <si>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</si>
  <si>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</si>
  <si>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</si>
  <si>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</si>
  <si>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</si>
  <si>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</si>
  <si>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</si>
  <si>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</si>
  <si>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</si>
  <si>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</si>
  <si>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</si>
  <si>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</si>
  <si>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</si>
  <si>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</si>
  <si>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</si>
  <si>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</si>
  <si>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</si>
  <si>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</si>
  <si>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</si>
  <si>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</si>
  <si>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</si>
  <si>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</si>
  <si>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</si>
  <si>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</si>
  <si>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</si>
  <si>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</si>
  <si>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</si>
  <si>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</si>
  <si>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</si>
  <si>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</si>
  <si>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</si>
  <si>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</si>
  <si>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</si>
  <si>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</si>
  <si>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</si>
  <si>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</si>
  <si>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</si>
  <si>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</si>
  <si>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</si>
  <si>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</si>
  <si>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</si>
  <si>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</si>
  <si>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</si>
  <si>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</si>
  <si>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</si>
  <si>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</si>
  <si>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</si>
  <si>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</si>
  <si>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</si>
  <si>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</si>
  <si>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</si>
  <si>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</si>
  <si>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</si>
  <si>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</si>
  <si>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</si>
  <si>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</si>
  <si>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</si>
  <si>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</si>
  <si>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</si>
  <si>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</si>
  <si>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</si>
  <si>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</si>
  <si>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</si>
  <si>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</si>
  <si>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</si>
  <si>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</si>
  <si>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</si>
  <si>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</si>
  <si>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</si>
  <si>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</si>
  <si>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</si>
  <si>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</si>
  <si>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</si>
  <si>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</si>
  <si>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</si>
  <si>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</si>
  <si>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</si>
  <si>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</si>
  <si>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</si>
  <si>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</si>
  <si>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</si>
  <si>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</si>
  <si>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</si>
  <si>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</si>
  <si>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</si>
  <si>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</si>
  <si>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</si>
  <si>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</si>
  <si>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</si>
  <si>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</si>
  <si>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</si>
  <si>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</si>
  <si>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</si>
  <si>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</si>
  <si>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</si>
  <si>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</si>
  <si>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</si>
  <si>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</si>
  <si>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</si>
  <si>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</si>
  <si>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</si>
  <si>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</si>
  <si>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</si>
  <si>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</si>
  <si>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</si>
  <si>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</si>
  <si>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</si>
  <si>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</si>
  <si>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</si>
  <si>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</si>
  <si>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</si>
  <si>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</si>
  <si>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</si>
  <si>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</si>
  <si>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</si>
  <si>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</si>
  <si>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</si>
  <si>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</si>
  <si>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</si>
  <si>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</si>
  <si>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</si>
  <si>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</si>
  <si>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</si>
  <si>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</si>
  <si>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</si>
  <si>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</si>
  <si>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</si>
  <si>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</si>
  <si>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</si>
  <si>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</si>
  <si>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</si>
  <si>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</si>
  <si>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</si>
  <si>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</si>
  <si>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</si>
  <si>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</si>
  <si>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</si>
  <si>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</si>
  <si>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</si>
  <si>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</si>
  <si>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</si>
  <si>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</si>
  <si>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</si>
  <si>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</si>
  <si>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</si>
  <si>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</si>
  <si>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</si>
  <si>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</si>
  <si>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</si>
  <si>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</si>
  <si>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</si>
  <si>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</si>
  <si>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</si>
  <si>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</si>
  <si>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</si>
  <si>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</si>
  <si>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</si>
  <si>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</si>
  <si>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</si>
  <si>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</si>
  <si>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</si>
  <si>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</si>
  <si>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</si>
  <si>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</si>
  <si>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</si>
  <si>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</si>
  <si>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</si>
  <si>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</si>
  <si>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</si>
  <si>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</si>
  <si>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</si>
  <si>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</si>
  <si>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</si>
  <si>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</si>
  <si>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</si>
  <si>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</si>
  <si>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</si>
  <si>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</si>
  <si>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</si>
  <si>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</si>
  <si>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</si>
  <si>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</si>
  <si>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</si>
  <si>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</si>
  <si>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</si>
  <si>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</si>
  <si>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</si>
  <si>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</si>
  <si>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</si>
  <si>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</si>
  <si>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</si>
  <si>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</si>
  <si>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</si>
  <si>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</si>
  <si>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</si>
  <si>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</si>
  <si>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</si>
  <si>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</si>
  <si>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</si>
  <si>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</si>
  <si>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</si>
  <si>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</si>
  <si>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</si>
  <si>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</si>
  <si>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</si>
  <si>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</si>
  <si>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</si>
  <si>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</si>
  <si>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</si>
  <si>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</si>
  <si>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</si>
  <si>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</si>
  <si>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</si>
  <si>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</si>
  <si>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</si>
  <si>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</si>
  <si>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</si>
  <si>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</si>
  <si>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</si>
  <si>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</si>
  <si>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</si>
  <si>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</si>
  <si>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</si>
  <si>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</si>
  <si>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</si>
  <si>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</si>
  <si>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</si>
  <si>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</si>
  <si>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</si>
  <si>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</si>
  <si>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</si>
  <si>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</si>
  <si>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</si>
  <si>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</si>
  <si>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</si>
  <si>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</si>
  <si>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</si>
  <si>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</si>
  <si>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</si>
  <si>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</si>
  <si>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</si>
  <si>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</si>
  <si>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</si>
  <si>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</si>
  <si>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</si>
  <si>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</si>
  <si>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</si>
  <si>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</si>
  <si>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</si>
  <si>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</si>
  <si>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</si>
  <si>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</si>
  <si>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</si>
  <si>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</si>
  <si>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</si>
  <si>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</si>
  <si>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</si>
  <si>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</si>
  <si>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</si>
  <si>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</si>
  <si>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</si>
  <si>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</si>
  <si>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</si>
  <si>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</si>
  <si>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</si>
  <si>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</si>
  <si>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</si>
  <si>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</si>
  <si>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</si>
  <si>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</si>
  <si>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</si>
  <si>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</si>
  <si>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</si>
  <si>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</si>
  <si>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</si>
  <si>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</si>
  <si>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</si>
  <si>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</si>
  <si>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</si>
  <si>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</si>
  <si>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</si>
  <si>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</si>
  <si>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</si>
  <si>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</si>
  <si>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</si>
  <si>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</si>
  <si>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</si>
  <si>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</si>
  <si>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</si>
  <si>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</si>
  <si>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</si>
  <si>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</si>
  <si>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</si>
  <si>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</si>
  <si>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</si>
  <si>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</si>
  <si>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</si>
  <si>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</si>
  <si>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</si>
  <si>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</si>
  <si>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</si>
  <si>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</si>
  <si>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</si>
  <si>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</si>
  <si>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</si>
  <si>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</si>
  <si>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</si>
  <si>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</si>
  <si>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</si>
  <si>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</si>
  <si>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</si>
  <si>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</si>
  <si>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</si>
  <si>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</si>
  <si>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</si>
  <si>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</si>
  <si>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</si>
  <si>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</si>
  <si>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</si>
  <si>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</si>
  <si>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</si>
  <si>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</si>
  <si>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</si>
  <si>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</si>
  <si>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</si>
  <si>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</si>
  <si>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</si>
  <si>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</si>
  <si>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</si>
  <si>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</si>
  <si>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</si>
  <si>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</si>
  <si>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</si>
  <si>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</si>
  <si>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</si>
  <si>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</si>
  <si>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</si>
  <si>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</si>
  <si>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</si>
  <si>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</si>
  <si>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</si>
  <si>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</si>
  <si>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</si>
  <si>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</si>
  <si>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</si>
  <si>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</si>
  <si>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</si>
  <si>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</si>
  <si>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</si>
  <si>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</si>
  <si>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</si>
  <si>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</si>
  <si>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</si>
  <si>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</si>
  <si>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</si>
  <si>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</si>
  <si>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</si>
  <si>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</si>
  <si>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</si>
  <si>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</si>
  <si>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</si>
  <si>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</si>
  <si>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</si>
  <si>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</si>
  <si>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</si>
  <si>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</si>
  <si>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</si>
  <si>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</si>
  <si>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</si>
  <si>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</si>
  <si>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</si>
  <si>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</si>
  <si>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</si>
  <si>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</si>
  <si>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</si>
  <si>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</si>
  <si>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</si>
  <si>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</si>
  <si>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</si>
  <si>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</si>
  <si>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</si>
  <si>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</si>
  <si>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</si>
  <si>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</si>
  <si>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</si>
  <si>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</si>
  <si>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</si>
  <si>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</si>
  <si>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</si>
  <si>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</si>
  <si>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</si>
  <si>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</si>
  <si>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</si>
  <si>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</si>
  <si>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</si>
  <si>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</si>
  <si>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</si>
  <si>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</si>
  <si>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</si>
  <si>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</si>
  <si>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</si>
  <si>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</si>
  <si>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</si>
  <si>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</si>
  <si>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</si>
  <si>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</si>
  <si>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</si>
  <si>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</si>
  <si>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</si>
  <si>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</si>
  <si>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</si>
  <si>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</si>
  <si>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</si>
  <si>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</si>
  <si>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</si>
  <si>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</si>
  <si>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</si>
  <si>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</si>
  <si>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</si>
  <si>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</si>
  <si>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</si>
  <si>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</si>
  <si>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</si>
  <si>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</si>
  <si>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</si>
  <si>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</si>
  <si>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</si>
  <si>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</si>
  <si>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</si>
  <si>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</si>
  <si>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</si>
  <si>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</si>
  <si>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</si>
  <si>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</si>
  <si>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</si>
  <si>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</si>
  <si>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</si>
  <si>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</si>
  <si>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</si>
  <si>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</si>
  <si>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</si>
  <si>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</si>
  <si>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</si>
  <si>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</si>
  <si>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</si>
  <si>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</si>
  <si>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</si>
  <si>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</si>
  <si>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</si>
  <si>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</si>
  <si>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</si>
  <si>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</si>
  <si>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</si>
  <si>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</si>
  <si>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</si>
  <si>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</si>
  <si>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</si>
  <si>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</si>
  <si>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</si>
  <si>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</si>
  <si>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</si>
  <si>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</si>
  <si>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</si>
  <si>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</si>
  <si>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</si>
  <si>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</si>
  <si>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</si>
  <si>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</si>
  <si>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</si>
  <si>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</si>
  <si>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</si>
  <si>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</si>
  <si>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</si>
  <si>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</si>
  <si>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</si>
  <si>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</si>
  <si>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</si>
  <si>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</si>
  <si>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</si>
  <si>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</si>
  <si>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</si>
  <si>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</si>
  <si>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</si>
  <si>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</si>
  <si>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</si>
  <si>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</si>
  <si>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</si>
  <si>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</si>
  <si>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</si>
  <si>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</si>
  <si>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</si>
  <si>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</si>
  <si>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</si>
  <si>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</si>
  <si>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</si>
  <si>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</si>
  <si>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</si>
  <si>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</si>
  <si>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</si>
  <si>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</si>
  <si>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</si>
  <si>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</si>
  <si>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</si>
  <si>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</si>
  <si>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</si>
  <si>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</si>
  <si>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</si>
  <si>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</si>
  <si>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</si>
  <si>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</si>
  <si>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</si>
  <si>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</si>
  <si>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</si>
  <si>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</si>
  <si>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</si>
  <si>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</si>
  <si>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</si>
  <si>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</si>
  <si>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</si>
  <si>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</si>
  <si>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</si>
  <si>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</si>
  <si>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</si>
  <si>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</si>
  <si>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</si>
  <si>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</si>
  <si>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</si>
  <si>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</si>
  <si>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</si>
  <si>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</si>
  <si>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</si>
  <si>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</si>
  <si>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</si>
  <si>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</si>
  <si>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</si>
  <si>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</si>
  <si>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</si>
  <si>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</si>
  <si>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</si>
  <si>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</si>
  <si>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</si>
  <si>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</si>
  <si>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</si>
  <si>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</si>
  <si>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</si>
  <si>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</si>
  <si>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</si>
  <si>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</si>
  <si>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</si>
  <si>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</si>
  <si>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</si>
  <si>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</si>
  <si>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</si>
  <si>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</si>
  <si>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</si>
  <si>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</si>
  <si>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</si>
  <si>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</si>
  <si>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</si>
  <si>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</si>
  <si>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</si>
  <si>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</si>
  <si>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</si>
  <si>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</si>
  <si>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</si>
  <si>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</si>
  <si>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</si>
  <si>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</si>
  <si>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</si>
  <si>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</si>
  <si>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</si>
  <si>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</si>
  <si>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</si>
  <si>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</si>
  <si>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</si>
  <si>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</si>
  <si>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</si>
  <si>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</si>
  <si>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</si>
  <si>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</si>
  <si>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</si>
  <si>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</si>
  <si>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</si>
  <si>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</si>
  <si>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</si>
  <si>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</si>
  <si>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</si>
  <si>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</si>
  <si>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</si>
  <si>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</si>
  <si>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</si>
  <si>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</si>
  <si>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</si>
  <si>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</si>
  <si>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</si>
  <si>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</si>
  <si>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</si>
  <si>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</si>
  <si>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</si>
  <si>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</si>
  <si>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</si>
  <si>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</si>
  <si>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</si>
  <si>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</si>
  <si>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</si>
  <si>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</si>
  <si>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</si>
  <si>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</si>
  <si>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</si>
  <si>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</si>
  <si>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</si>
  <si>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</si>
  <si>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</si>
  <si>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</si>
  <si>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</si>
  <si>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</si>
  <si>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</si>
  <si>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</si>
  <si>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</si>
  <si>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</si>
  <si>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</si>
  <si>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</si>
  <si>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</si>
  <si>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</si>
  <si>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</si>
  <si>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</si>
  <si>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</si>
  <si>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</si>
  <si>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</si>
  <si>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</si>
  <si>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</si>
  <si>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</si>
  <si>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</si>
  <si>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</si>
  <si>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</si>
  <si>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</si>
  <si>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</si>
  <si>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</si>
  <si>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</si>
  <si>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</si>
  <si>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</si>
  <si>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</si>
  <si>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</si>
  <si>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</si>
  <si>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</si>
  <si>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</si>
  <si>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</si>
  <si>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</si>
  <si>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</si>
  <si>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</si>
  <si>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</si>
  <si>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</si>
  <si>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</si>
  <si>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</si>
  <si>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</si>
  <si>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</si>
  <si>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</si>
  <si>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</si>
  <si>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</si>
  <si>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</si>
  <si>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</si>
  <si>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</si>
  <si>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</si>
  <si>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</si>
  <si>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</si>
  <si>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</si>
  <si>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</si>
  <si>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</si>
  <si>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</si>
  <si>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</si>
  <si>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</si>
  <si>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</si>
  <si>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</si>
  <si>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</si>
  <si>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</si>
  <si>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</si>
  <si>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</si>
  <si>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</si>
  <si>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</si>
  <si>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</si>
  <si>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</si>
  <si>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</si>
  <si>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</si>
  <si>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</si>
  <si>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</si>
  <si>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</si>
  <si>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</si>
  <si>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</si>
  <si>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</si>
  <si>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</si>
  <si>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</si>
  <si>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</si>
  <si>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</si>
  <si>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</si>
  <si>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</si>
  <si>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</si>
  <si>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</si>
  <si>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</si>
  <si>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</si>
  <si>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</si>
  <si>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</si>
  <si>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</si>
  <si>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</si>
  <si>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</si>
  <si>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</si>
  <si>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</si>
  <si>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</si>
  <si>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</si>
  <si>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</si>
  <si>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</si>
  <si>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</si>
  <si>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</si>
  <si>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</si>
  <si>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</si>
  <si>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</si>
  <si>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</si>
  <si>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</si>
  <si>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</si>
  <si>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</si>
  <si>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</si>
  <si>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</si>
  <si>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</si>
  <si>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</si>
  <si>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</si>
  <si>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</si>
  <si>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</si>
  <si>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</si>
  <si>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</si>
  <si>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</si>
  <si>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</si>
  <si>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</si>
  <si>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</si>
  <si>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</si>
  <si>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</si>
  <si>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</si>
  <si>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</si>
  <si>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</si>
  <si>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</si>
  <si>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</si>
  <si>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</si>
  <si>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</si>
  <si>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</si>
  <si>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</si>
  <si>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</si>
  <si>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</si>
  <si>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</si>
  <si>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</si>
  <si>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</si>
  <si>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</si>
  <si>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</si>
  <si>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</si>
  <si>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</si>
  <si>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</si>
  <si>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</si>
  <si>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</si>
  <si>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</si>
  <si>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</si>
  <si>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</si>
  <si>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</si>
  <si>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</si>
  <si>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</si>
  <si>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</si>
  <si>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</si>
  <si>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</si>
  <si>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</si>
  <si>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</si>
  <si>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</si>
  <si>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</si>
  <si>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</si>
  <si>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</si>
  <si>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</si>
  <si>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</si>
  <si>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</si>
  <si>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</si>
  <si>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</si>
  <si>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</si>
  <si>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</si>
  <si>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</si>
  <si>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</si>
  <si>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</si>
  <si>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</si>
  <si>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</si>
  <si>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</si>
  <si>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</si>
  <si>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</si>
  <si>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</si>
  <si>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</si>
  <si>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</si>
  <si>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</si>
  <si>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</si>
  <si>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</si>
  <si>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</si>
  <si>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</si>
  <si>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</si>
  <si>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</si>
  <si>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</si>
  <si>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</si>
  <si>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</si>
  <si>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</si>
  <si>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</si>
  <si>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</si>
  <si>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</si>
  <si>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</si>
  <si>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</si>
  <si>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</si>
  <si>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</si>
  <si>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</si>
  <si>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</si>
  <si>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</si>
  <si>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</si>
  <si>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</si>
  <si>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</si>
  <si>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</si>
  <si>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</si>
  <si>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</si>
  <si>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</si>
  <si>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</si>
  <si>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</si>
  <si>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</si>
  <si>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</si>
  <si>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</si>
  <si>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</si>
  <si>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</si>
  <si>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</si>
  <si>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</si>
  <si>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</si>
  <si>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</si>
  <si>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</si>
  <si>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</si>
  <si>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</si>
  <si>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</si>
  <si>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</si>
  <si>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</si>
  <si>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</si>
  <si>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</si>
  <si>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</si>
  <si>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</si>
  <si>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</si>
  <si>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</si>
  <si>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</si>
  <si>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</si>
  <si>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</si>
  <si>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</si>
  <si>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</si>
  <si>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</si>
  <si>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</si>
  <si>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</si>
  <si>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</si>
  <si>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</si>
  <si>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</si>
  <si>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</si>
  <si>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</si>
  <si>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</si>
  <si>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</si>
  <si>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</si>
  <si>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</si>
  <si>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</si>
  <si>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</si>
  <si>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</si>
  <si>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</si>
  <si>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</si>
  <si>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</si>
  <si>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</si>
  <si>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</si>
  <si>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</si>
  <si>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</si>
  <si>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</si>
  <si>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</si>
  <si>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</si>
  <si>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</si>
  <si>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</si>
  <si>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</si>
  <si>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</si>
  <si>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</si>
  <si>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</si>
  <si>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</si>
  <si>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</si>
  <si>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</si>
  <si>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</si>
  <si>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</si>
  <si>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</si>
  <si>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</si>
  <si>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</si>
  <si>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</si>
  <si>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</si>
  <si>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</si>
  <si>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</si>
  <si>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</si>
  <si>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</si>
  <si>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</si>
  <si>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</si>
  <si>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</si>
  <si>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</si>
  <si>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</si>
  <si>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</si>
  <si>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</si>
  <si>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</si>
  <si>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</si>
  <si>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</si>
  <si>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</si>
  <si>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</si>
  <si>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</si>
  <si>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</si>
  <si>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</si>
  <si>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</si>
  <si>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</si>
  <si>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</si>
  <si>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</si>
  <si>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</si>
  <si>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</si>
  <si>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</si>
  <si>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</si>
  <si>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</si>
  <si>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</si>
  <si>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</si>
  <si>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</si>
  <si>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</si>
  <si>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</si>
  <si>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</si>
  <si>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</si>
  <si>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</si>
  <si>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</si>
  <si>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</si>
  <si>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</si>
  <si>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</si>
  <si>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</si>
  <si>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</si>
  <si>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</si>
  <si>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</si>
  <si>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</si>
  <si>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</si>
  <si>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</si>
  <si>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</si>
  <si>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</si>
  <si>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</si>
  <si>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</si>
  <si>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</si>
  <si>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</si>
  <si>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</si>
  <si>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</si>
  <si>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</si>
  <si>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</si>
  <si>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</si>
  <si>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</si>
  <si>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</si>
  <si>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</si>
  <si>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</si>
  <si>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</si>
  <si>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</si>
  <si>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</si>
  <si>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</si>
  <si>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</si>
  <si>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</si>
  <si>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</si>
  <si>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</si>
  <si>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</si>
  <si>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</si>
  <si>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</si>
  <si>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</si>
  <si>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</si>
  <si>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</si>
  <si>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</si>
  <si>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</si>
  <si>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</si>
  <si>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</si>
  <si>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</si>
  <si>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</si>
  <si>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</si>
  <si>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</si>
  <si>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</si>
  <si>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</si>
  <si>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</si>
  <si>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</si>
  <si>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</si>
  <si>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</si>
  <si>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</si>
  <si>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</si>
  <si>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</si>
  <si>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</si>
  <si>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</si>
  <si>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</si>
  <si>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</si>
  <si>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</si>
  <si>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</si>
  <si>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</si>
  <si>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</si>
  <si>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</si>
  <si>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</si>
  <si>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</si>
  <si>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</si>
  <si>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</si>
  <si>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</si>
  <si>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</si>
  <si>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</si>
  <si>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</si>
  <si>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</si>
  <si>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</si>
  <si>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</si>
  <si>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</si>
  <si>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</si>
  <si>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</si>
  <si>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</si>
  <si>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</si>
  <si>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</si>
  <si>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</si>
  <si>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</si>
  <si>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</si>
  <si>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</si>
  <si>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</si>
  <si>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</si>
  <si>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</si>
  <si>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</si>
  <si>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</si>
  <si>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</si>
  <si>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</si>
  <si>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</si>
  <si>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</si>
  <si>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</si>
  <si>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</si>
  <si>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</si>
  <si>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</si>
  <si>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</si>
  <si>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</si>
  <si>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</si>
  <si>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</si>
  <si>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</si>
  <si>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</si>
  <si>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</si>
  <si>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</si>
  <si>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</si>
  <si>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</si>
  <si>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</si>
  <si>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</si>
  <si>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</si>
  <si>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</si>
  <si>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</si>
  <si>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</si>
  <si>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</si>
  <si>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</si>
  <si>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</si>
  <si>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</si>
  <si>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</si>
  <si>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</si>
  <si>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</si>
  <si>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</si>
  <si>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</si>
  <si>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</si>
  <si>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</si>
  <si>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</si>
  <si>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</si>
  <si>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</si>
  <si>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</si>
  <si>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</si>
  <si>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</si>
  <si>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</si>
  <si>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</si>
  <si>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</si>
  <si>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</si>
  <si>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</si>
  <si>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</si>
  <si>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</si>
  <si>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</si>
  <si>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</si>
  <si>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</si>
  <si>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</si>
  <si>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</si>
  <si>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</si>
  <si>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</si>
  <si>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</si>
  <si>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</si>
  <si>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</si>
  <si>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</si>
  <si>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</si>
  <si>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</si>
  <si>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</si>
  <si>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</si>
  <si>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</si>
  <si>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</si>
  <si>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</si>
  <si>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</si>
  <si>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</si>
  <si>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</si>
  <si>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</si>
  <si>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</si>
  <si>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</si>
  <si>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</si>
  <si>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</si>
  <si>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</si>
  <si>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</si>
  <si>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</si>
  <si>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</si>
  <si>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</si>
  <si>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</si>
  <si>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</si>
  <si>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</si>
  <si>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</si>
  <si>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</si>
  <si>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</si>
  <si>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</si>
  <si>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</si>
  <si>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</si>
  <si>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</si>
  <si>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</si>
  <si>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</si>
  <si>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</si>
  <si>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</si>
  <si>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</si>
  <si>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</si>
  <si>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</si>
  <si>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</si>
  <si>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</si>
  <si>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</si>
  <si>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</si>
  <si>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</si>
  <si>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</si>
  <si>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</si>
  <si>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</si>
  <si>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</si>
  <si>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</si>
  <si>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</si>
  <si>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</si>
  <si>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</si>
  <si>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</si>
  <si>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</si>
  <si>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</si>
  <si>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</si>
  <si>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</si>
  <si>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</si>
  <si>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</si>
  <si>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</si>
  <si>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</si>
  <si>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</si>
  <si>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</si>
  <si>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</si>
  <si>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</si>
  <si>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</si>
  <si>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</si>
  <si>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</si>
  <si>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</si>
  <si>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</si>
  <si>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</si>
  <si>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</si>
  <si>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</si>
  <si>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</si>
  <si>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</si>
  <si>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</si>
  <si>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</si>
  <si>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</si>
  <si>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</si>
  <si>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</si>
  <si>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</si>
  <si>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</si>
  <si>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</si>
  <si>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</si>
  <si>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</si>
  <si>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</si>
  <si>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</si>
  <si>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</si>
  <si>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</si>
  <si>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</si>
  <si>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</si>
  <si>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</si>
  <si>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</si>
  <si>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</si>
  <si>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</si>
  <si>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</si>
  <si>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</si>
  <si>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</si>
  <si>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</si>
  <si>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</si>
  <si>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</si>
  <si>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</si>
  <si>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</si>
  <si>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</si>
  <si>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</si>
  <si>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</si>
  <si>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</si>
  <si>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</si>
  <si>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</si>
  <si>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</si>
  <si>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</si>
  <si>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</si>
  <si>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</si>
  <si>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</si>
  <si>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</si>
  <si>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</si>
  <si>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</si>
  <si>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</si>
  <si>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</si>
  <si>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</si>
  <si>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</si>
  <si>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</si>
  <si>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</si>
  <si>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</si>
  <si>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</si>
  <si>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</si>
  <si>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</si>
  <si>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</si>
  <si>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</si>
  <si>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</si>
  <si>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</si>
  <si>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</si>
  <si>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</si>
  <si>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</si>
  <si>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</si>
  <si>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</si>
  <si>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</si>
  <si>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</si>
  <si>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</si>
  <si>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</si>
  <si>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</si>
  <si>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</si>
  <si>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</si>
  <si>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</si>
  <si>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</si>
  <si>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</si>
  <si>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</si>
  <si>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</si>
  <si>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</si>
  <si>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</si>
  <si>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</si>
  <si>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</si>
  <si>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</si>
  <si>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</si>
  <si>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</si>
  <si>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</si>
  <si>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</si>
  <si>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</si>
  <si>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</si>
  <si>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</si>
  <si>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</si>
  <si>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</si>
  <si>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</si>
  <si>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</si>
  <si>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</si>
  <si>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</si>
  <si>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</si>
  <si>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</si>
  <si>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</si>
  <si>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</si>
  <si>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</si>
  <si>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</si>
  <si>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</si>
  <si>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</si>
  <si>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</si>
  <si>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</si>
  <si>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</si>
  <si>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</si>
  <si>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</si>
  <si>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</si>
  <si>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</si>
  <si>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</si>
  <si>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</si>
  <si>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</si>
  <si>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</si>
  <si>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</si>
  <si>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</si>
  <si>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</si>
  <si>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</si>
  <si>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</si>
  <si>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</si>
  <si>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</si>
  <si>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</si>
  <si>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</si>
  <si>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</si>
  <si>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</si>
  <si>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</si>
  <si>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</si>
  <si>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</si>
  <si>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</si>
  <si>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</si>
  <si>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</si>
  <si>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</si>
  <si>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</si>
  <si>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</si>
  <si>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</si>
  <si>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</si>
  <si>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</si>
  <si>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</si>
  <si>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</si>
  <si>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</si>
  <si>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</si>
  <si>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</si>
  <si>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</si>
  <si>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</si>
  <si>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</si>
  <si>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</si>
  <si>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</si>
  <si>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</si>
  <si>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</si>
  <si>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</si>
  <si>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</si>
  <si>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</si>
  <si>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</si>
  <si>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</si>
  <si>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</si>
  <si>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</si>
  <si>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</si>
  <si>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</si>
  <si>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</si>
  <si>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</si>
  <si>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</si>
  <si>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</si>
  <si>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</si>
  <si>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</si>
  <si>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</si>
  <si>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</si>
  <si>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</si>
  <si>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</si>
  <si>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</si>
  <si>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</si>
  <si>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</si>
  <si>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</si>
  <si>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</si>
  <si>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</si>
  <si>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</si>
  <si>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</si>
  <si>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</si>
  <si>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</si>
  <si>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</si>
  <si>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</si>
  <si>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</si>
  <si>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</si>
  <si>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</si>
  <si>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</si>
  <si>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</si>
  <si>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</si>
  <si>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</si>
  <si>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</si>
  <si>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</si>
  <si>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</si>
  <si>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</si>
  <si>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</si>
  <si>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</si>
  <si>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</si>
  <si>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</si>
  <si>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</si>
  <si>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</si>
  <si>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</si>
  <si>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</si>
  <si>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</si>
  <si>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</si>
  <si>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</si>
  <si>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</si>
  <si>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</si>
  <si>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</si>
  <si>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</si>
  <si>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</si>
  <si>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</si>
  <si>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</si>
  <si>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</si>
  <si>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</si>
  <si>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</si>
  <si>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</si>
  <si>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</si>
  <si>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</si>
  <si>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</si>
  <si>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</si>
  <si>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</si>
  <si>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</si>
  <si>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</si>
  <si>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</si>
  <si>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</si>
  <si>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</si>
  <si>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</si>
  <si>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</si>
  <si>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</si>
  <si>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</si>
  <si>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</si>
  <si>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</si>
  <si>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</si>
  <si>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</si>
  <si>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</si>
  <si>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</si>
  <si>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</si>
  <si>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</si>
  <si>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</si>
  <si>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</si>
  <si>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</si>
  <si>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</si>
  <si>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</si>
  <si>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</si>
  <si>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</si>
  <si>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</si>
  <si>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</si>
  <si>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</si>
  <si>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</si>
  <si>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</si>
  <si>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</si>
  <si>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</si>
  <si>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</si>
  <si>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</si>
  <si>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</si>
  <si>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</si>
  <si>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</si>
  <si>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</si>
  <si>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</si>
  <si>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</si>
  <si>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</si>
  <si>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</si>
  <si>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</si>
  <si>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</si>
  <si>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</si>
  <si>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</si>
  <si>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</si>
  <si>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</si>
  <si>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</si>
  <si>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</si>
  <si>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</si>
  <si>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</si>
  <si>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</si>
  <si>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</si>
  <si>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</si>
  <si>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</si>
  <si>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</si>
  <si>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</si>
  <si>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</si>
  <si>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</si>
  <si>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</si>
  <si>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</si>
  <si>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</si>
  <si>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</si>
  <si>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</si>
  <si>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</si>
  <si>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</si>
  <si>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</si>
  <si>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</si>
  <si>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</si>
  <si>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</si>
  <si>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</si>
  <si>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</si>
  <si>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</si>
  <si>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</si>
  <si>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</si>
  <si>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</si>
  <si>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</si>
  <si>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</si>
  <si>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</si>
  <si>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</si>
  <si>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</si>
  <si>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</si>
  <si>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</si>
  <si>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</si>
  <si>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</si>
  <si>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</si>
  <si>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</si>
  <si>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</si>
  <si>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</si>
  <si>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</si>
  <si>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</si>
  <si>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</si>
  <si>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</si>
  <si>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</si>
  <si>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</si>
  <si>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</si>
  <si>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</si>
  <si>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</si>
  <si>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</si>
  <si>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</si>
  <si>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</si>
  <si>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</si>
  <si>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</si>
  <si>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</si>
  <si>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</si>
  <si>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</si>
  <si>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</si>
  <si>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</si>
  <si>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</si>
  <si>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</si>
  <si>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</si>
  <si>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</si>
  <si>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</si>
  <si>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</si>
  <si>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</si>
  <si>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</si>
  <si>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</si>
  <si>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</si>
  <si>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</si>
  <si>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</si>
  <si>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</si>
  <si>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</si>
  <si>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</si>
  <si>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</si>
  <si>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</si>
  <si>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</si>
  <si>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</si>
  <si>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</si>
  <si>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</si>
  <si>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</si>
  <si>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</si>
  <si>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</si>
  <si>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</si>
  <si>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</si>
  <si>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</si>
  <si>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</si>
  <si>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</si>
  <si>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</si>
  <si>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</si>
  <si>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</si>
  <si>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</si>
  <si>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</si>
  <si>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</si>
  <si>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</si>
  <si>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</si>
  <si>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</si>
  <si>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</si>
  <si>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</si>
  <si>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</si>
  <si>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</si>
  <si>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</si>
  <si>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</si>
  <si>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</si>
  <si>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</si>
  <si>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</si>
  <si>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</si>
  <si>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</si>
  <si>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</si>
  <si>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</si>
  <si>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</si>
  <si>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</si>
  <si>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</si>
  <si>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</si>
  <si>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</si>
  <si>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</si>
  <si>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</si>
  <si>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</si>
  <si>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</si>
  <si>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</si>
  <si>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</si>
  <si>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</si>
  <si>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</si>
  <si>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</si>
  <si>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</si>
  <si>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</si>
  <si>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</si>
  <si>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</si>
  <si>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</si>
  <si>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</si>
  <si>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</si>
  <si>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</si>
  <si>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</si>
  <si>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</si>
  <si>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</si>
  <si>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</si>
  <si>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</si>
  <si>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</si>
  <si>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</si>
  <si>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</si>
  <si>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</si>
  <si>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</si>
  <si>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</si>
  <si>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</si>
  <si>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</si>
  <si>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</si>
  <si>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</si>
  <si>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</si>
  <si>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</si>
  <si>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</si>
  <si>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</si>
  <si>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</si>
  <si>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</si>
  <si>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</si>
  <si>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</si>
  <si>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</si>
  <si>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</si>
  <si>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</si>
  <si>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</si>
  <si>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</si>
  <si>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</si>
  <si>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</si>
  <si>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</si>
  <si>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</si>
  <si>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</si>
  <si>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</si>
  <si>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</si>
  <si>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</si>
  <si>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</si>
  <si>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</si>
  <si>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</si>
  <si>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</si>
  <si>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</si>
  <si>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</si>
  <si>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</si>
  <si>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</si>
  <si>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</si>
  <si>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</si>
  <si>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</si>
  <si>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</si>
  <si>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</si>
  <si>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</si>
  <si>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</si>
  <si>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</si>
  <si>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</si>
  <si>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</si>
  <si>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</si>
  <si>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</si>
  <si>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</si>
  <si>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</si>
  <si>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</si>
  <si>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</si>
  <si>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</si>
  <si>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</si>
  <si>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</si>
  <si>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</si>
  <si>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</si>
  <si>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</si>
  <si>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</si>
  <si>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</si>
  <si>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</si>
  <si>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</si>
  <si>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</si>
  <si>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</si>
  <si>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</si>
  <si>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</si>
  <si>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</si>
  <si>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</si>
  <si>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</si>
  <si>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</si>
  <si>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</si>
  <si>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</si>
  <si>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</si>
  <si>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</si>
  <si>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</si>
  <si>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</si>
  <si>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</si>
  <si>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</si>
  <si>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</si>
  <si>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</si>
  <si>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</si>
  <si>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</si>
  <si>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</si>
  <si>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</si>
  <si>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</si>
  <si>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</si>
  <si>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</si>
  <si>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</si>
  <si>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</si>
  <si>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</si>
  <si>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</si>
  <si>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</si>
  <si>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</si>
  <si>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</si>
  <si>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</si>
  <si>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</si>
  <si>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</si>
  <si>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</si>
  <si>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</si>
  <si>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</si>
  <si>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</si>
  <si>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</si>
  <si>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</si>
  <si>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</si>
  <si>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</si>
  <si>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</si>
  <si>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</si>
  <si>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</si>
  <si>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</si>
  <si>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</si>
  <si>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</si>
  <si>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</si>
  <si>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</si>
  <si>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</si>
  <si>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</si>
  <si>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</si>
  <si>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</si>
  <si>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</si>
  <si>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</si>
  <si>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</si>
  <si>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</si>
  <si>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</si>
  <si>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</si>
  <si>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</si>
  <si>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</si>
  <si>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</si>
  <si>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</si>
  <si>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</si>
  <si>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</si>
  <si>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</si>
  <si>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</si>
  <si>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</si>
  <si>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</si>
  <si>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</si>
  <si>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</si>
  <si>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</si>
  <si>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</si>
  <si>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</si>
  <si>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</si>
  <si>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</si>
  <si>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</si>
  <si>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</si>
  <si>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</si>
  <si>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</si>
  <si>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</si>
  <si>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</si>
  <si>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</si>
  <si>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</si>
  <si>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</si>
  <si>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</si>
  <si>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</si>
  <si>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</si>
  <si>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</si>
  <si>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</si>
  <si>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</si>
  <si>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</si>
  <si>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</si>
  <si>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</si>
  <si>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</si>
  <si>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</si>
  <si>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</si>
  <si>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</si>
  <si>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</si>
  <si>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</si>
  <si>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</si>
  <si>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</si>
  <si>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</si>
  <si>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</si>
  <si>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</si>
  <si>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</si>
  <si>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</si>
  <si>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</si>
  <si>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</si>
  <si>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</si>
  <si>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</si>
  <si>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</si>
  <si>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</si>
  <si>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</si>
  <si>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</si>
  <si>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</si>
  <si>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</si>
  <si>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</si>
  <si>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</si>
  <si>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</si>
  <si>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</si>
  <si>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</si>
  <si>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</si>
  <si>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</si>
  <si>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</si>
  <si>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</si>
  <si>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</si>
  <si>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</si>
  <si>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</si>
  <si>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</si>
  <si>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</si>
  <si>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</si>
  <si>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</si>
  <si>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</si>
  <si>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</si>
  <si>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</si>
  <si>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</si>
  <si>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</si>
  <si>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</si>
  <si>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</si>
  <si>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</si>
  <si>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</si>
  <si>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</si>
  <si>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</si>
  <si>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</si>
  <si>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</si>
  <si>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</si>
  <si>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</si>
  <si>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</si>
  <si>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</si>
  <si>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</si>
  <si>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</si>
  <si>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</si>
  <si>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</si>
  <si>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</si>
  <si>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</si>
  <si>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</si>
  <si>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</si>
  <si>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</si>
  <si>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</si>
  <si>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</si>
  <si>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</si>
  <si>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</si>
  <si>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</si>
  <si>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</si>
  <si>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</si>
  <si>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</si>
  <si>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</si>
  <si>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</si>
  <si>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</si>
  <si>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</si>
  <si>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</si>
  <si>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</si>
  <si>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</si>
  <si>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</si>
  <si>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</si>
  <si>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</si>
  <si>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</si>
  <si>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</si>
  <si>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</si>
  <si>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</si>
  <si>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</si>
  <si>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</si>
  <si>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</si>
  <si>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</si>
  <si>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</si>
  <si>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</si>
  <si>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</si>
  <si>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</si>
  <si>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</si>
  <si>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</si>
  <si>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</si>
  <si>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</si>
  <si>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</si>
  <si>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</si>
  <si>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</si>
  <si>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</si>
  <si>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</si>
  <si>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</si>
  <si>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</si>
  <si>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</si>
  <si>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</si>
  <si>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</si>
  <si>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</si>
  <si>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</si>
  <si>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</si>
  <si>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</si>
  <si>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</si>
  <si>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</si>
  <si>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</si>
  <si>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</si>
  <si>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</si>
  <si>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</si>
  <si>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</si>
  <si>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</si>
  <si>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</si>
  <si>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</si>
  <si>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</si>
  <si>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</si>
  <si>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</si>
  <si>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</si>
  <si>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</si>
  <si>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</si>
  <si>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</si>
  <si>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</si>
  <si>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</si>
  <si>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</si>
  <si>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</si>
  <si>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</si>
  <si>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</si>
  <si>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</si>
  <si>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</si>
  <si>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</si>
  <si>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</si>
  <si>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</si>
  <si>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</si>
  <si>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</si>
  <si>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</si>
  <si>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</si>
  <si>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</si>
  <si>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</si>
  <si>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</si>
  <si>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</si>
  <si>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</si>
  <si>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</si>
  <si>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</si>
  <si>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</si>
  <si>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</si>
  <si>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</si>
  <si>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</si>
  <si>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</si>
  <si>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</si>
  <si>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</si>
  <si>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</si>
  <si>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</si>
  <si>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</si>
  <si>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</si>
  <si>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</si>
  <si>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</si>
  <si>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</si>
  <si>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</si>
  <si>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</si>
  <si>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</si>
  <si>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</si>
  <si>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</si>
  <si>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</si>
  <si>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</si>
  <si>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</si>
  <si>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</si>
  <si>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</si>
  <si>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</si>
  <si>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</si>
  <si>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</si>
  <si>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</si>
  <si>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</si>
  <si>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</si>
  <si>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</si>
  <si>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</si>
  <si>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</si>
  <si>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</si>
  <si>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</si>
  <si>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</si>
  <si>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</si>
  <si>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</si>
  <si>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</si>
  <si>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</si>
  <si>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</si>
  <si>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</si>
  <si>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</si>
  <si>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</si>
  <si>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</si>
  <si>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</si>
  <si>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</si>
  <si>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</si>
  <si>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</si>
  <si>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</si>
  <si>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</si>
  <si>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</si>
  <si>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</si>
  <si>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</si>
  <si>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</si>
  <si>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</si>
  <si>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</si>
  <si>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</si>
  <si>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</si>
  <si>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</si>
  <si>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</si>
  <si>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</si>
  <si>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</si>
  <si>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</si>
  <si>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</si>
  <si>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</si>
  <si>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</si>
  <si>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</si>
  <si>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</si>
  <si>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</si>
  <si>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</si>
  <si>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</si>
  <si>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</si>
  <si>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</si>
  <si>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</si>
  <si>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</si>
  <si>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</si>
  <si>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</si>
  <si>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</si>
  <si>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</si>
  <si>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</si>
  <si>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</si>
  <si>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</si>
  <si>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</si>
  <si>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</si>
  <si>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</si>
  <si>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</si>
  <si>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</si>
  <si>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</si>
  <si>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</si>
  <si>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</si>
  <si>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</si>
  <si>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</si>
  <si>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</si>
  <si>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</si>
  <si>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</si>
  <si>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</si>
  <si>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</si>
  <si>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</si>
  <si>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</si>
  <si>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</si>
  <si>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</si>
  <si>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</si>
  <si>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</si>
  <si>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</si>
  <si>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</si>
  <si>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</si>
  <si>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</si>
  <si>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</si>
  <si>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</si>
  <si>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</si>
  <si>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</si>
  <si>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</si>
  <si>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</si>
  <si>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</si>
  <si>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</si>
  <si>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</si>
  <si>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</si>
  <si>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</si>
  <si>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</si>
  <si>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</si>
  <si>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</si>
  <si>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</si>
  <si>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</si>
  <si>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</si>
  <si>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</si>
  <si>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</si>
  <si>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</si>
  <si>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</si>
  <si>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</si>
  <si>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</si>
  <si>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</si>
  <si>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</si>
  <si>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</si>
  <si>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</si>
  <si>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</si>
  <si>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</si>
  <si>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</si>
  <si>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</si>
  <si>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</si>
  <si>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</si>
  <si>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</si>
  <si>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</si>
  <si>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</si>
  <si>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</si>
  <si>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</si>
  <si>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</si>
  <si>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</si>
  <si>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</si>
  <si>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</si>
  <si>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</si>
  <si>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</si>
  <si>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</si>
  <si>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</si>
  <si>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</si>
  <si>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</si>
  <si>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</si>
  <si>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</si>
  <si>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</si>
  <si>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</si>
  <si>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</si>
  <si>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</si>
  <si>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</si>
  <si>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</si>
  <si>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</si>
  <si>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</si>
  <si>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</si>
  <si>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</si>
  <si>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</si>
  <si>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</si>
  <si>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</si>
  <si>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</si>
  <si>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</si>
  <si>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</si>
  <si>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</si>
  <si>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</si>
  <si>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</si>
  <si>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</si>
  <si>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</si>
  <si>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</si>
  <si>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</si>
  <si>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</si>
  <si>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</si>
  <si>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</si>
  <si>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</si>
  <si>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</si>
  <si>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</si>
  <si>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</si>
  <si>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</si>
  <si>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</si>
  <si>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</si>
  <si>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</si>
  <si>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</si>
  <si>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</si>
  <si>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</si>
  <si>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</si>
  <si>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</si>
  <si>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</si>
  <si>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</si>
  <si>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</si>
  <si>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</si>
  <si>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</si>
  <si>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</si>
  <si>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</si>
  <si>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</si>
  <si>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</si>
  <si>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</si>
  <si>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</si>
  <si>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</si>
  <si>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</si>
  <si>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</si>
  <si>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</si>
  <si>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</si>
  <si>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</si>
  <si>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</si>
  <si>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</si>
  <si>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</si>
  <si>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</si>
  <si>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</si>
  <si>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</si>
  <si>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</si>
  <si>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</si>
  <si>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</si>
  <si>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</si>
  <si>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</si>
  <si>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</si>
  <si>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</si>
  <si>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</si>
  <si>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</si>
  <si>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</si>
  <si>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</si>
  <si>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</si>
  <si>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</si>
  <si>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</si>
  <si>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</si>
  <si>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</si>
  <si>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</si>
  <si>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</si>
  <si>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</si>
  <si>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</si>
  <si>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</si>
  <si>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</si>
  <si>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</si>
  <si>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</si>
  <si>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</si>
  <si>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</si>
  <si>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</si>
  <si>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</si>
  <si>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</si>
  <si>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</si>
  <si>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</si>
  <si>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</si>
  <si>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</si>
  <si>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</si>
  <si>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</si>
  <si>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</si>
  <si>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</si>
  <si>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</si>
  <si>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</si>
  <si>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</si>
  <si>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</si>
  <si>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</si>
  <si>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</si>
  <si>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</si>
  <si>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</si>
  <si>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</si>
  <si>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</si>
  <si>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</si>
  <si>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</si>
  <si>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</si>
  <si>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</si>
  <si>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</si>
  <si>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</si>
  <si>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</si>
  <si>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</si>
  <si>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</si>
  <si>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</si>
  <si>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</si>
  <si>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</si>
  <si>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</si>
  <si>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</si>
  <si>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</si>
  <si>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</si>
  <si>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</si>
  <si>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</si>
  <si>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</si>
  <si>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</si>
  <si>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</si>
  <si>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</si>
  <si>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</si>
  <si>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</si>
  <si>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</si>
  <si>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</si>
  <si>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</si>
  <si>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</si>
  <si>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</si>
  <si>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</si>
  <si>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</si>
  <si>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</si>
  <si>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</si>
  <si>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</si>
  <si>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</si>
  <si>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</si>
  <si>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</si>
  <si>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</si>
  <si>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</si>
  <si>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</si>
  <si>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</si>
  <si>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</si>
  <si>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</si>
  <si>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</si>
  <si>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</si>
  <si>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</si>
  <si>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</si>
  <si>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</si>
  <si>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</si>
  <si>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</si>
  <si>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</si>
  <si>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</si>
  <si>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</si>
  <si>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</si>
  <si>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</si>
  <si>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</si>
  <si>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</si>
  <si>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</si>
  <si>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</si>
  <si>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</si>
  <si>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</si>
  <si>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</si>
  <si>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</si>
  <si>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</si>
  <si>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</si>
  <si>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</si>
  <si>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</si>
  <si>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</si>
  <si>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</si>
  <si>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</si>
  <si>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</si>
  <si>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</si>
  <si>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</si>
  <si>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</si>
  <si>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</si>
  <si>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</si>
  <si>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</si>
  <si>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</si>
  <si>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</si>
  <si>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</si>
  <si>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</si>
  <si>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</si>
  <si>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</si>
  <si>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</si>
  <si>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</si>
  <si>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</si>
  <si>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</si>
  <si>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</si>
  <si>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</si>
  <si>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</si>
  <si>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</si>
  <si>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</si>
  <si>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</si>
  <si>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</si>
  <si>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</si>
  <si>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</si>
  <si>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</si>
  <si>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</si>
  <si>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</si>
  <si>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</si>
  <si>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</si>
  <si>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</si>
  <si>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</si>
  <si>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</si>
  <si>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</si>
  <si>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</si>
  <si>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</si>
  <si>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</si>
  <si>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</si>
  <si>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</si>
  <si>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</si>
  <si>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</si>
  <si>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</si>
  <si>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</si>
  <si>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</si>
  <si>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</si>
  <si>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</si>
  <si>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</si>
  <si>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</si>
  <si>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</si>
  <si>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</si>
  <si>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</si>
  <si>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</si>
  <si>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</si>
  <si>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</si>
  <si>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</si>
  <si>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</si>
  <si>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</si>
  <si>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</si>
  <si>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</si>
  <si>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</si>
  <si>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</si>
  <si>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</si>
  <si>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</si>
  <si>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</si>
  <si>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</si>
  <si>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</si>
  <si>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</si>
  <si>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</si>
  <si>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</si>
  <si>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</si>
  <si>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</si>
  <si>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</si>
  <si>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</si>
  <si>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</si>
  <si>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</si>
  <si>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</si>
  <si>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</si>
  <si>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</si>
  <si>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</si>
  <si>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</si>
  <si>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</si>
  <si>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</si>
  <si>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</si>
  <si>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</si>
  <si>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</si>
  <si>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</si>
  <si>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</si>
  <si>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</si>
  <si>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</si>
  <si>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</si>
  <si>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</si>
  <si>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</si>
  <si>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</si>
  <si>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</si>
  <si>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</si>
  <si>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</si>
  <si>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</si>
  <si>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</si>
  <si>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</si>
  <si>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</si>
  <si>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</si>
  <si>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</si>
  <si>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</si>
  <si>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</si>
  <si>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</si>
  <si>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</si>
  <si>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</si>
  <si>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</si>
  <si>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</si>
  <si>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</si>
  <si>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</si>
  <si>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</si>
  <si>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</si>
  <si>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</si>
  <si>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</si>
  <si>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</si>
  <si>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</si>
  <si>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</si>
  <si>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</si>
  <si>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</si>
  <si>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</si>
  <si>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</si>
  <si>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</si>
  <si>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</si>
  <si>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</si>
  <si>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</si>
  <si>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</si>
  <si>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</si>
  <si>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</si>
  <si>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</si>
  <si>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</si>
  <si>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</si>
  <si>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</si>
  <si>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</si>
  <si>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</si>
  <si>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</si>
  <si>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</si>
  <si>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</si>
  <si>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</si>
  <si>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</si>
  <si>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</si>
  <si>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</si>
  <si>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</si>
  <si>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</si>
  <si>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</si>
  <si>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</si>
  <si>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</si>
  <si>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</si>
  <si>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</si>
  <si>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</si>
  <si>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</si>
  <si>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</si>
  <si>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</si>
  <si>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</si>
  <si>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</si>
  <si>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</si>
  <si>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</si>
  <si>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</si>
  <si>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</si>
  <si>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</si>
  <si>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</si>
  <si>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</si>
  <si>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</si>
  <si>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</si>
  <si>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</si>
  <si>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</si>
  <si>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</si>
  <si>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</si>
  <si>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</si>
  <si>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</si>
  <si>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</si>
  <si>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</si>
  <si>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</si>
  <si>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</si>
  <si>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</si>
  <si>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</si>
  <si>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</si>
  <si>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</si>
  <si>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</si>
  <si>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</si>
  <si>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</si>
  <si>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</si>
  <si>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</si>
  <si>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</si>
  <si>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</si>
  <si>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</si>
  <si>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</si>
  <si>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</si>
  <si>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</si>
  <si>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</si>
  <si>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</si>
  <si>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</si>
  <si>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</si>
  <si>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</si>
  <si>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</si>
  <si>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</si>
  <si>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</si>
  <si>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</si>
  <si>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</si>
  <si>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</si>
  <si>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</si>
  <si>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</si>
  <si>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</si>
  <si>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</si>
  <si>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</si>
  <si>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</si>
  <si>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</si>
  <si>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</si>
  <si>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</si>
  <si>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</si>
  <si>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</si>
  <si>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</si>
  <si>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</si>
  <si>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</si>
  <si>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</si>
  <si>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</si>
  <si>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</si>
  <si>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</si>
  <si>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</si>
  <si>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</si>
  <si>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</si>
  <si>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</si>
  <si>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</si>
  <si>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</si>
  <si>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</si>
  <si>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</si>
  <si>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</si>
  <si>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</si>
  <si>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</si>
  <si>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</si>
  <si>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</si>
  <si>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</si>
  <si>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</si>
  <si>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</si>
  <si>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</si>
  <si>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</si>
  <si>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</si>
  <si>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</si>
  <si>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</si>
  <si>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</si>
  <si>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</si>
  <si>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</si>
  <si>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</si>
  <si>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</si>
  <si>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</si>
  <si>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</si>
  <si>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</si>
  <si>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</si>
  <si>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</si>
  <si>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</si>
  <si>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</si>
  <si>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</si>
  <si>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</si>
  <si>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</si>
  <si>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</si>
  <si>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</si>
  <si>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</si>
  <si>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</si>
  <si>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</si>
  <si>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</si>
  <si>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</si>
  <si>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</si>
  <si>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</si>
  <si>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</si>
  <si>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</si>
  <si>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</si>
  <si>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</si>
  <si>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</si>
  <si>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</si>
  <si>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</si>
  <si>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</si>
  <si>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</si>
  <si>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</si>
  <si>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</si>
  <si>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</si>
  <si>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</si>
  <si>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</si>
  <si>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</si>
  <si>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</si>
  <si>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</si>
  <si>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</si>
  <si>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</si>
  <si>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</si>
  <si>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</si>
  <si>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</si>
  <si>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</si>
  <si>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</si>
  <si>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</si>
  <si>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</si>
  <si>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</si>
  <si>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</si>
  <si>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</si>
  <si>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</si>
  <si>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</si>
  <si>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</si>
  <si>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</si>
  <si>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</si>
  <si>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</si>
  <si>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</si>
  <si>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</si>
  <si>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</si>
  <si>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</si>
  <si>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</si>
  <si>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</si>
  <si>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</si>
  <si>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</si>
  <si>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</si>
  <si>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</si>
  <si>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</si>
  <si>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</si>
  <si>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</si>
  <si>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</si>
  <si>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</si>
  <si>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</si>
  <si>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</si>
  <si>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</si>
  <si>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</si>
  <si>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</si>
  <si>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</si>
  <si>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</si>
  <si>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</si>
  <si>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</si>
  <si>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</si>
  <si>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</si>
  <si>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</si>
  <si>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</si>
  <si>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</si>
  <si>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</si>
  <si>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</si>
  <si>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</si>
  <si>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</si>
  <si>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</si>
  <si>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</si>
  <si>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</si>
  <si>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</si>
  <si>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</si>
  <si>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</si>
  <si>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</si>
  <si>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</si>
  <si>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</si>
  <si>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</si>
  <si>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</si>
  <si>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</si>
  <si>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</si>
  <si>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</si>
  <si>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</si>
  <si>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</si>
  <si>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</si>
  <si>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</si>
  <si>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</si>
  <si>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</si>
  <si>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</si>
  <si>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</si>
  <si>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</si>
  <si>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</si>
  <si>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</si>
  <si>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</si>
  <si>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</si>
  <si>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</si>
  <si>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</si>
  <si>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</si>
  <si>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</si>
  <si>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</si>
  <si>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</si>
  <si>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</si>
  <si>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</si>
  <si>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</si>
  <si>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</si>
  <si>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</si>
  <si>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</si>
  <si>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</si>
  <si>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</si>
  <si>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</si>
  <si>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</si>
  <si>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</si>
  <si>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</si>
  <si>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</si>
  <si>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</si>
  <si>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</si>
  <si>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</si>
  <si>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</si>
  <si>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</si>
  <si>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</si>
  <si>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</si>
  <si>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</si>
  <si>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</si>
  <si>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</si>
  <si>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</si>
  <si>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</si>
  <si>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</si>
  <si>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</si>
  <si>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</si>
  <si>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</si>
  <si>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</si>
  <si>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</si>
  <si>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</si>
  <si>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</si>
  <si>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</si>
  <si>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</si>
  <si>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</si>
  <si>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</si>
  <si>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</si>
  <si>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</si>
  <si>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</si>
  <si>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</si>
  <si>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</si>
  <si>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</si>
  <si>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</si>
  <si>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</si>
  <si>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</si>
  <si>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</si>
  <si>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</si>
  <si>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</si>
  <si>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</si>
  <si>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</si>
  <si>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</si>
  <si>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</si>
  <si>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</si>
  <si>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</si>
  <si>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</si>
  <si>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</si>
  <si>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</si>
  <si>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</si>
  <si>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</si>
  <si>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</si>
  <si>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</si>
  <si>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</si>
  <si>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</si>
  <si>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</si>
  <si>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</si>
  <si>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</si>
  <si>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</si>
  <si>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</si>
  <si>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</si>
  <si>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</si>
  <si>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</si>
  <si>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</si>
  <si>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</si>
  <si>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</si>
  <si>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</si>
  <si>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</si>
  <si>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</si>
  <si>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</si>
  <si>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</si>
  <si>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</si>
  <si>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</si>
  <si>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</si>
  <si>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</si>
  <si>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</si>
  <si>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</si>
  <si>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</si>
  <si>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</si>
  <si>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</si>
  <si>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</si>
  <si>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</si>
  <si>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</si>
  <si>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</si>
  <si>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</si>
  <si>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</si>
  <si>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</si>
  <si>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</si>
  <si>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</si>
  <si>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</si>
  <si>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</si>
  <si>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</si>
  <si>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</si>
  <si>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</si>
  <si>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</si>
  <si>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</si>
  <si>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</si>
  <si>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</si>
  <si>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</si>
  <si>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</si>
  <si>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</si>
  <si>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</si>
  <si>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</si>
  <si>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</si>
  <si>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</si>
  <si>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</si>
  <si>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</si>
  <si>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</si>
  <si>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</si>
  <si>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</si>
  <si>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</si>
  <si>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</si>
  <si>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</si>
  <si>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</si>
  <si>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</si>
  <si>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</si>
  <si>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</si>
  <si>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</si>
  <si>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</si>
  <si>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</si>
  <si>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</si>
  <si>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</si>
  <si>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</si>
  <si>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</si>
  <si>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</si>
  <si>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</si>
  <si>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</si>
  <si>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</si>
  <si>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</si>
  <si>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</si>
  <si>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</si>
  <si>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</si>
  <si>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</si>
  <si>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</si>
  <si>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</si>
  <si>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</si>
  <si>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</si>
  <si>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</si>
  <si>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</si>
  <si>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</si>
  <si>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</si>
  <si>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</si>
  <si>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</si>
  <si>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</si>
  <si>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</si>
  <si>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</si>
  <si>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</si>
  <si>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</si>
  <si>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</si>
  <si>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</si>
  <si>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</si>
  <si>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</si>
  <si>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</si>
  <si>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</si>
  <si>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</si>
  <si>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</si>
  <si>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</si>
  <si>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</si>
  <si>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</si>
  <si>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</si>
  <si>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</si>
  <si>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</si>
  <si>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</si>
  <si>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</si>
  <si>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</si>
  <si>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</si>
  <si>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</si>
  <si>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</si>
  <si>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</si>
  <si>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</si>
  <si>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</si>
  <si>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</si>
  <si>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</si>
  <si>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</si>
  <si>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</si>
  <si>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</si>
  <si>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</si>
  <si>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</si>
  <si>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</si>
  <si>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</si>
  <si>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</si>
  <si>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</si>
  <si>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</si>
  <si>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</si>
  <si>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</si>
  <si>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</si>
  <si>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</si>
  <si>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</si>
  <si>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</si>
  <si>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</si>
  <si>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</si>
  <si>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</si>
  <si>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</si>
  <si>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</si>
  <si>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</si>
  <si>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</si>
  <si>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</si>
  <si>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</si>
  <si>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</si>
  <si>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</si>
  <si>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</si>
  <si>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</si>
  <si>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</si>
  <si>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</si>
  <si>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</si>
  <si>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</si>
  <si>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</si>
  <si>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</si>
  <si>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</si>
  <si>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</si>
  <si>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</si>
  <si>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</si>
  <si>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</si>
  <si>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</si>
  <si>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</si>
  <si>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</si>
  <si>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</si>
  <si>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</si>
  <si>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</si>
  <si>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</si>
  <si>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</si>
  <si>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</si>
  <si>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</si>
  <si>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</si>
  <si>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</si>
  <si>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</si>
  <si>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</si>
  <si>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</si>
  <si>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</si>
  <si>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</si>
  <si>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</si>
  <si>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</si>
  <si>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</si>
  <si>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</si>
  <si>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</si>
  <si>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</si>
  <si>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</si>
  <si>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</si>
  <si>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</si>
  <si>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</si>
  <si>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</si>
  <si>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</si>
  <si>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</si>
  <si>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</si>
  <si>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</si>
  <si>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</si>
  <si>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</si>
  <si>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</si>
  <si>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</si>
  <si>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</si>
  <si>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</si>
  <si>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</si>
  <si>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</si>
  <si>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</si>
  <si>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</si>
  <si>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</si>
  <si>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</si>
  <si>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</si>
  <si>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</si>
  <si>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</si>
  <si>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</si>
  <si>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</si>
  <si>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</si>
  <si>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</si>
  <si>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</si>
  <si>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</si>
  <si>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</si>
  <si>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</si>
  <si>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</si>
  <si>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</si>
  <si>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</si>
  <si>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</si>
  <si>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</si>
  <si>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</si>
  <si>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</si>
  <si>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</si>
  <si>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</si>
  <si>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</si>
  <si>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</si>
  <si>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</si>
  <si>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</si>
  <si>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</si>
  <si>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</si>
  <si>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</si>
  <si>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</si>
  <si>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</si>
  <si>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</si>
  <si>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</si>
  <si>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</si>
  <si>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</si>
  <si>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</si>
  <si>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</si>
  <si>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</si>
  <si>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</si>
  <si>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</si>
  <si>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</si>
  <si>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</si>
  <si>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</si>
  <si>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</si>
  <si>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</si>
  <si>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</si>
  <si>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</si>
  <si>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</si>
  <si>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</si>
  <si>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</si>
  <si>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</si>
  <si>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</si>
  <si>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</si>
  <si>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</si>
  <si>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</si>
  <si>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</si>
  <si>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</si>
  <si>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</si>
  <si>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</si>
  <si>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</si>
  <si>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</si>
  <si>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</si>
  <si>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</si>
  <si>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</si>
  <si>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</si>
  <si>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</si>
  <si>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</si>
  <si>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</si>
  <si>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</si>
  <si>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</si>
  <si>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</si>
  <si>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</si>
  <si>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</si>
  <si>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</si>
  <si>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</si>
  <si>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</si>
  <si>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</si>
  <si>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</si>
  <si>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</si>
  <si>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</si>
  <si>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</si>
  <si>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</si>
  <si>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</si>
  <si>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</si>
  <si>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</si>
  <si>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</si>
  <si>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</si>
  <si>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</si>
  <si>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</si>
  <si>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</si>
  <si>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</si>
  <si>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</si>
  <si>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</si>
  <si>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</si>
  <si>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</si>
  <si>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</si>
  <si>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</si>
  <si>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</si>
  <si>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</si>
  <si>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</si>
  <si>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</si>
  <si>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</si>
  <si>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</si>
  <si>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</si>
  <si>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</si>
  <si>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</si>
  <si>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</si>
  <si>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</si>
  <si>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</si>
  <si>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</si>
  <si>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</si>
  <si>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</si>
  <si>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</si>
  <si>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</si>
  <si>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</si>
  <si>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</si>
  <si>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</si>
  <si>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</si>
  <si>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</si>
  <si>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</si>
  <si>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</si>
  <si>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</si>
  <si>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</si>
  <si>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</si>
  <si>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</si>
  <si>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</si>
  <si>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</si>
  <si>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</si>
  <si>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</si>
  <si>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</si>
  <si>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</si>
  <si>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</si>
  <si>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</si>
  <si>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</si>
  <si>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</si>
  <si>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</si>
  <si>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</si>
  <si>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</si>
  <si>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</si>
  <si>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</si>
  <si>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</si>
  <si>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</si>
  <si>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</si>
  <si>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</si>
  <si>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</si>
  <si>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</si>
  <si>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</si>
  <si>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</si>
  <si>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</si>
  <si>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</si>
  <si>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</si>
  <si>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</si>
  <si>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</si>
  <si>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</si>
  <si>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</si>
  <si>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</si>
  <si>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</si>
  <si>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</si>
  <si>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</si>
  <si>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</si>
  <si>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</si>
  <si>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</si>
  <si>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</si>
  <si>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</si>
  <si>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</si>
  <si>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</si>
  <si>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</si>
  <si>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</si>
  <si>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</si>
  <si>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</si>
  <si>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</si>
  <si>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</si>
  <si>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</si>
  <si>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</si>
  <si>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</si>
  <si>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</si>
  <si>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</si>
  <si>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</si>
  <si>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</si>
  <si>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</si>
  <si>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</si>
  <si>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</si>
  <si>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</si>
  <si>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</si>
  <si>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</si>
  <si>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</si>
  <si>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</si>
  <si>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</si>
  <si>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</si>
  <si>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</si>
  <si>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</si>
  <si>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</si>
  <si>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</si>
  <si>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</si>
  <si>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</si>
  <si>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</si>
  <si>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</si>
  <si>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</si>
  <si>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</si>
  <si>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</si>
  <si>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</si>
  <si>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</si>
  <si>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</si>
  <si>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</si>
  <si>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</si>
  <si>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</si>
  <si>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</si>
  <si>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</si>
  <si>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</si>
  <si>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</si>
  <si>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</si>
  <si>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</si>
  <si>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</si>
  <si>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</si>
  <si>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</si>
  <si>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</si>
  <si>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</si>
  <si>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</si>
  <si>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</si>
  <si>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</si>
  <si>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</si>
  <si>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</si>
  <si>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</si>
  <si>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</si>
  <si>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</si>
  <si>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</si>
  <si>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</si>
  <si>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</si>
  <si>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</si>
  <si>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</si>
  <si>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</si>
  <si>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</si>
  <si>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</si>
  <si>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</si>
  <si>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</si>
  <si>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</si>
  <si>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</si>
  <si>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</si>
  <si>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</si>
  <si>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</si>
  <si>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</si>
  <si>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</si>
  <si>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</si>
  <si>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</si>
  <si>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</si>
  <si>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</si>
  <si>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</si>
  <si>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</si>
  <si>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</si>
  <si>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</si>
  <si>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</si>
  <si>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</si>
  <si>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</si>
  <si>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</si>
  <si>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</si>
  <si>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</si>
  <si>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</si>
  <si>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</si>
  <si>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</si>
  <si>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</si>
  <si>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</si>
  <si>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</si>
  <si>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</si>
  <si>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</si>
  <si>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</si>
  <si>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</si>
  <si>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</si>
  <si>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</si>
  <si>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</si>
  <si>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</si>
  <si>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</si>
  <si>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</si>
  <si>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</si>
  <si>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</si>
  <si>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</si>
  <si>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</si>
  <si>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</si>
  <si>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</si>
  <si>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</si>
  <si>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</si>
  <si>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</si>
  <si>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</si>
  <si>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</si>
  <si>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</si>
  <si>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</si>
  <si>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</si>
  <si>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</si>
  <si>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</si>
  <si>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</si>
  <si>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</si>
  <si>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</si>
  <si>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</si>
  <si>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</si>
  <si>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</si>
  <si>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</si>
  <si>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</si>
  <si>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</si>
  <si>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</si>
  <si>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</si>
  <si>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</si>
  <si>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</si>
  <si>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</si>
  <si>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</si>
  <si>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</si>
  <si>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</si>
  <si>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</si>
  <si>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</si>
  <si>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</si>
  <si>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</si>
  <si>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</si>
  <si>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</si>
  <si>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</si>
  <si>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</si>
  <si>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</si>
  <si>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</si>
  <si>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</si>
  <si>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</si>
  <si>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</si>
  <si>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</si>
  <si>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</si>
  <si>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</si>
  <si>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</si>
  <si>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</si>
  <si>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</si>
  <si>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</si>
  <si>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</si>
  <si>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</si>
  <si>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</si>
  <si>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</si>
  <si>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</si>
  <si>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</si>
  <si>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</si>
  <si>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</si>
  <si>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</si>
  <si>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</si>
  <si>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</si>
  <si>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</si>
  <si>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</si>
  <si>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</si>
  <si>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</si>
  <si>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</si>
  <si>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</si>
  <si>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</si>
  <si>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</si>
  <si>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</si>
  <si>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</si>
  <si>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</si>
  <si>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</si>
  <si>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</si>
  <si>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</si>
  <si>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</si>
  <si>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</si>
  <si>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</si>
  <si>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</si>
  <si>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</si>
  <si>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</si>
  <si>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</si>
  <si>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</si>
  <si>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</si>
  <si>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</si>
  <si>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</si>
  <si>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</si>
  <si>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</si>
  <si>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</si>
  <si>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</si>
  <si>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</si>
  <si>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</si>
  <si>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</si>
  <si>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</si>
  <si>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</si>
  <si>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</si>
  <si>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</si>
  <si>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</si>
  <si>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</si>
  <si>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</si>
  <si>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</si>
  <si>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</si>
  <si>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</si>
  <si>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</si>
  <si>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</si>
  <si>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</si>
  <si>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</si>
  <si>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</si>
  <si>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</si>
  <si>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</si>
  <si>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</si>
  <si>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</si>
  <si>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</si>
  <si>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</si>
  <si>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</si>
  <si>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</si>
  <si>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</si>
  <si>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</si>
  <si>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</si>
  <si>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</si>
  <si>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</si>
  <si>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</si>
  <si>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</si>
  <si>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</si>
  <si>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</si>
  <si>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</si>
  <si>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</si>
  <si>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</si>
  <si>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</si>
  <si>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</si>
  <si>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</si>
  <si>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</si>
  <si>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</si>
  <si>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</si>
  <si>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</si>
  <si>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</si>
  <si>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</si>
  <si>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</si>
  <si>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</si>
  <si>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</si>
  <si>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</si>
  <si>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</si>
  <si>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</si>
  <si>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</si>
  <si>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</si>
  <si>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</si>
  <si>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</si>
  <si>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</si>
  <si>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</si>
  <si>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</si>
  <si>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</si>
  <si>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</si>
  <si>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</si>
  <si>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</si>
  <si>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</si>
  <si>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</si>
  <si>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</si>
  <si>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</si>
  <si>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</si>
  <si>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</si>
  <si>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</si>
  <si>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</si>
  <si>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</si>
  <si>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</si>
  <si>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</si>
  <si>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</si>
  <si>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</si>
  <si>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</si>
  <si>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</si>
  <si>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</si>
  <si>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</si>
  <si>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</si>
  <si>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</si>
  <si>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</si>
  <si>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</si>
  <si>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</si>
  <si>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</si>
  <si>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</si>
  <si>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</si>
  <si>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</si>
  <si>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</si>
  <si>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</si>
  <si>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</si>
  <si>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</si>
  <si>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</si>
  <si>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</si>
  <si>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</si>
  <si>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</si>
  <si>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</si>
  <si>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</si>
  <si>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</si>
  <si>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</si>
  <si>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</si>
  <si>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</si>
  <si>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</si>
  <si>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</si>
  <si>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</si>
  <si>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</si>
  <si>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</si>
  <si>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</si>
  <si>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</si>
  <si>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</si>
  <si>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</si>
  <si>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</si>
  <si>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</si>
  <si>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</si>
  <si>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</si>
  <si>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</si>
  <si>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</si>
  <si>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</si>
  <si>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</si>
  <si>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</si>
  <si>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</si>
  <si>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</si>
  <si>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</si>
  <si>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</si>
  <si>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</si>
  <si>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</si>
  <si>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</si>
  <si>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</si>
  <si>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</si>
  <si>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</si>
  <si>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</si>
  <si>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</si>
  <si>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</si>
  <si>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</si>
  <si>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</si>
  <si>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</si>
  <si>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</si>
  <si>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</si>
  <si>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</si>
  <si>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</si>
  <si>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</si>
  <si>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</si>
  <si>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</si>
  <si>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</si>
  <si>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</si>
  <si>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</si>
  <si>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</si>
  <si>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</si>
  <si>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</si>
  <si>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</si>
  <si>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</si>
  <si>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</si>
  <si>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</si>
  <si>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</si>
  <si>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</si>
  <si>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</si>
  <si>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</si>
  <si>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</si>
  <si>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</si>
  <si>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</si>
  <si>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</si>
  <si>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</si>
  <si>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</si>
  <si>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</si>
  <si>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</si>
  <si>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</si>
  <si>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</si>
  <si>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</si>
  <si>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</si>
  <si>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</si>
  <si>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</si>
  <si>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</si>
  <si>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</si>
  <si>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</si>
  <si>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</si>
  <si>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</si>
  <si>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</si>
  <si>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</si>
  <si>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</si>
  <si>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</si>
  <si>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</si>
  <si>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</si>
  <si>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</si>
  <si>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</si>
  <si>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</si>
  <si>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</si>
  <si>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</si>
  <si>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</si>
  <si>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</si>
  <si>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</si>
  <si>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</si>
  <si>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</si>
  <si>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</si>
  <si>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</si>
  <si>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</si>
  <si>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</si>
  <si>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</si>
  <si>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</si>
  <si>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</si>
  <si>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</si>
  <si>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</si>
  <si>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</si>
  <si>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</si>
  <si>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</si>
  <si>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</si>
  <si>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</si>
  <si>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</si>
  <si>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</si>
  <si>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</si>
  <si>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</si>
  <si>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</si>
  <si>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</si>
  <si>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</si>
  <si>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</si>
  <si>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</si>
  <si>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</si>
  <si>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</si>
  <si>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</si>
  <si>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</si>
  <si>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</si>
  <si>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</si>
  <si>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</si>
  <si>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</si>
  <si>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</si>
  <si>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</si>
  <si>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</si>
  <si>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</si>
  <si>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</si>
  <si>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</si>
  <si>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</si>
  <si>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</si>
  <si>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</si>
  <si>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</si>
  <si>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</si>
  <si>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</si>
  <si>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</si>
  <si>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</si>
  <si>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</si>
  <si>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</si>
  <si>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</si>
  <si>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</si>
  <si>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</si>
  <si>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</si>
  <si>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</si>
  <si>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</si>
  <si>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</si>
  <si>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</si>
  <si>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</si>
  <si>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</si>
  <si>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</si>
  <si>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</si>
  <si>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</si>
  <si>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</si>
  <si>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</si>
  <si>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</si>
  <si>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</si>
  <si>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</si>
  <si>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</si>
  <si>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</si>
  <si>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</si>
  <si>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</si>
  <si>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</si>
  <si>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</si>
  <si>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</si>
  <si>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</si>
  <si>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</si>
  <si>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</si>
  <si>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</si>
  <si>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</si>
  <si>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</si>
  <si>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</si>
  <si>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</si>
  <si>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</si>
  <si>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</si>
  <si>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</si>
  <si>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</si>
  <si>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</si>
  <si>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</si>
  <si>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</si>
  <si>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</si>
  <si>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</si>
  <si>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</si>
  <si>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</si>
  <si>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</si>
  <si>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</si>
  <si>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</si>
  <si>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</si>
  <si>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</si>
  <si>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</si>
  <si>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</si>
  <si>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</si>
  <si>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</si>
  <si>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</si>
  <si>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</si>
  <si>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</si>
  <si>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</si>
  <si>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</si>
  <si>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</si>
  <si>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</si>
  <si>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</si>
  <si>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</si>
  <si>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</si>
  <si>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</si>
  <si>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</si>
  <si>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</si>
  <si>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</si>
  <si>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</si>
  <si>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</si>
  <si>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</si>
  <si>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</si>
  <si>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</si>
  <si>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</si>
  <si>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</si>
  <si>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</si>
  <si>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</si>
  <si>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</si>
  <si>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</si>
  <si>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</si>
  <si>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</si>
  <si>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</si>
  <si>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</si>
  <si>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</si>
  <si>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</si>
  <si>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</si>
  <si>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</si>
  <si>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</si>
  <si>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</si>
  <si>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</si>
  <si>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</si>
  <si>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</si>
  <si>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</si>
  <si>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</si>
  <si>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</si>
  <si>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</si>
  <si>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</si>
  <si>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</si>
  <si>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</si>
  <si>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</si>
  <si>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</si>
  <si>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</si>
  <si>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</si>
  <si>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</si>
  <si>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</si>
  <si>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</si>
  <si>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</si>
  <si>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</si>
  <si>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</si>
  <si>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</si>
  <si>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</si>
  <si>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</si>
  <si>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</si>
  <si>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</si>
  <si>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</si>
  <si>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</si>
  <si>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</si>
  <si>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</si>
  <si>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</si>
  <si>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</si>
  <si>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</si>
  <si>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</si>
  <si>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</si>
  <si>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</si>
  <si>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</si>
  <si>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</si>
  <si>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</si>
  <si>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</si>
  <si>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</si>
  <si>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</si>
  <si>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</si>
  <si>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</si>
  <si>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</si>
  <si>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</si>
  <si>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</si>
  <si>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</si>
  <si>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</si>
  <si>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</si>
  <si>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</si>
  <si>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</si>
  <si>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</si>
  <si>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</si>
  <si>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</si>
  <si>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</si>
  <si>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</si>
  <si>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</si>
  <si>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</si>
  <si>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</si>
  <si>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</si>
  <si>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</si>
  <si>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</si>
  <si>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</si>
  <si>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</si>
  <si>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</si>
  <si>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</si>
  <si>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</si>
  <si>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</si>
  <si>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</si>
  <si>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</si>
  <si>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</si>
  <si>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</si>
  <si>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</si>
  <si>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</si>
  <si>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</si>
  <si>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</si>
  <si>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</si>
  <si>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</si>
  <si>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</si>
  <si>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</si>
  <si>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</si>
  <si>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</si>
  <si>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</si>
  <si>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</si>
  <si>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</si>
  <si>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</si>
  <si>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</si>
  <si>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</si>
  <si>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</si>
  <si>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</si>
  <si>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</si>
  <si>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</si>
  <si>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</si>
  <si>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</si>
  <si>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</si>
  <si>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</si>
  <si>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</si>
  <si>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</si>
  <si>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</si>
  <si>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</si>
  <si>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</si>
  <si>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</si>
  <si>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</si>
  <si>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</si>
  <si>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</si>
  <si>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</si>
  <si>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</si>
  <si>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</si>
  <si>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</si>
  <si>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</si>
  <si>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</si>
  <si>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</si>
  <si>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</si>
  <si>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</si>
  <si>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</si>
  <si>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</si>
  <si>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</si>
  <si>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</si>
  <si>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</si>
  <si>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</si>
  <si>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</si>
  <si>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</si>
  <si>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</si>
  <si>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</si>
  <si>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</si>
  <si>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</si>
  <si>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</si>
  <si>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</si>
  <si>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</si>
  <si>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</si>
  <si>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</si>
  <si>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</si>
  <si>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</si>
  <si>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</si>
  <si>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</si>
  <si>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</si>
  <si>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</si>
  <si>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</si>
  <si>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</si>
  <si>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</si>
  <si>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</si>
  <si>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</si>
  <si>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</si>
  <si>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</si>
  <si>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</si>
  <si>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</si>
  <si>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</si>
  <si>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</si>
  <si>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</si>
  <si>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</si>
  <si>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</si>
  <si>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</si>
  <si>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</si>
  <si>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</si>
  <si>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</si>
  <si>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</si>
  <si>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</si>
  <si>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</si>
  <si>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</si>
  <si>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</si>
  <si>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</si>
  <si>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</si>
  <si>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</si>
  <si>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</si>
  <si>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</si>
  <si>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</si>
  <si>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</si>
  <si>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</si>
  <si>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</si>
  <si>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</si>
  <si>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</si>
  <si>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</si>
  <si>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</si>
  <si>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</si>
  <si>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</si>
  <si>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</si>
  <si>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</si>
  <si>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</si>
  <si>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</si>
  <si>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</si>
  <si>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</si>
  <si>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</si>
  <si>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</si>
  <si>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</si>
  <si>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</si>
  <si>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</si>
  <si>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</si>
  <si>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</si>
  <si>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</si>
  <si>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</si>
  <si>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</si>
  <si>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</si>
  <si>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</si>
  <si>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</si>
  <si>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</si>
  <si>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</si>
  <si>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</si>
  <si>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</si>
  <si>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</si>
  <si>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</si>
  <si>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</si>
  <si>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</si>
  <si>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</si>
  <si>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</si>
  <si>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</si>
  <si>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</si>
  <si>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</si>
  <si>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</si>
  <si>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</si>
  <si>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</si>
  <si>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</si>
  <si>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</si>
  <si>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</si>
  <si>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</si>
  <si>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</si>
  <si>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</si>
  <si>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</si>
  <si>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</si>
  <si>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</si>
  <si>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</si>
  <si>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</si>
  <si>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</si>
  <si>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</si>
  <si>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</si>
  <si>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</si>
  <si>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</si>
  <si>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</si>
  <si>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</si>
  <si>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</si>
  <si>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</si>
  <si>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</si>
  <si>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</si>
  <si>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</si>
  <si>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</si>
  <si>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</si>
  <si>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</si>
  <si>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</si>
  <si>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</si>
  <si>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</si>
  <si>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</si>
  <si>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</si>
  <si>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</si>
  <si>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</si>
  <si>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</si>
  <si>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</si>
  <si>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</si>
  <si>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</si>
  <si>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</si>
  <si>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</si>
  <si>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</si>
  <si>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</si>
  <si>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</si>
  <si>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</si>
  <si>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</si>
  <si>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</si>
  <si>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</si>
  <si>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</si>
  <si>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</si>
  <si>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</si>
  <si>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</si>
  <si>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</si>
  <si>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</si>
  <si>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</si>
  <si>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</si>
  <si>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</si>
  <si>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</si>
  <si>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</si>
  <si>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</si>
  <si>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</si>
  <si>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</si>
  <si>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</si>
  <si>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</si>
  <si>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</si>
  <si>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</si>
  <si>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</si>
  <si>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</si>
  <si>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</si>
  <si>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</si>
  <si>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</si>
  <si>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</si>
  <si>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</si>
  <si>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</si>
  <si>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</si>
  <si>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</si>
  <si>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</si>
  <si>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</si>
  <si>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</si>
  <si>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</si>
  <si>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</si>
  <si>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</si>
  <si>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</si>
  <si>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</si>
  <si>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</si>
  <si>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</si>
  <si>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</si>
  <si>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</si>
  <si>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</si>
  <si>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</si>
  <si>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</si>
  <si>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</si>
  <si>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</si>
  <si>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</si>
  <si>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</si>
  <si>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</si>
  <si>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</si>
  <si>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</si>
  <si>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</si>
  <si>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</si>
  <si>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</si>
  <si>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</si>
  <si>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</si>
  <si>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</si>
  <si>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</si>
  <si>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</si>
  <si>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</si>
  <si>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</si>
  <si>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</si>
  <si>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</si>
  <si>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</si>
  <si>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</si>
  <si>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</si>
  <si>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</si>
  <si>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</si>
  <si>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</si>
  <si>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</si>
  <si>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</si>
  <si>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</si>
  <si>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</si>
  <si>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</si>
  <si>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</si>
  <si>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</si>
  <si>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</si>
  <si>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</si>
  <si>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</si>
  <si>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</si>
  <si>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</si>
  <si>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</si>
  <si>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</si>
  <si>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</si>
  <si>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</si>
  <si>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</si>
  <si>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</si>
  <si>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</si>
  <si>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</si>
  <si>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</si>
  <si>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</si>
  <si>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</si>
  <si>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</si>
  <si>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</si>
  <si>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</si>
  <si>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</si>
  <si>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</si>
  <si>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</si>
  <si>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</si>
  <si>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</si>
  <si>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</si>
  <si>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</si>
  <si>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</si>
  <si>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</si>
  <si>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</si>
  <si>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</si>
  <si>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</si>
  <si>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</si>
  <si>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</si>
  <si>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</si>
  <si>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</si>
  <si>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</si>
  <si>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</si>
  <si>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</si>
  <si>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</si>
  <si>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</si>
  <si>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</si>
  <si>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</si>
  <si>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</si>
  <si>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</si>
  <si>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</si>
  <si>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</si>
  <si>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</si>
  <si>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</si>
  <si>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</si>
  <si>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</si>
  <si>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</si>
  <si>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</si>
  <si>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</si>
  <si>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</si>
  <si>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</si>
  <si>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</si>
  <si>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</si>
  <si>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</si>
  <si>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</si>
  <si>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</si>
  <si>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</si>
  <si>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</si>
  <si>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</si>
  <si>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</si>
  <si>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</si>
  <si>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</si>
  <si>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</si>
  <si>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</si>
  <si>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</si>
  <si>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</si>
  <si>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</si>
  <si>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</si>
  <si>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</si>
  <si>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</si>
  <si>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</si>
  <si>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</si>
  <si>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</si>
  <si>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</si>
  <si>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</si>
  <si>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</si>
  <si>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</si>
  <si>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</si>
  <si>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</si>
  <si>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</si>
  <si>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</si>
  <si>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</si>
  <si>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</si>
  <si>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</si>
  <si>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</si>
  <si>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</si>
  <si>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</si>
  <si>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</si>
  <si>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</si>
  <si>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</si>
  <si>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</si>
  <si>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</si>
  <si>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</si>
  <si>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</si>
  <si>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</si>
  <si>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</si>
  <si>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</si>
  <si>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</si>
  <si>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</si>
  <si>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</si>
  <si>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</si>
  <si>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</si>
  <si>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</si>
  <si>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</si>
  <si>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</si>
  <si>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</si>
  <si>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</si>
  <si>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</si>
  <si>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</si>
  <si>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</si>
  <si>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</si>
  <si>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</si>
  <si>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</si>
  <si>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</si>
  <si>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</si>
  <si>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</si>
  <si>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</si>
  <si>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</si>
  <si>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</si>
  <si>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</si>
  <si>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</si>
  <si>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</si>
  <si>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</si>
  <si>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</si>
  <si>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</si>
  <si>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</si>
  <si>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</si>
  <si>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</si>
  <si>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</si>
  <si>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</si>
  <si>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</si>
  <si>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</si>
  <si>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</si>
  <si>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</si>
  <si>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</si>
  <si>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</si>
  <si>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</si>
  <si>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</si>
  <si>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</si>
  <si>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</si>
  <si>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</si>
  <si>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</si>
  <si>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</si>
  <si>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</si>
  <si>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</si>
  <si>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</si>
  <si>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</si>
  <si>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</si>
  <si>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</si>
  <si>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</si>
  <si>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</si>
  <si>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</si>
  <si>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</si>
  <si>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</si>
  <si>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</si>
  <si>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</si>
  <si>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</si>
  <si>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</si>
  <si>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</si>
  <si>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</si>
  <si>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</si>
  <si>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</si>
  <si>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</si>
  <si>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</si>
  <si>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</si>
  <si>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</si>
  <si>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</si>
  <si>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</si>
  <si>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</si>
  <si>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</si>
  <si>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</si>
  <si>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</si>
  <si>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</si>
  <si>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</si>
  <si>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</si>
  <si>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</si>
  <si>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</si>
  <si>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</si>
  <si>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</si>
  <si>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</si>
  <si>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</si>
  <si>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</si>
  <si>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</si>
  <si>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</si>
  <si>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</si>
  <si>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</si>
  <si>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</si>
  <si>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</si>
  <si>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</si>
  <si>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</si>
  <si>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</si>
  <si>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</si>
  <si>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</si>
  <si>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</si>
  <si>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</si>
  <si>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</si>
  <si>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</si>
  <si>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</si>
  <si>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</si>
  <si>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</si>
  <si>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</si>
  <si>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</si>
  <si>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</si>
  <si>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</si>
  <si>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</si>
  <si>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</si>
  <si>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</si>
  <si>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</si>
  <si>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</si>
  <si>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</si>
  <si>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</si>
  <si>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</si>
  <si>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</si>
  <si>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</si>
  <si>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</si>
  <si>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</si>
  <si>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</si>
  <si>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</si>
  <si>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</si>
  <si>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</si>
  <si>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</si>
  <si>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</si>
  <si>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</si>
  <si>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</si>
  <si>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</si>
  <si>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</si>
  <si>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</si>
  <si>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</si>
  <si>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</si>
  <si>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</si>
  <si>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</si>
  <si>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</si>
  <si>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</si>
  <si>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</si>
  <si>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</si>
  <si>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</si>
  <si>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</si>
  <si>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</si>
  <si>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</si>
  <si>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</si>
  <si>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</si>
  <si>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</si>
  <si>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</si>
  <si>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</si>
  <si>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</si>
  <si>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</si>
  <si>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</si>
  <si>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</si>
  <si>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</si>
  <si>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</si>
  <si>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</si>
  <si>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</si>
  <si>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</si>
  <si>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</si>
  <si>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</si>
  <si>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</si>
  <si>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</si>
  <si>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</si>
  <si>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</si>
  <si>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</si>
  <si>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</si>
  <si>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</si>
  <si>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</si>
  <si>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</si>
  <si>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</si>
  <si>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</si>
  <si>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</si>
  <si>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</si>
  <si>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</si>
  <si>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</si>
  <si>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</si>
  <si>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</si>
  <si>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</si>
  <si>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</si>
  <si>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</si>
  <si>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</si>
  <si>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</si>
  <si>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</si>
  <si>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</si>
  <si>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</si>
  <si>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</si>
  <si>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</si>
  <si>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</si>
  <si>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</si>
  <si>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</si>
  <si>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</si>
  <si>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</si>
  <si>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</si>
  <si>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</si>
  <si>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</si>
  <si>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</si>
  <si>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</si>
  <si>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</si>
  <si>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</si>
  <si>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</si>
  <si>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</si>
  <si>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</si>
  <si>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</si>
  <si>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</si>
  <si>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</si>
  <si>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</si>
  <si>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</si>
  <si>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</si>
  <si>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</si>
  <si>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</si>
  <si>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</si>
  <si>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</si>
  <si>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</si>
  <si>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</si>
  <si>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</si>
  <si>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</si>
  <si>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</si>
  <si>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</si>
  <si>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</si>
  <si>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</si>
  <si>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</si>
  <si>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</si>
  <si>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</si>
  <si>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</si>
  <si>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</si>
  <si>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</si>
  <si>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</si>
  <si>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</si>
  <si>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</si>
  <si>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</si>
  <si>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</si>
  <si>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</si>
  <si>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</si>
  <si>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</si>
  <si>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</si>
  <si>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</si>
  <si>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</si>
  <si>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</si>
  <si>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</si>
  <si>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</si>
  <si>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</si>
  <si>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</si>
  <si>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</si>
  <si>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</si>
  <si>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</si>
  <si>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</si>
  <si>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</si>
  <si>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</si>
  <si>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</si>
  <si>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</si>
  <si>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</si>
  <si>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</si>
  <si>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</si>
  <si>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</si>
  <si>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</si>
  <si>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</si>
  <si>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</si>
  <si>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</si>
  <si>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</si>
  <si>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</si>
  <si>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</si>
  <si>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</si>
  <si>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</si>
  <si>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</si>
  <si>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</si>
  <si>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</si>
  <si>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</si>
  <si>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</si>
  <si>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</si>
  <si>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</si>
  <si>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</si>
  <si>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</si>
  <si>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</si>
  <si>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</si>
  <si>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</si>
  <si>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</si>
  <si>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</si>
  <si>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</si>
  <si>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</si>
  <si>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</si>
  <si>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</si>
  <si>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</si>
  <si>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</si>
  <si>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</si>
  <si>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</si>
  <si>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</si>
  <si>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</si>
  <si>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</si>
  <si>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</si>
  <si>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</si>
  <si>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</si>
  <si>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</si>
  <si>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</si>
  <si>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</si>
  <si>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</si>
  <si>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</si>
  <si>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</si>
  <si>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</si>
  <si>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</si>
  <si>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</si>
  <si>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</si>
  <si>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</si>
  <si>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</si>
  <si>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</si>
  <si>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</si>
  <si>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</si>
  <si>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</si>
  <si>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</si>
  <si>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</si>
  <si>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</si>
  <si>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</si>
  <si>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</si>
  <si>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</si>
  <si>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</si>
  <si>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</si>
  <si>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</si>
  <si>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</si>
  <si>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</si>
  <si>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</si>
  <si>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</si>
  <si>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</si>
  <si>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</si>
  <si>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</si>
  <si>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</si>
  <si>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</si>
  <si>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</si>
  <si>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</si>
  <si>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</si>
  <si>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</si>
  <si>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</si>
  <si>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</si>
  <si>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</si>
  <si>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</si>
  <si>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</si>
  <si>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</si>
  <si>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</si>
  <si>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</si>
  <si>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</si>
  <si>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</si>
  <si>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</si>
  <si>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</si>
  <si>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</si>
  <si>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</si>
  <si>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</si>
  <si>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</si>
  <si>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</si>
  <si>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</si>
  <si>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</si>
  <si>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</si>
  <si>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</si>
  <si>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</si>
  <si>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</si>
  <si>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</si>
  <si>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</si>
  <si>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</si>
  <si>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</si>
  <si>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</si>
  <si>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</si>
  <si>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</si>
  <si>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</si>
  <si>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</si>
  <si>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</si>
  <si>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</si>
  <si>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</si>
  <si>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</si>
  <si>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</si>
  <si>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</si>
  <si>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</si>
  <si>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</si>
  <si>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</si>
  <si>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</si>
  <si>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</si>
  <si>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</si>
  <si>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</si>
  <si>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</si>
  <si>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</si>
  <si>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</si>
  <si>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</si>
  <si>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</si>
  <si>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</si>
  <si>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</si>
  <si>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</si>
  <si>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</si>
  <si>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</si>
  <si>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</si>
  <si>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</si>
  <si>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</si>
  <si>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</si>
  <si>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</si>
  <si>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</si>
  <si>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</si>
  <si>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</si>
  <si>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</si>
  <si>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</si>
  <si>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</si>
  <si>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</si>
  <si>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</si>
  <si>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</si>
  <si>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</si>
  <si>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</si>
  <si>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</si>
  <si>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</si>
  <si>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</si>
  <si>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</si>
  <si>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</si>
  <si>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</si>
  <si>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</si>
  <si>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</si>
  <si>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</si>
  <si>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</si>
  <si>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</si>
  <si>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</si>
  <si>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</si>
  <si>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</si>
  <si>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</si>
  <si>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</si>
  <si>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</si>
  <si>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</si>
  <si>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</si>
  <si>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</si>
  <si>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</si>
  <si>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</si>
  <si>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</si>
  <si>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</si>
  <si>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</si>
  <si>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</si>
  <si>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</si>
  <si>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</si>
  <si>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</si>
  <si>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</si>
  <si>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</si>
  <si>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</si>
  <si>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</si>
  <si>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</si>
  <si>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</si>
  <si>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</si>
  <si>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</si>
  <si>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</si>
  <si>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</si>
  <si>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</si>
  <si>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</si>
  <si>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</si>
  <si>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</si>
  <si>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</si>
  <si>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</si>
  <si>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</si>
  <si>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</si>
  <si>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</si>
  <si>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</si>
  <si>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</si>
  <si>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</si>
  <si>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</si>
  <si>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</si>
  <si>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</si>
  <si>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</si>
  <si>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</si>
  <si>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</si>
  <si>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</si>
  <si>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</si>
  <si>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</si>
  <si>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</si>
  <si>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</si>
  <si>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</si>
  <si>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</si>
  <si>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</si>
  <si>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</si>
  <si>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</si>
  <si>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</si>
  <si>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</si>
  <si>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</si>
  <si>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</si>
  <si>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</si>
  <si>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</si>
  <si>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</si>
  <si>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</si>
  <si>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</si>
  <si>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</si>
  <si>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</si>
  <si>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</si>
  <si>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</si>
  <si>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</si>
  <si>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</si>
  <si>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</si>
  <si>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</si>
  <si>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</si>
  <si>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</si>
  <si>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</si>
  <si>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</si>
  <si>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</si>
  <si>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</si>
  <si>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</si>
  <si>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</si>
  <si>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</si>
  <si>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</si>
  <si>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</si>
  <si>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</si>
  <si>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</si>
  <si>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</si>
  <si>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</si>
  <si>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</si>
  <si>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</si>
  <si>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</si>
  <si>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</si>
  <si>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</si>
  <si>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</si>
  <si>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</si>
  <si>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</si>
  <si>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</si>
  <si>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</si>
  <si>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</si>
  <si>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</si>
  <si>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</si>
  <si>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</si>
  <si>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</si>
  <si>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</si>
  <si>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</si>
  <si>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</si>
  <si>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</si>
  <si>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</si>
  <si>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</si>
  <si>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</si>
  <si>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</si>
  <si>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</si>
  <si>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</si>
  <si>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</si>
  <si>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</si>
  <si>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</si>
  <si>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</si>
  <si>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</si>
  <si>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</si>
  <si>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</si>
  <si>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</si>
  <si>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</si>
  <si>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</si>
  <si>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</si>
  <si>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</si>
  <si>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</si>
  <si>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</si>
  <si>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</si>
  <si>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</si>
  <si>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</si>
  <si>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</si>
  <si>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</si>
  <si>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</si>
  <si>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</si>
  <si>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</si>
  <si>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</si>
  <si>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</si>
  <si>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</si>
  <si>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</si>
  <si>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</si>
  <si>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</si>
  <si>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</si>
  <si>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</si>
  <si>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</si>
  <si>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</si>
  <si>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</si>
  <si>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</si>
  <si>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</si>
  <si>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</si>
  <si>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</si>
  <si>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</si>
  <si>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</si>
  <si>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</si>
  <si>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</si>
  <si>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</si>
  <si>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</si>
  <si>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</si>
  <si>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</si>
  <si>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</si>
  <si>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</si>
  <si>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</si>
  <si>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</si>
  <si>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</si>
  <si>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</si>
  <si>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</si>
  <si>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</si>
  <si>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</si>
  <si>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</si>
  <si>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</si>
  <si>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</si>
  <si>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</si>
  <si>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</si>
  <si>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</si>
  <si>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</si>
  <si>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</si>
  <si>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</si>
  <si>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</si>
  <si>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</si>
  <si>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</si>
  <si>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</si>
  <si>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</si>
  <si>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</si>
  <si>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</si>
  <si>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</si>
  <si>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</si>
  <si>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</si>
  <si>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</si>
  <si>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</si>
  <si>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</si>
  <si>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</si>
  <si>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</si>
  <si>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</si>
  <si>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</si>
  <si>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</si>
  <si>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</si>
  <si>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</si>
  <si>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</si>
  <si>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</si>
  <si>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</si>
  <si>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</si>
  <si>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</si>
  <si>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</si>
  <si>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</si>
  <si>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</si>
  <si>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</si>
  <si>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</si>
  <si>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</si>
  <si>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</si>
  <si>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</si>
  <si>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</si>
  <si>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</si>
  <si>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</si>
  <si>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</si>
  <si>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</si>
  <si>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</si>
  <si>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</si>
  <si>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</si>
  <si>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</si>
  <si>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</si>
  <si>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</si>
  <si>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</si>
  <si>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</si>
  <si>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</si>
  <si>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</si>
  <si>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</si>
  <si>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</si>
  <si>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</si>
  <si>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</si>
  <si>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</si>
  <si>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</si>
  <si>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</si>
  <si>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</si>
  <si>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</si>
  <si>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</si>
  <si>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</si>
  <si>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</si>
  <si>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</si>
  <si>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</si>
  <si>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</si>
  <si>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</si>
  <si>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</si>
  <si>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</si>
  <si>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</si>
  <si>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</si>
  <si>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</si>
  <si>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</si>
  <si>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</si>
  <si>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</si>
  <si>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</si>
  <si>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</si>
  <si>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</si>
  <si>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</si>
  <si>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</si>
  <si>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</si>
  <si>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</si>
  <si>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</si>
  <si>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</si>
  <si>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</si>
  <si>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</si>
  <si>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</si>
  <si>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</si>
  <si>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</si>
  <si>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</si>
  <si>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</si>
  <si>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</si>
  <si>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</si>
  <si>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</si>
  <si>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</si>
  <si>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</si>
  <si>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</si>
  <si>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</si>
  <si>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</si>
  <si>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</si>
  <si>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</si>
  <si>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</si>
  <si>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</si>
  <si>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</si>
  <si>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</si>
  <si>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</si>
  <si>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</si>
  <si>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</si>
  <si>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</si>
  <si>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</si>
  <si>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</si>
  <si>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</si>
  <si>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</si>
  <si>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</si>
  <si>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</si>
  <si>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</si>
  <si>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</si>
  <si>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</si>
  <si>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</si>
  <si>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</si>
  <si>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</si>
  <si>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</si>
  <si>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</si>
  <si>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</si>
  <si>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</si>
  <si>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</si>
  <si>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</si>
  <si>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</si>
  <si>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</si>
  <si>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</si>
  <si>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</si>
  <si>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</si>
  <si>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</si>
  <si>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</si>
  <si>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</si>
  <si>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</si>
  <si>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</si>
  <si>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</si>
  <si>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</si>
  <si>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</si>
  <si>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</si>
  <si>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</si>
  <si>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</si>
  <si>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</si>
  <si>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</si>
  <si>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</si>
  <si>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</si>
  <si>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</si>
  <si>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</si>
  <si>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</si>
  <si>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</si>
  <si>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</si>
  <si>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</si>
  <si>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</si>
  <si>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</si>
  <si>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</si>
  <si>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</si>
  <si>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</si>
  <si>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</si>
  <si>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</si>
  <si>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</si>
  <si>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</si>
  <si>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</si>
  <si>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</si>
  <si>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</si>
  <si>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</si>
  <si>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</si>
  <si>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</si>
  <si>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</si>
  <si>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</si>
  <si>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</si>
  <si>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</si>
  <si>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</si>
  <si>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</si>
  <si>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</si>
  <si>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</si>
  <si>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</si>
  <si>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</si>
  <si>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</si>
  <si>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</si>
  <si>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</si>
  <si>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</si>
  <si>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</si>
  <si>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</si>
  <si>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</si>
  <si>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</si>
  <si>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</si>
  <si>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</si>
  <si>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</si>
  <si>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</si>
  <si>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</si>
  <si>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</si>
  <si>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</si>
  <si>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</si>
  <si>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</si>
  <si>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</si>
  <si>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</si>
  <si>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</si>
  <si>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</si>
  <si>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</si>
  <si>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</si>
  <si>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</si>
  <si>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</si>
  <si>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</si>
  <si>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</si>
  <si>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</si>
  <si>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</si>
  <si>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</si>
  <si>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</si>
  <si>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</si>
  <si>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</si>
  <si>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</si>
  <si>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</si>
  <si>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</si>
  <si>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</si>
  <si>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</si>
  <si>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</si>
  <si>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</si>
  <si>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</si>
  <si>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</si>
  <si>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</si>
  <si>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</si>
  <si>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</si>
  <si>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</si>
  <si>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</si>
  <si>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</si>
  <si>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</si>
  <si>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</si>
  <si>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</si>
  <si>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</si>
  <si>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</si>
  <si>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</si>
  <si>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</si>
  <si>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</si>
  <si>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</si>
  <si>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</si>
  <si>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</si>
  <si>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</si>
  <si>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</si>
  <si>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</si>
  <si>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</si>
  <si>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</si>
  <si>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</si>
  <si>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</si>
  <si>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</si>
  <si>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</si>
  <si>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</si>
  <si>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</si>
  <si>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</si>
  <si>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</si>
  <si>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</si>
  <si>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</si>
  <si>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</si>
  <si>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</si>
  <si>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</si>
  <si>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</si>
  <si>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</si>
  <si>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</si>
  <si>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</si>
  <si>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</si>
  <si>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</si>
  <si>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</si>
  <si>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</si>
  <si>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</si>
  <si>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</si>
  <si>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</si>
  <si>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</si>
  <si>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</si>
  <si>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</si>
  <si>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</si>
  <si>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</si>
  <si>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</si>
  <si>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</si>
  <si>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</si>
  <si>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</si>
  <si>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</si>
  <si>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</si>
  <si>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</si>
  <si>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</si>
  <si>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</si>
  <si>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</si>
  <si>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</si>
  <si>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</si>
  <si>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</si>
  <si>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</si>
  <si>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</si>
  <si>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</si>
  <si>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</si>
  <si>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</si>
  <si>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</si>
  <si>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</si>
  <si>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</si>
  <si>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</si>
  <si>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</si>
  <si>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</si>
  <si>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</si>
  <si>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</si>
  <si>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</si>
  <si>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</si>
  <si>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</si>
  <si>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</si>
  <si>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</si>
  <si>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</si>
  <si>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</si>
  <si>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</si>
  <si>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</si>
  <si>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</si>
  <si>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</si>
  <si>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</si>
  <si>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</si>
  <si>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</si>
  <si>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</si>
  <si>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</si>
  <si>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</si>
  <si>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</si>
  <si>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</si>
  <si>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</si>
  <si>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</si>
  <si>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</si>
  <si>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</si>
  <si>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</si>
  <si>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</si>
  <si>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</si>
  <si>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</si>
  <si>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</si>
  <si>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</si>
  <si>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</si>
  <si>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</si>
  <si>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</si>
  <si>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</si>
  <si>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</si>
  <si>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</si>
  <si>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</si>
  <si>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</si>
  <si>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</si>
  <si>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</si>
  <si>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</si>
  <si>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</si>
  <si>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</si>
  <si>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</si>
  <si>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</si>
  <si>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</si>
  <si>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</si>
  <si>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</si>
  <si>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</si>
  <si>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</si>
  <si>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</si>
  <si>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</si>
  <si>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</si>
  <si>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</si>
  <si>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</si>
  <si>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</si>
  <si>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</si>
  <si>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</si>
  <si>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</si>
  <si>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</si>
  <si>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</si>
  <si>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</si>
  <si>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</si>
  <si>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</si>
  <si>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</si>
  <si>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</si>
  <si>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</si>
  <si>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</si>
  <si>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</si>
  <si>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</si>
  <si>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</si>
  <si>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</si>
  <si>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</si>
  <si>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</si>
  <si>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</si>
  <si>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</si>
  <si>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</si>
  <si>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</si>
  <si>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</si>
  <si>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</si>
  <si>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</si>
  <si>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</si>
  <si>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</si>
  <si>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</si>
  <si>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</si>
  <si>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</si>
  <si>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</si>
  <si>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</si>
  <si>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</si>
  <si>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</si>
  <si>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</si>
  <si>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</si>
  <si>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</si>
  <si>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</si>
  <si>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</si>
  <si>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</si>
  <si>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</si>
  <si>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</si>
  <si>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</si>
  <si>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</si>
  <si>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</si>
  <si>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</si>
  <si>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</si>
  <si>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</si>
  <si>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</si>
  <si>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</si>
  <si>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</si>
  <si>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</si>
  <si>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</si>
  <si>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</si>
  <si>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</si>
  <si>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</si>
  <si>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</si>
  <si>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</si>
  <si>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</si>
  <si>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</si>
  <si>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</si>
  <si>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</si>
  <si>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</si>
  <si>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</si>
  <si>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</si>
  <si>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</si>
  <si>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</si>
  <si>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</si>
  <si>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</si>
  <si>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</si>
  <si>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</si>
  <si>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</si>
  <si>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</si>
  <si>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</si>
  <si>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</si>
  <si>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</si>
  <si>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</si>
  <si>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</si>
  <si>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</si>
  <si>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</si>
  <si>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</si>
  <si>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</si>
  <si>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</si>
  <si>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</si>
  <si>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</si>
  <si>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</si>
  <si>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</si>
  <si>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</si>
  <si>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</si>
  <si>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</si>
  <si>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</si>
  <si>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</si>
  <si>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</si>
  <si>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</si>
  <si>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</si>
  <si>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</si>
  <si>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</si>
  <si>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</si>
  <si>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</si>
  <si>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</si>
  <si>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</si>
  <si>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</si>
  <si>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</si>
  <si>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</si>
  <si>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</si>
  <si>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</si>
  <si>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</si>
  <si>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</si>
  <si>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</si>
  <si>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</si>
  <si>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</si>
  <si>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</si>
  <si>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</si>
  <si>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</si>
  <si>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</si>
  <si>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</si>
  <si>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</si>
  <si>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</si>
  <si>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</si>
  <si>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</si>
  <si>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</si>
  <si>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</si>
  <si>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</si>
  <si>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</si>
  <si>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</si>
  <si>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</si>
  <si>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</si>
  <si>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</si>
  <si>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</si>
  <si>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</si>
  <si>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</si>
  <si>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</si>
  <si>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</si>
  <si>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</si>
  <si>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</si>
  <si>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</si>
  <si>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</si>
  <si>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</si>
  <si>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</si>
  <si>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</si>
  <si>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</si>
  <si>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</si>
  <si>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</si>
  <si>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</si>
  <si>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</si>
  <si>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</si>
  <si>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</si>
  <si>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</si>
  <si>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</si>
  <si>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</si>
  <si>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</si>
  <si>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</si>
  <si>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</si>
  <si>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</si>
  <si>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</si>
  <si>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</si>
  <si>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</si>
  <si>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</si>
  <si>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</si>
  <si>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</si>
  <si>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</si>
  <si>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</si>
  <si>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</si>
  <si>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</si>
  <si>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</si>
  <si>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</si>
  <si>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</si>
  <si>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</si>
  <si>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</si>
  <si>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</si>
  <si>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</si>
  <si>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</si>
  <si>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</si>
  <si>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</si>
  <si>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</si>
  <si>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</si>
  <si>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</si>
  <si>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</si>
  <si>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</si>
  <si>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</si>
  <si>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</si>
  <si>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</si>
  <si>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</si>
  <si>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</si>
  <si>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</si>
  <si>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</si>
  <si>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</si>
  <si>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</si>
  <si>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</si>
  <si>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</si>
  <si>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</si>
  <si>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</si>
  <si>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</si>
  <si>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</si>
  <si>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</si>
  <si>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</si>
  <si>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</si>
  <si>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</si>
  <si>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</si>
  <si>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</si>
  <si>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</si>
  <si>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</si>
  <si>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</si>
  <si>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</si>
  <si>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</si>
  <si>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</si>
  <si>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</si>
  <si>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</si>
  <si>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</si>
  <si>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</si>
  <si>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</si>
  <si>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</si>
  <si>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</si>
  <si>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</si>
  <si>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</si>
  <si>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</si>
  <si>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</si>
  <si>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</si>
  <si>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</si>
  <si>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</si>
  <si>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</si>
  <si>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</si>
  <si>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</si>
  <si>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</si>
  <si>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</si>
  <si>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</si>
  <si>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</si>
  <si>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</si>
  <si>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</si>
  <si>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</si>
  <si>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</si>
  <si>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</si>
  <si>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</si>
  <si>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</si>
  <si>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</si>
  <si>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</si>
  <si>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</si>
  <si>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</si>
  <si>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</si>
  <si>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</si>
  <si>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</si>
  <si>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</si>
  <si>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</si>
  <si>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</si>
  <si>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</si>
  <si>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</si>
  <si>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</si>
  <si>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</si>
  <si>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</si>
  <si>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</si>
  <si>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</si>
  <si>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</si>
  <si>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</si>
  <si>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</si>
  <si>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</si>
  <si>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</si>
  <si>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</si>
  <si>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</si>
  <si>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</si>
  <si>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</si>
  <si>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</si>
  <si>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</si>
  <si>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</si>
  <si>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</si>
  <si>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</si>
  <si>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</si>
  <si>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</si>
  <si>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</si>
  <si>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</si>
  <si>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</si>
  <si>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</si>
  <si>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</si>
  <si>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</si>
  <si>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</si>
  <si>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</si>
  <si>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</si>
  <si>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</si>
  <si>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</si>
  <si>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</si>
  <si>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</si>
  <si>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</si>
  <si>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</si>
  <si>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</si>
  <si>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</si>
  <si>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</si>
  <si>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</si>
  <si>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</si>
  <si>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</si>
  <si>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</si>
  <si>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</si>
  <si>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</si>
  <si>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</si>
  <si>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</si>
  <si>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</si>
  <si>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</si>
  <si>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</si>
  <si>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</si>
  <si>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</si>
  <si>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</si>
  <si>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</si>
  <si>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</si>
  <si>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</si>
  <si>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</si>
  <si>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</si>
  <si>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</si>
  <si>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</si>
  <si>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</si>
  <si>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</si>
  <si>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</si>
  <si>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</si>
  <si>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</si>
  <si>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</si>
  <si>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</si>
  <si>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</si>
  <si>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</si>
  <si>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</si>
  <si>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</si>
  <si>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</si>
  <si>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</si>
  <si>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</si>
  <si>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</si>
  <si>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</si>
  <si>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</si>
  <si>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</si>
  <si>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</si>
  <si>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</si>
  <si>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</si>
  <si>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</si>
  <si>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</si>
  <si>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</si>
  <si>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</si>
  <si>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</si>
  <si>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</si>
  <si>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</si>
  <si>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</si>
  <si>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</si>
  <si>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</si>
  <si>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</si>
  <si>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</si>
  <si>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</si>
  <si>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</si>
  <si>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</si>
  <si>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</si>
  <si>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</si>
  <si>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</si>
  <si>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</si>
  <si>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</si>
  <si>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</si>
  <si>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</si>
  <si>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</si>
  <si>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</si>
  <si>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</si>
  <si>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</si>
  <si>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</si>
  <si>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</si>
  <si>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</si>
  <si>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</si>
  <si>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</si>
  <si>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</si>
  <si>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</si>
  <si>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</si>
  <si>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</si>
  <si>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</si>
  <si>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</si>
  <si>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</si>
  <si>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</si>
  <si>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</si>
  <si>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</si>
  <si>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</si>
  <si>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</si>
  <si>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</si>
  <si>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</si>
  <si>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</si>
  <si>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</si>
  <si>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</si>
  <si>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</si>
  <si>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</si>
  <si>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</si>
  <si>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</si>
  <si>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</si>
  <si>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</si>
  <si>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</si>
  <si>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</si>
  <si>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</si>
  <si>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</si>
  <si>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</si>
  <si>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</si>
  <si>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</si>
  <si>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</si>
  <si>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</si>
  <si>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</si>
  <si>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</si>
  <si>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</si>
  <si>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</si>
  <si>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</si>
  <si>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</si>
  <si>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</si>
  <si>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</si>
  <si>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</si>
  <si>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</si>
  <si>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</si>
  <si>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</si>
  <si>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</si>
  <si>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</si>
  <si>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</si>
  <si>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</si>
  <si>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</si>
  <si>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</si>
  <si>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</si>
  <si>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</si>
  <si>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</si>
  <si>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</si>
  <si>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</si>
  <si>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</si>
  <si>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</si>
  <si>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</si>
  <si>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</si>
  <si>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</si>
  <si>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</si>
  <si>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</si>
  <si>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</si>
  <si>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</si>
  <si>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</si>
  <si>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</si>
  <si>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</si>
  <si>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</si>
  <si>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</si>
  <si>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</si>
  <si>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</si>
  <si>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</si>
  <si>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</si>
  <si>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</si>
  <si>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</si>
  <si>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</si>
  <si>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</si>
  <si>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</si>
  <si>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</si>
  <si>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</si>
  <si>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</si>
  <si>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</si>
  <si>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</si>
  <si>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</si>
  <si>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</si>
  <si>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</si>
  <si>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</si>
  <si>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</si>
  <si>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</si>
  <si>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</si>
  <si>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</si>
  <si>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</si>
  <si>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</si>
  <si>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</si>
  <si>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</si>
  <si>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</si>
  <si>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</si>
  <si>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</si>
  <si>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</si>
  <si>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</si>
  <si>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</si>
  <si>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</si>
  <si>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</si>
  <si>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</si>
  <si>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</si>
  <si>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</si>
  <si>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</si>
  <si>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</si>
  <si>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</si>
  <si>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</si>
  <si>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</si>
  <si>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</si>
  <si>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</si>
  <si>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</si>
  <si>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</si>
  <si>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</si>
  <si>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</si>
  <si>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</si>
  <si>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</si>
  <si>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</si>
  <si>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</si>
  <si>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</si>
  <si>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</si>
  <si>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</si>
  <si>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</si>
  <si>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</si>
  <si>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</si>
  <si>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</si>
  <si>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</si>
  <si>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</si>
  <si>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</si>
  <si>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</si>
  <si>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</si>
  <si>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</si>
  <si>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</si>
  <si>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</si>
  <si>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</si>
  <si>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</si>
  <si>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</si>
  <si>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</si>
  <si>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</si>
  <si>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</si>
  <si>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</si>
  <si>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</si>
  <si>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</si>
  <si>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</si>
  <si>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</si>
  <si>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</si>
  <si>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</si>
  <si>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</si>
  <si>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</si>
  <si>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</si>
  <si>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</si>
  <si>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</si>
  <si>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</si>
  <si>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</si>
  <si>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</si>
  <si>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</si>
  <si>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</si>
  <si>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</si>
  <si>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</si>
  <si>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</si>
  <si>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</si>
  <si>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</si>
  <si>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</si>
  <si>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</si>
  <si>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</si>
  <si>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</si>
  <si>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</si>
  <si>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</si>
  <si>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</si>
  <si>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</si>
  <si>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</si>
  <si>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</si>
  <si>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</si>
  <si>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</si>
  <si>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</si>
  <si>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</si>
  <si>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</si>
  <si>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</si>
  <si>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</si>
  <si>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</si>
  <si>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</si>
  <si>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</si>
  <si>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</si>
  <si>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</si>
  <si>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</si>
  <si>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</si>
  <si>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</si>
  <si>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</si>
  <si>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</si>
  <si>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</si>
  <si>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</si>
  <si>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</si>
  <si>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</si>
  <si>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</si>
  <si>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</si>
  <si>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</si>
  <si>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</si>
  <si>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</si>
  <si>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</si>
  <si>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</si>
  <si>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</si>
  <si>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</si>
  <si>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</si>
  <si>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</si>
  <si>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</si>
  <si>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</si>
  <si>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</si>
  <si>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</si>
  <si>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</si>
  <si>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</si>
  <si>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</si>
  <si>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</si>
  <si>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</si>
  <si>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</si>
  <si>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</si>
  <si>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</si>
  <si>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</si>
  <si>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</si>
  <si>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</si>
  <si>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</si>
  <si>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</si>
  <si>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</si>
  <si>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</si>
  <si>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</si>
  <si>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</si>
  <si>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</si>
  <si>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</si>
  <si>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</si>
  <si>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</si>
  <si>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</si>
  <si>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</si>
  <si>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</si>
  <si>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</si>
  <si>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</si>
  <si>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</si>
  <si>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</si>
  <si>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</si>
  <si>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</si>
  <si>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</si>
  <si>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</si>
  <si>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</si>
  <si>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</si>
  <si>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</si>
  <si>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</si>
  <si>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</si>
  <si>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</si>
  <si>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</si>
  <si>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</si>
  <si>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</si>
  <si>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</si>
  <si>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</si>
  <si>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</si>
  <si>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</si>
  <si>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</si>
  <si>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</si>
  <si>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</si>
  <si>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</si>
  <si>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</si>
  <si>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</si>
  <si>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</si>
  <si>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</si>
  <si>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</si>
  <si>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</si>
  <si>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</si>
  <si>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</si>
  <si>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</si>
  <si>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</si>
  <si>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</si>
  <si>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</si>
  <si>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</si>
  <si>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</si>
  <si>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</si>
  <si>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</si>
  <si>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</si>
  <si>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</si>
  <si>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</si>
  <si>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</si>
  <si>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</si>
  <si>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</si>
  <si>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</si>
  <si>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</si>
  <si>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</si>
  <si>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</si>
  <si>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</si>
  <si>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</si>
  <si>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</si>
  <si>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</si>
  <si>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</si>
  <si>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</si>
  <si>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</si>
  <si>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</si>
  <si>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</si>
  <si>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</si>
  <si>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</si>
  <si>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</si>
  <si>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</si>
  <si>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</si>
  <si>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</si>
  <si>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</si>
  <si>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</si>
  <si>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</si>
  <si>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</si>
  <si>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</si>
  <si>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</si>
  <si>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</si>
  <si>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</si>
  <si>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</si>
  <si>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</si>
  <si>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</si>
  <si>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</si>
  <si>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</si>
  <si>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</si>
  <si>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</si>
  <si>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</si>
  <si>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</si>
  <si>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</si>
  <si>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</si>
  <si>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</si>
  <si>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</si>
  <si>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</si>
  <si>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</si>
  <si>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</si>
  <si>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</si>
  <si>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</si>
  <si>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</si>
  <si>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</si>
  <si>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</si>
  <si>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</si>
  <si>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</si>
  <si>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</si>
  <si>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</si>
  <si>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</si>
  <si>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</si>
  <si>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</si>
  <si>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</si>
  <si>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</si>
  <si>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</si>
  <si>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</si>
  <si>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</si>
  <si>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</si>
  <si>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</si>
  <si>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</si>
  <si>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</si>
  <si>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</si>
  <si>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</si>
  <si>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</si>
  <si>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</si>
  <si>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</si>
  <si>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</si>
  <si>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</si>
  <si>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</si>
  <si>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</si>
  <si>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</si>
  <si>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</si>
  <si>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</si>
  <si>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</si>
  <si>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</si>
  <si>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</si>
  <si>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</si>
  <si>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</si>
  <si>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</si>
  <si>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</si>
  <si>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</si>
  <si>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</si>
  <si>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</si>
  <si>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</si>
  <si>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</si>
  <si>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</si>
  <si>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</si>
  <si>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</si>
  <si>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</si>
  <si>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</si>
  <si>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</si>
  <si>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</si>
  <si>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</si>
  <si>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</si>
  <si>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</si>
  <si>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</si>
  <si>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</si>
  <si>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</si>
  <si>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</si>
  <si>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</si>
  <si>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</si>
  <si>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</si>
  <si>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</si>
  <si>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</si>
  <si>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</si>
  <si>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</si>
  <si>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</si>
  <si>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</si>
  <si>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</si>
  <si>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</si>
  <si>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</si>
  <si>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</si>
  <si>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</si>
  <si>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</si>
  <si>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</si>
  <si>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</si>
  <si>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</si>
  <si>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</si>
  <si>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</si>
  <si>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</si>
  <si>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</si>
  <si>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</si>
  <si>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</si>
  <si>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</si>
  <si>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</si>
  <si>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</si>
  <si>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</si>
  <si>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</si>
  <si>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</si>
  <si>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</si>
  <si>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</si>
  <si>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</si>
  <si>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</si>
  <si>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</si>
  <si>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</si>
  <si>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</si>
  <si>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</si>
  <si>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</si>
  <si>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</si>
  <si>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</si>
  <si>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</si>
  <si>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</si>
  <si>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</si>
  <si>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</si>
  <si>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</si>
  <si>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</si>
  <si>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</si>
  <si>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</si>
  <si>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</si>
  <si>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</si>
  <si>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</si>
  <si>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</si>
  <si>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</si>
  <si>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</si>
  <si>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</si>
  <si>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</si>
  <si>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</si>
  <si>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</si>
  <si>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</si>
  <si>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</si>
  <si>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</si>
  <si>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</si>
  <si>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</si>
  <si>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</si>
  <si>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</si>
  <si>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</si>
  <si>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</si>
  <si>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</si>
  <si>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</si>
  <si>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</si>
  <si>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</si>
  <si>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</si>
  <si>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</si>
  <si>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</si>
  <si>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</si>
  <si>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</si>
  <si>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</si>
  <si>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</si>
  <si>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</si>
  <si>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</si>
  <si>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</si>
  <si>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</si>
  <si>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</si>
  <si>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</si>
  <si>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</si>
  <si>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</si>
  <si>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</si>
  <si>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</si>
  <si>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</si>
  <si>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</si>
  <si>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</si>
  <si>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</si>
  <si>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</si>
  <si>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</si>
  <si>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</si>
  <si>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</si>
  <si>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</si>
  <si>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</si>
  <si>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</si>
  <si>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</si>
  <si>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</si>
  <si>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</si>
  <si>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</si>
  <si>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</si>
  <si>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</si>
  <si>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</si>
  <si>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</si>
  <si>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</si>
  <si>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</si>
  <si>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</si>
  <si>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</si>
  <si>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</si>
  <si>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</si>
  <si>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</si>
  <si>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</si>
  <si>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</si>
  <si>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</si>
  <si>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</si>
  <si>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</si>
  <si>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</si>
  <si>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</si>
  <si>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</si>
  <si>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</si>
  <si>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</si>
  <si>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</si>
  <si>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</si>
  <si>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</si>
  <si>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</si>
  <si>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</si>
  <si>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</si>
  <si>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</si>
  <si>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</si>
  <si>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</si>
  <si>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</si>
  <si>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</si>
  <si>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</si>
  <si>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</si>
  <si>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</si>
  <si>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</si>
  <si>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</si>
  <si>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</si>
  <si>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</si>
  <si>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</si>
  <si>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</si>
  <si>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</si>
  <si>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</si>
  <si>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</si>
  <si>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</si>
  <si>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</si>
  <si>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</si>
  <si>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</si>
  <si>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</si>
  <si>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</si>
  <si>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</si>
  <si>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</si>
  <si>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</si>
  <si>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</si>
  <si>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</si>
  <si>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</si>
  <si>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</si>
  <si>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</si>
  <si>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</si>
  <si>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</si>
  <si>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</si>
  <si>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</si>
  <si>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</si>
  <si>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</si>
  <si>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</si>
  <si>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</si>
  <si>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</si>
  <si>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</si>
  <si>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</si>
  <si>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</si>
  <si>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</si>
  <si>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</si>
  <si>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</si>
  <si>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</si>
  <si>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</si>
  <si>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</si>
  <si>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</si>
  <si>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</si>
  <si>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</si>
  <si>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</si>
  <si>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</si>
  <si>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</si>
  <si>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</si>
  <si>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</si>
  <si>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</si>
  <si>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</si>
  <si>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</si>
  <si>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</si>
  <si>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</si>
  <si>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</si>
  <si>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</si>
  <si>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</si>
  <si>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</si>
  <si>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</si>
  <si>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</si>
  <si>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</si>
  <si>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</si>
  <si>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</si>
  <si>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</si>
  <si>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</si>
  <si>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</si>
  <si>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</si>
  <si>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</si>
  <si>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</si>
  <si>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</si>
  <si>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</si>
  <si>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</si>
  <si>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</si>
  <si>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</si>
  <si>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</si>
  <si>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</si>
  <si>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</si>
  <si>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</si>
  <si>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</si>
  <si>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</si>
  <si>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</si>
  <si>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</si>
  <si>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</si>
  <si>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</si>
  <si>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</si>
  <si>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</si>
  <si>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</si>
  <si>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</si>
  <si>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</si>
  <si>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</si>
  <si>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</si>
  <si>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</si>
  <si>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</si>
  <si>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</si>
  <si>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</si>
  <si>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</si>
  <si>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</si>
  <si>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</si>
  <si>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</si>
  <si>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</si>
  <si>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</si>
  <si>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</si>
  <si>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</si>
  <si>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</si>
  <si>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</si>
  <si>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</si>
  <si>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</si>
  <si>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</si>
  <si>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</si>
  <si>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</si>
  <si>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</si>
  <si>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</si>
  <si>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</si>
  <si>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</si>
  <si>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</si>
  <si>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</si>
  <si>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</si>
  <si>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</si>
  <si>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</si>
  <si>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</si>
  <si>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</si>
  <si>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</si>
  <si>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</si>
  <si>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</si>
  <si>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</si>
  <si>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</si>
  <si>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</si>
  <si>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</si>
  <si>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</si>
  <si>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</si>
  <si>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</si>
  <si>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</si>
  <si>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</si>
  <si>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</si>
  <si>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</si>
  <si>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</si>
  <si>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</si>
  <si>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</si>
  <si>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</si>
  <si>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</si>
  <si>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</si>
  <si>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</si>
  <si>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</si>
  <si>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</si>
  <si>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</si>
  <si>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</si>
  <si>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</si>
  <si>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</si>
  <si>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</si>
  <si>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</si>
  <si>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</si>
  <si>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</si>
  <si>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</si>
  <si>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</si>
  <si>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</si>
  <si>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</si>
  <si>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</si>
  <si>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</si>
  <si>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</si>
  <si>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</si>
  <si>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</si>
  <si>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</si>
  <si>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</si>
  <si>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</si>
  <si>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</si>
  <si>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</si>
  <si>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</si>
  <si>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</si>
  <si>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</si>
  <si>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</si>
  <si>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</si>
  <si>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</si>
  <si>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</si>
  <si>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</si>
  <si>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</si>
  <si>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</si>
  <si>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</si>
  <si>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</si>
  <si>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</si>
  <si>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</si>
  <si>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</si>
  <si>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</si>
  <si>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</si>
  <si>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</si>
  <si>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</si>
  <si>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</si>
  <si>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</si>
  <si>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</si>
  <si>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</si>
  <si>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</si>
  <si>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</si>
  <si>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</si>
  <si>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</si>
  <si>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</si>
  <si>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</si>
  <si>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</si>
  <si>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</si>
  <si>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</si>
  <si>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</si>
  <si>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</si>
  <si>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</si>
  <si>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</si>
  <si>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</si>
  <si>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</si>
  <si>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</si>
  <si>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</si>
  <si>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</si>
  <si>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</si>
  <si>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</si>
  <si>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</si>
  <si>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</si>
  <si>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</si>
  <si>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</si>
  <si>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</si>
  <si>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</si>
  <si>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</si>
  <si>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</si>
  <si>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</si>
  <si>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</si>
  <si>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</si>
  <si>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</si>
  <si>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</si>
  <si>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</si>
  <si>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</si>
  <si>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</si>
  <si>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</si>
  <si>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</si>
  <si>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</si>
  <si>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</si>
  <si>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</si>
  <si>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</si>
  <si>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</si>
  <si>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</si>
  <si>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</si>
  <si>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</si>
  <si>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</si>
  <si>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</si>
  <si>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</si>
  <si>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</si>
  <si>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</si>
  <si>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</si>
  <si>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</si>
  <si>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</si>
  <si>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</si>
  <si>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</si>
  <si>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</si>
  <si>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</si>
  <si>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</si>
  <si>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</si>
  <si>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</si>
  <si>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</si>
  <si>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</si>
  <si>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</si>
  <si>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</si>
  <si>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</si>
  <si>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</si>
  <si>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</si>
  <si>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</si>
  <si>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</si>
  <si>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</si>
  <si>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</si>
  <si>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</si>
  <si>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</si>
  <si>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</si>
  <si>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</si>
  <si>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</si>
  <si>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</si>
  <si>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</si>
  <si>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</si>
  <si>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</si>
  <si>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</si>
  <si>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</si>
  <si>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</si>
  <si>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</si>
  <si>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</si>
  <si>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</si>
  <si>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</si>
  <si>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</si>
  <si>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</si>
  <si>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</si>
  <si>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</si>
  <si>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</si>
  <si>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</si>
  <si>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</si>
  <si>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</si>
  <si>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</si>
  <si>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</si>
  <si>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</si>
  <si>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</si>
  <si>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</si>
  <si>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</si>
  <si>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</si>
  <si>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</si>
  <si>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</si>
  <si>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</si>
  <si>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</si>
  <si>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</si>
  <si>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</si>
  <si>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</si>
  <si>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</si>
  <si>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</si>
  <si>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</si>
  <si>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</si>
  <si>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</si>
  <si>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</si>
  <si>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</si>
  <si>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</si>
  <si>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</si>
  <si>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</si>
  <si>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</si>
  <si>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</si>
  <si>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</si>
  <si>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</si>
  <si>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</si>
  <si>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</si>
  <si>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</si>
  <si>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</si>
  <si>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</si>
  <si>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</si>
  <si>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</si>
  <si>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</si>
  <si>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</si>
  <si>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</si>
  <si>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</si>
  <si>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</si>
  <si>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</si>
  <si>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</si>
  <si>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</si>
  <si>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</si>
  <si>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</si>
  <si>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</si>
  <si>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</si>
  <si>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</si>
  <si>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</si>
  <si>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</si>
  <si>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</si>
  <si>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</si>
  <si>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</si>
  <si>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</si>
  <si>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</si>
  <si>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</si>
  <si>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</si>
  <si>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</si>
  <si>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</si>
  <si>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</si>
  <si>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</si>
  <si>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</si>
  <si>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</si>
  <si>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</si>
  <si>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</si>
  <si>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</si>
  <si>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</si>
  <si>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</si>
  <si>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</si>
  <si>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</si>
  <si>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</si>
  <si>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</si>
  <si>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</si>
  <si>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</si>
  <si>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</si>
  <si>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</si>
  <si>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</si>
  <si>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</si>
  <si>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</si>
  <si>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</si>
  <si>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</si>
  <si>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</si>
  <si>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</si>
  <si>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</si>
  <si>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</si>
  <si>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</si>
  <si>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</si>
  <si>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</si>
  <si>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</si>
  <si>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</si>
  <si>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</si>
  <si>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</si>
  <si>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</si>
  <si>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</si>
  <si>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</si>
  <si>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</si>
  <si>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</si>
  <si>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</si>
  <si>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</si>
  <si>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</si>
  <si>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</si>
  <si>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</si>
  <si>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</si>
  <si>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</si>
  <si>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</si>
  <si>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</si>
  <si>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</si>
  <si>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</si>
  <si>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</si>
  <si>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</si>
  <si>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</si>
  <si>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</si>
  <si>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</si>
  <si>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</si>
  <si>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</si>
  <si>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</si>
  <si>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</si>
  <si>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</si>
  <si>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</si>
  <si>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</si>
  <si>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</si>
  <si>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</si>
  <si>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</si>
  <si>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</si>
  <si>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</si>
  <si>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</si>
  <si>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</si>
  <si>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</si>
  <si>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</si>
  <si>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</si>
  <si>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</si>
  <si>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</si>
  <si>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</si>
  <si>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</si>
  <si>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</si>
  <si>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</si>
  <si>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</si>
  <si>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</si>
  <si>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</si>
  <si>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</si>
  <si>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</si>
  <si>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</si>
  <si>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</si>
  <si>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</si>
  <si>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</si>
  <si>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</si>
  <si>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</si>
  <si>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</si>
  <si>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</si>
  <si>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</si>
  <si>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</si>
  <si>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</si>
  <si>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</si>
  <si>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</si>
  <si>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</si>
  <si>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</si>
  <si>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</si>
  <si>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</si>
  <si>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</si>
  <si>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</si>
  <si>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</si>
  <si>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</si>
  <si>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</si>
  <si>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</si>
  <si>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</si>
  <si>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</si>
  <si>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</si>
  <si>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</si>
  <si>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</si>
  <si>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</si>
  <si>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</si>
  <si>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</si>
  <si>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</si>
  <si>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</si>
  <si>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</si>
  <si>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</si>
  <si>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</si>
  <si>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</si>
  <si>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</si>
  <si>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</si>
  <si>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</si>
  <si>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</si>
  <si>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</si>
  <si>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</si>
  <si>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</si>
  <si>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</si>
  <si>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</si>
  <si>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</si>
  <si>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</si>
  <si>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</si>
  <si>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</si>
  <si>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</si>
  <si>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</si>
  <si>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</si>
  <si>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</si>
  <si>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</si>
  <si>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</si>
  <si>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</si>
  <si>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</si>
  <si>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</si>
  <si>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</si>
  <si>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</si>
  <si>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</si>
  <si>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</si>
  <si>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</si>
  <si>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</si>
  <si>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</si>
  <si>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</si>
  <si>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</si>
  <si>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</si>
  <si>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</si>
  <si>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</si>
  <si>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</si>
  <si>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</si>
  <si>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</si>
  <si>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</si>
  <si>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</si>
  <si>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</si>
  <si>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</si>
  <si>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</si>
  <si>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</si>
  <si>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</si>
  <si>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</si>
  <si>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</si>
  <si>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</si>
  <si>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</si>
  <si>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</si>
  <si>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</si>
  <si>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</si>
  <si>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</si>
  <si>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</si>
  <si>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</si>
  <si>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</si>
  <si>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</si>
  <si>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</si>
  <si>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</si>
  <si>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</si>
  <si>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</si>
  <si>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</si>
  <si>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</si>
  <si>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</si>
  <si>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</si>
  <si>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</si>
  <si>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</si>
  <si>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</si>
  <si>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</si>
  <si>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</si>
  <si>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</si>
  <si>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</si>
  <si>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</si>
  <si>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</si>
  <si>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</si>
  <si>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</si>
  <si>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</si>
  <si>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</si>
  <si>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</si>
  <si>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</si>
  <si>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</si>
  <si>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</si>
  <si>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</si>
  <si>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</si>
  <si>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</si>
  <si>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</si>
  <si>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</si>
  <si>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</si>
  <si>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</si>
  <si>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</si>
  <si>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</si>
  <si>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</si>
  <si>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</si>
  <si>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</si>
  <si>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</si>
  <si>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</si>
  <si>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</si>
  <si>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</si>
  <si>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</si>
  <si>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</si>
  <si>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</si>
  <si>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</si>
  <si>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</si>
  <si>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</si>
  <si>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</si>
  <si>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</si>
  <si>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</si>
  <si>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</si>
  <si>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</si>
  <si>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</si>
  <si>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</si>
  <si>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</si>
  <si>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</si>
  <si>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</si>
  <si>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</si>
  <si>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</si>
  <si>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</si>
  <si>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</si>
  <si>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</si>
  <si>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</si>
  <si>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</si>
  <si>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</si>
  <si>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</si>
  <si>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</si>
  <si>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</si>
  <si>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</si>
  <si>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</si>
  <si>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</si>
  <si>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</si>
  <si>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</si>
  <si>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</si>
  <si>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</si>
  <si>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</si>
  <si>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</si>
  <si>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</si>
  <si>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</si>
  <si>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</si>
  <si>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</si>
  <si>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</si>
  <si>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</si>
  <si>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</si>
  <si>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</si>
  <si>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</si>
  <si>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</si>
  <si>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</si>
  <si>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</si>
  <si>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</si>
  <si>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</si>
  <si>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</si>
  <si>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</si>
  <si>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</si>
  <si>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</si>
  <si>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</si>
  <si>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</si>
  <si>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</si>
  <si>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</si>
  <si>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</si>
  <si>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</si>
  <si>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</si>
  <si>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</si>
  <si>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</si>
  <si>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</si>
  <si>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</si>
  <si>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</si>
  <si>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</si>
  <si>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</si>
  <si>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</si>
  <si>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</si>
  <si>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</si>
  <si>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</si>
  <si>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</si>
  <si>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</si>
  <si>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</si>
  <si>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</si>
  <si>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</si>
  <si>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</si>
  <si>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</si>
  <si>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</si>
  <si>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</si>
  <si>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</si>
  <si>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</si>
  <si>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</si>
  <si>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</si>
  <si>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</si>
  <si>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</si>
  <si>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</si>
  <si>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</si>
  <si>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</si>
  <si>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</si>
  <si>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</si>
  <si>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</si>
  <si>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</si>
  <si>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</si>
  <si>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</si>
  <si>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</si>
  <si>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</si>
  <si>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</si>
  <si>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</si>
  <si>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</si>
  <si>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</si>
  <si>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</si>
  <si>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</si>
  <si>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</si>
  <si>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</si>
  <si>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</si>
  <si>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</si>
  <si>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</si>
  <si>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</si>
  <si>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</si>
  <si>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</si>
  <si>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</si>
  <si>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</si>
  <si>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</si>
  <si>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</si>
  <si>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</si>
  <si>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</si>
  <si>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</si>
  <si>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</si>
  <si>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</si>
  <si>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</si>
  <si>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</si>
  <si>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</si>
  <si>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</si>
  <si>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</si>
  <si>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</si>
  <si>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</si>
  <si>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</si>
  <si>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</si>
  <si>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</si>
  <si>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</si>
  <si>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</si>
  <si>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</si>
  <si>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</si>
  <si>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</si>
  <si>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</si>
  <si>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</si>
  <si>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</si>
  <si>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</si>
  <si>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</si>
  <si>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</si>
  <si>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</si>
  <si>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</si>
  <si>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</si>
  <si>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</si>
  <si>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</si>
  <si>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</si>
  <si>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</si>
  <si>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</si>
  <si>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</si>
  <si>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</si>
  <si>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</si>
  <si>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</si>
  <si>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</si>
  <si>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</si>
  <si>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</si>
  <si>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</si>
  <si>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</si>
  <si>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</si>
  <si>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</si>
  <si>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</si>
  <si>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</si>
  <si>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</si>
  <si>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</si>
  <si>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</si>
  <si>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</si>
  <si>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</si>
  <si>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</si>
  <si>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</si>
  <si>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</si>
  <si>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</si>
  <si>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</si>
  <si>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</si>
  <si>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</si>
  <si>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</si>
  <si>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</si>
  <si>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</si>
  <si>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</si>
  <si>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</si>
  <si>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</si>
  <si>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</si>
  <si>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</si>
  <si>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</si>
  <si>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</si>
  <si>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</si>
  <si>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</si>
  <si>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</si>
  <si>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</si>
  <si>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</si>
  <si>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</si>
  <si>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</si>
  <si>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</si>
  <si>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</si>
  <si>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</si>
  <si>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</si>
  <si>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</si>
  <si>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</si>
  <si>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</si>
  <si>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</si>
  <si>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</si>
  <si>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</si>
  <si>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</si>
  <si>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</si>
  <si>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</si>
  <si>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</si>
  <si>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</si>
  <si>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</si>
  <si>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</si>
  <si>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</si>
  <si>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</si>
  <si>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</si>
  <si>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</si>
  <si>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</si>
  <si>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</si>
  <si>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</si>
  <si>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</si>
  <si>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</si>
  <si>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</si>
  <si>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</si>
  <si>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</si>
  <si>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</si>
  <si>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</si>
  <si>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</si>
  <si>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</si>
  <si>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</si>
  <si>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</si>
  <si>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</si>
  <si>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</si>
  <si>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</si>
  <si>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</si>
  <si>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</si>
  <si>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</si>
  <si>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</si>
  <si>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</si>
  <si>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</si>
  <si>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</si>
  <si>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</si>
  <si>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</si>
  <si>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</si>
  <si>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</si>
  <si>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</si>
  <si>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</si>
  <si>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</si>
  <si>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</si>
  <si>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</si>
  <si>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</si>
  <si>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</si>
  <si>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</si>
  <si>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</si>
  <si>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</si>
  <si>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</si>
  <si>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</si>
  <si>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</si>
  <si>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</si>
  <si>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</si>
  <si>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</si>
  <si>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</si>
  <si>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</si>
  <si>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</si>
  <si>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</si>
  <si>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</si>
  <si>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</si>
  <si>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</si>
  <si>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</si>
  <si>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</si>
  <si>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</si>
  <si>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</si>
  <si>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</si>
  <si>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</si>
  <si>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</si>
  <si>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</si>
  <si>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</si>
  <si>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</si>
  <si>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</si>
  <si>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</si>
  <si>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</si>
  <si>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</si>
  <si>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</si>
  <si>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</si>
  <si>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</si>
  <si>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</si>
  <si>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</si>
  <si>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</si>
  <si>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</si>
  <si>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</si>
  <si>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</si>
  <si>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</si>
  <si>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</si>
  <si>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</si>
  <si>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</si>
  <si>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</si>
  <si>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</si>
  <si>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</si>
  <si>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</si>
  <si>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</si>
  <si>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</si>
  <si>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</si>
  <si>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</si>
  <si>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</si>
  <si>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</si>
  <si>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</si>
  <si>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</si>
  <si>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</si>
  <si>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</si>
  <si>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</si>
  <si>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</si>
  <si>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</si>
  <si>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</si>
  <si>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</si>
  <si>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</si>
  <si>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</si>
  <si>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</si>
  <si>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</si>
  <si>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</si>
  <si>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</si>
  <si>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</si>
  <si>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</si>
  <si>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</si>
  <si>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</si>
  <si>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</si>
  <si>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</si>
  <si>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</si>
  <si>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</si>
  <si>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</si>
  <si>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</si>
  <si>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</si>
  <si>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</si>
  <si>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</si>
  <si>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</si>
  <si>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</si>
  <si>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</si>
  <si>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</si>
  <si>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</si>
  <si>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</si>
  <si>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</si>
  <si>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</si>
  <si>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</si>
  <si>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</si>
  <si>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</si>
  <si>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</si>
  <si>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</si>
  <si>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</si>
  <si>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</si>
  <si>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</si>
  <si>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</si>
  <si>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</si>
  <si>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</si>
  <si>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</si>
  <si>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</si>
  <si>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</si>
  <si>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</si>
  <si>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</si>
  <si>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</si>
  <si>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</si>
  <si>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</si>
  <si>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</si>
  <si>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</si>
  <si>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</si>
  <si>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</si>
  <si>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</si>
  <si>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</si>
  <si>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</si>
  <si>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</si>
  <si>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</si>
  <si>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</si>
  <si>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</si>
  <si>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</si>
  <si>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</si>
  <si>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</si>
  <si>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</si>
  <si>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</si>
  <si>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</si>
  <si>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</si>
  <si>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</si>
  <si>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</si>
  <si>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</si>
  <si>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</si>
  <si>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</si>
  <si>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</si>
  <si>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</si>
  <si>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</si>
  <si>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</si>
  <si>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</si>
  <si>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</si>
  <si>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</si>
  <si>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</si>
  <si>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</si>
  <si>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</si>
  <si>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</si>
  <si>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</si>
  <si>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</si>
  <si>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</si>
  <si>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</si>
  <si>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</si>
  <si>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</si>
  <si>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</si>
  <si>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</si>
  <si>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</si>
  <si>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</si>
  <si>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</si>
  <si>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</si>
  <si>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</si>
  <si>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</si>
  <si>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</si>
  <si>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</si>
  <si>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</si>
  <si>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</si>
  <si>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</si>
  <si>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</si>
  <si>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</si>
  <si>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</si>
  <si>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</si>
  <si>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</si>
  <si>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</si>
  <si>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</si>
  <si>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</si>
  <si>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</si>
  <si>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</si>
  <si>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</si>
  <si>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</si>
  <si>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</si>
  <si>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</si>
  <si>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</si>
  <si>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</si>
  <si>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</si>
  <si>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</si>
  <si>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</si>
  <si>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</si>
  <si>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</si>
  <si>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</si>
  <si>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</si>
  <si>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</si>
  <si>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</si>
  <si>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</si>
  <si>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</si>
  <si>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</si>
  <si>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</si>
  <si>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</si>
  <si>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</si>
  <si>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</si>
  <si>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</si>
  <si>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</si>
  <si>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</si>
  <si>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</si>
  <si>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</si>
  <si>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</si>
  <si>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</si>
  <si>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</si>
  <si>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</si>
  <si>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</si>
  <si>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</si>
  <si>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</si>
  <si>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</si>
  <si>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</si>
  <si>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</si>
  <si>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</si>
  <si>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</si>
  <si>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</si>
  <si>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</si>
  <si>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</si>
  <si>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</si>
  <si>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</si>
  <si>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</si>
  <si>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</si>
  <si>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</si>
  <si>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</si>
  <si>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</si>
  <si>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</si>
  <si>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</si>
  <si>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</si>
  <si>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</si>
  <si>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</si>
  <si>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</si>
  <si>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</si>
  <si>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</si>
  <si>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</si>
  <si>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</si>
  <si>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</si>
  <si>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</si>
  <si>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</si>
  <si>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</si>
  <si>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</si>
  <si>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</si>
  <si>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</si>
  <si>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</si>
  <si>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</si>
  <si>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</si>
  <si>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</si>
  <si>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</si>
  <si>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</si>
  <si>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</si>
  <si>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</si>
  <si>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</si>
  <si>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</si>
  <si>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</si>
  <si>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</si>
  <si>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</si>
  <si>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</si>
  <si>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</si>
  <si>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</si>
  <si>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</si>
  <si>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</si>
  <si>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</si>
  <si>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</si>
  <si>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</si>
  <si>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</si>
  <si>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</si>
  <si>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</si>
  <si>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</si>
  <si>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</si>
  <si>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</si>
  <si>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</si>
  <si>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</si>
  <si>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</si>
  <si>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</si>
  <si>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</si>
  <si>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</si>
  <si>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</si>
  <si>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</si>
  <si>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</si>
  <si>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</si>
  <si>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</si>
  <si>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</si>
  <si>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</si>
  <si>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</si>
  <si>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</si>
  <si>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</si>
  <si>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</si>
  <si>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</si>
  <si>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</si>
  <si>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</si>
  <si>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</si>
  <si>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</si>
  <si>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</si>
  <si>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</si>
  <si>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</si>
  <si>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</si>
  <si>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</si>
  <si>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</si>
  <si>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</si>
  <si>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</si>
  <si>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</si>
  <si>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</si>
  <si>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</si>
  <si>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</si>
  <si>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</si>
  <si>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</si>
  <si>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</si>
  <si>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</si>
  <si>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</si>
  <si>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</si>
  <si>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</si>
  <si>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</si>
  <si>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</si>
  <si>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</si>
  <si>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</si>
  <si>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</si>
  <si>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</si>
  <si>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</si>
  <si>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</si>
  <si>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</si>
  <si>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</si>
  <si>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</si>
  <si>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</si>
  <si>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</si>
  <si>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</si>
  <si>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</si>
  <si>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</si>
  <si>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</si>
  <si>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</si>
  <si>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</si>
  <si>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</si>
  <si>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</si>
  <si>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</si>
  <si>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</si>
  <si>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</si>
  <si>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</si>
  <si>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</si>
  <si>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</si>
  <si>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</si>
  <si>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</si>
  <si>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</si>
  <si>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</si>
  <si>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</si>
  <si>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</si>
  <si>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</si>
  <si>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</si>
  <si>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</si>
  <si>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</si>
  <si>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</si>
  <si>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</si>
  <si>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</si>
  <si>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</si>
  <si>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</si>
  <si>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</si>
  <si>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</si>
  <si>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</si>
  <si>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</si>
  <si>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</si>
  <si>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</si>
  <si>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</si>
  <si>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</si>
  <si>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</si>
  <si>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</si>
  <si>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</si>
  <si>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</si>
  <si>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</si>
  <si>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</si>
  <si>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</si>
  <si>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</si>
  <si>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</si>
  <si>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</si>
  <si>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</si>
  <si>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</si>
  <si>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</si>
  <si>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</si>
  <si>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</si>
  <si>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</si>
  <si>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</si>
  <si>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</si>
  <si>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</si>
  <si>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</si>
  <si>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</si>
  <si>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</si>
  <si>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</si>
  <si>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</si>
  <si>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</si>
  <si>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</si>
  <si>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</si>
  <si>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</si>
  <si>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</si>
  <si>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</si>
  <si>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</si>
  <si>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</si>
  <si>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</si>
  <si>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</si>
  <si>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</si>
  <si>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</si>
  <si>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</si>
  <si>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</si>
  <si>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</si>
  <si>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</si>
  <si>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</si>
  <si>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</si>
  <si>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</si>
  <si>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</si>
  <si>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</si>
  <si>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</si>
  <si>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</si>
  <si>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</si>
  <si>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</si>
  <si>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</si>
  <si>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</si>
  <si>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</si>
  <si>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</si>
  <si>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</si>
  <si>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</si>
  <si>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</si>
  <si>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</si>
  <si>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</si>
  <si>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</si>
  <si>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</si>
  <si>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</si>
  <si>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</si>
  <si>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</si>
  <si>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</si>
  <si>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</si>
  <si>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</si>
  <si>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</si>
  <si>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</si>
  <si>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</si>
  <si>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</si>
  <si>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</si>
  <si>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</si>
  <si>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</si>
  <si>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</si>
  <si>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</si>
  <si>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</si>
  <si>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</si>
  <si>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</si>
  <si>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</si>
  <si>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</si>
  <si>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</si>
  <si>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</si>
  <si>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</si>
  <si>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</si>
  <si>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</si>
  <si>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</si>
  <si>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</si>
  <si>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</si>
  <si>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</si>
  <si>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</si>
  <si>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Generation_kWh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</si>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</sst>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11A1-A3BE-41C4-9BAD-B348BFFED122}">
  <dimension ref="A1:C8761"/>
  <sheetViews>
    <sheetView tabSelected="1" workbookViewId="0">
      <selection activeCell="E5" sqref="E5"/>
    </sheetView>
  </sheetViews>
  <sheetFormatPr baseColWidth="10" defaultRowHeight="14.4" x14ac:dyDescent="0.3"/>
  <cols>
    <col min="1" max="1" width="19.33203125" customWidth="1"/>
    <col min="2" max="2" width="13.77734375" customWidth="1"/>
    <col min="3" max="3" width="11.44140625" customWidth="1"/>
  </cols>
  <sheetData>
    <row r="1" spans="1:3" x14ac:dyDescent="0.3">
      <c r="A1" s="2" t="s">
        <v>8762</v>
      </c>
      <c r="B1" t="s">
        <v>8761</v>
      </c>
      <c r="C1" t="s">
        <v>0</v>
      </c>
    </row>
    <row r="2" spans="1:3" x14ac:dyDescent="0.3">
      <c r="A2" t="s">
        <v>1</v>
      </c>
      <c r="B2">
        <f>0*(1-0.8198)</f>
        <v>0</v>
      </c>
      <c r="C2" s="1">
        <v>4</v>
      </c>
    </row>
    <row r="3" spans="1:3" x14ac:dyDescent="0.3">
      <c r="A3" t="s">
        <v>2</v>
      </c>
      <c r="B3">
        <f>0*(1-0.8198)</f>
        <v>0</v>
      </c>
      <c r="C3" s="1">
        <v>4</v>
      </c>
    </row>
    <row r="4" spans="1:3" x14ac:dyDescent="0.3">
      <c r="A4" t="s">
        <v>3</v>
      </c>
      <c r="B4">
        <f>0*(1-0.8198)</f>
        <v>0</v>
      </c>
      <c r="C4" s="1">
        <v>5</v>
      </c>
    </row>
    <row r="5" spans="1:3" x14ac:dyDescent="0.3">
      <c r="A5" t="s">
        <v>4</v>
      </c>
      <c r="B5">
        <f>0*(1-0.8198)</f>
        <v>0</v>
      </c>
      <c r="C5" s="1">
        <v>4</v>
      </c>
    </row>
    <row r="6" spans="1:3" x14ac:dyDescent="0.3">
      <c r="A6" t="s">
        <v>5</v>
      </c>
      <c r="B6">
        <f>0*(1-0.8198)</f>
        <v>0</v>
      </c>
      <c r="C6" s="1">
        <v>4</v>
      </c>
    </row>
    <row r="7" spans="1:3" x14ac:dyDescent="0.3">
      <c r="A7" t="s">
        <v>6</v>
      </c>
      <c r="B7">
        <f>0*(1-0.8198)</f>
        <v>0</v>
      </c>
      <c r="C7" s="1">
        <v>5</v>
      </c>
    </row>
    <row r="8" spans="1:3" x14ac:dyDescent="0.3">
      <c r="A8" t="s">
        <v>7</v>
      </c>
      <c r="B8">
        <f>0*(1-0.8198)</f>
        <v>0</v>
      </c>
      <c r="C8" s="1">
        <v>4</v>
      </c>
    </row>
    <row r="9" spans="1:3" x14ac:dyDescent="0.3">
      <c r="A9" t="s">
        <v>8</v>
      </c>
      <c r="B9">
        <f>0*(1-0.8198)</f>
        <v>0</v>
      </c>
      <c r="C9" s="1">
        <v>4</v>
      </c>
    </row>
    <row r="10" spans="1:3" x14ac:dyDescent="0.3">
      <c r="A10" t="s">
        <v>9</v>
      </c>
      <c r="B10">
        <f>6.80504995571429*(1-0.8198)</f>
        <v>1.2262700020197146</v>
      </c>
      <c r="C10" s="1">
        <v>4</v>
      </c>
    </row>
    <row r="11" spans="1:3" x14ac:dyDescent="0.3">
      <c r="A11" t="s">
        <v>10</v>
      </c>
      <c r="B11">
        <f>11.1425495185714*(1-0.8198)</f>
        <v>2.0078874232465722</v>
      </c>
      <c r="C11" s="1">
        <v>4</v>
      </c>
    </row>
    <row r="12" spans="1:3" x14ac:dyDescent="0.3">
      <c r="A12" t="s">
        <v>11</v>
      </c>
      <c r="B12">
        <f>19.6535317785714*(1-0.8198)</f>
        <v>3.5415664264985725</v>
      </c>
      <c r="C12" s="1">
        <v>5</v>
      </c>
    </row>
    <row r="13" spans="1:3" x14ac:dyDescent="0.3">
      <c r="A13" t="s">
        <v>12</v>
      </c>
      <c r="B13">
        <f>29.2464925085714*(1-0.8198)</f>
        <v>5.2702179500445725</v>
      </c>
      <c r="C13" s="1">
        <v>4</v>
      </c>
    </row>
    <row r="14" spans="1:3" x14ac:dyDescent="0.3">
      <c r="A14" t="s">
        <v>13</v>
      </c>
      <c r="B14">
        <f>27.2081732757143*(1-0.8198)</f>
        <v>4.9029128242837157</v>
      </c>
      <c r="C14" s="1">
        <v>4</v>
      </c>
    </row>
    <row r="15" spans="1:3" x14ac:dyDescent="0.3">
      <c r="A15" t="s">
        <v>14</v>
      </c>
      <c r="B15">
        <f>18.65064327*(1-0.8198)</f>
        <v>3.3608459172540011</v>
      </c>
      <c r="C15" s="1">
        <v>5</v>
      </c>
    </row>
    <row r="16" spans="1:3" x14ac:dyDescent="0.3">
      <c r="A16" t="s">
        <v>15</v>
      </c>
      <c r="B16">
        <f>13.5336900785714*(1-0.8198)</f>
        <v>2.4387709521585719</v>
      </c>
      <c r="C16" s="1">
        <v>4</v>
      </c>
    </row>
    <row r="17" spans="1:3" x14ac:dyDescent="0.3">
      <c r="A17" t="s">
        <v>16</v>
      </c>
      <c r="B17">
        <f>7.38461181857143*(1-0.8198)</f>
        <v>1.3307070497065716</v>
      </c>
      <c r="C17" s="1">
        <v>4</v>
      </c>
    </row>
    <row r="18" spans="1:3" x14ac:dyDescent="0.3">
      <c r="A18" t="s">
        <v>17</v>
      </c>
      <c r="B18">
        <f>0.28552*(1-0.8198)</f>
        <v>5.1450704000000014E-2</v>
      </c>
      <c r="C18" s="1">
        <v>5</v>
      </c>
    </row>
    <row r="19" spans="1:3" x14ac:dyDescent="0.3">
      <c r="A19" t="s">
        <v>18</v>
      </c>
      <c r="B19">
        <f>0*(1-0.8198)</f>
        <v>0</v>
      </c>
      <c r="C19" s="1">
        <v>4</v>
      </c>
    </row>
    <row r="20" spans="1:3" x14ac:dyDescent="0.3">
      <c r="A20" t="s">
        <v>19</v>
      </c>
      <c r="B20">
        <f>0*(1-0.8198)</f>
        <v>0</v>
      </c>
      <c r="C20" s="1">
        <v>4</v>
      </c>
    </row>
    <row r="21" spans="1:3" x14ac:dyDescent="0.3">
      <c r="A21" t="s">
        <v>20</v>
      </c>
      <c r="B21">
        <f>0*(1-0.8198)</f>
        <v>0</v>
      </c>
      <c r="C21" s="1">
        <v>4</v>
      </c>
    </row>
    <row r="22" spans="1:3" x14ac:dyDescent="0.3">
      <c r="A22" t="s">
        <v>21</v>
      </c>
      <c r="B22">
        <f>0*(1-0.8198)</f>
        <v>0</v>
      </c>
      <c r="C22" s="1">
        <v>4</v>
      </c>
    </row>
    <row r="23" spans="1:3" x14ac:dyDescent="0.3">
      <c r="A23" t="s">
        <v>22</v>
      </c>
      <c r="B23">
        <f>0*(1-0.8198)</f>
        <v>0</v>
      </c>
      <c r="C23" s="1">
        <v>4</v>
      </c>
    </row>
    <row r="24" spans="1:3" x14ac:dyDescent="0.3">
      <c r="A24" t="s">
        <v>23</v>
      </c>
      <c r="B24">
        <f>0*(1-0.8198)</f>
        <v>0</v>
      </c>
      <c r="C24" s="1">
        <v>5</v>
      </c>
    </row>
    <row r="25" spans="1:3" x14ac:dyDescent="0.3">
      <c r="A25" t="s">
        <v>24</v>
      </c>
      <c r="B25">
        <f>0*(1-0.8198)</f>
        <v>0</v>
      </c>
      <c r="C25" s="1">
        <v>4</v>
      </c>
    </row>
    <row r="26" spans="1:3" x14ac:dyDescent="0.3">
      <c r="A26" t="s">
        <v>25</v>
      </c>
      <c r="B26">
        <f>0*(1-0.8198)</f>
        <v>0</v>
      </c>
      <c r="C26" s="1">
        <v>4</v>
      </c>
    </row>
    <row r="27" spans="1:3" x14ac:dyDescent="0.3">
      <c r="A27" t="s">
        <v>26</v>
      </c>
      <c r="B27">
        <f>0*(1-0.8198)</f>
        <v>0</v>
      </c>
      <c r="C27" s="1">
        <v>5</v>
      </c>
    </row>
    <row r="28" spans="1:3" x14ac:dyDescent="0.3">
      <c r="A28" t="s">
        <v>27</v>
      </c>
      <c r="B28">
        <f>0*(1-0.8198)</f>
        <v>0</v>
      </c>
      <c r="C28" s="1">
        <v>4</v>
      </c>
    </row>
    <row r="29" spans="1:3" x14ac:dyDescent="0.3">
      <c r="A29" t="s">
        <v>28</v>
      </c>
      <c r="B29">
        <f>0*(1-0.8198)</f>
        <v>0</v>
      </c>
      <c r="C29" s="1">
        <v>4</v>
      </c>
    </row>
    <row r="30" spans="1:3" x14ac:dyDescent="0.3">
      <c r="A30" t="s">
        <v>29</v>
      </c>
      <c r="B30">
        <f>0*(1-0.8198)</f>
        <v>0</v>
      </c>
      <c r="C30" s="1">
        <v>5</v>
      </c>
    </row>
    <row r="31" spans="1:3" x14ac:dyDescent="0.3">
      <c r="A31" t="s">
        <v>30</v>
      </c>
      <c r="B31">
        <f>0*(1-0.8198)</f>
        <v>0</v>
      </c>
      <c r="C31" s="1">
        <v>4</v>
      </c>
    </row>
    <row r="32" spans="1:3" x14ac:dyDescent="0.3">
      <c r="A32" t="s">
        <v>31</v>
      </c>
      <c r="B32">
        <f>0*(1-0.8198)</f>
        <v>0</v>
      </c>
      <c r="C32" s="1">
        <v>6</v>
      </c>
    </row>
    <row r="33" spans="1:3" x14ac:dyDescent="0.3">
      <c r="A33" t="s">
        <v>32</v>
      </c>
      <c r="B33">
        <f>0*(1-0.8198)</f>
        <v>0</v>
      </c>
      <c r="C33" s="1">
        <v>6</v>
      </c>
    </row>
    <row r="34" spans="1:3" x14ac:dyDescent="0.3">
      <c r="A34" t="s">
        <v>33</v>
      </c>
      <c r="B34">
        <f>1.93604772571429*(1-0.8198)</f>
        <v>0.34887580017371433</v>
      </c>
      <c r="C34" s="1">
        <v>6</v>
      </c>
    </row>
    <row r="35" spans="1:3" x14ac:dyDescent="0.3">
      <c r="A35" t="s">
        <v>34</v>
      </c>
      <c r="B35">
        <f>8.66509014428571*(1-0.8198)</f>
        <v>1.5614492440002858</v>
      </c>
      <c r="C35" s="1">
        <v>6</v>
      </c>
    </row>
    <row r="36" spans="1:3" x14ac:dyDescent="0.3">
      <c r="A36" t="s">
        <v>35</v>
      </c>
      <c r="B36">
        <f>15.0258689528571*(1-0.8198)</f>
        <v>2.7076615853048578</v>
      </c>
      <c r="C36" s="1">
        <v>6</v>
      </c>
    </row>
    <row r="37" spans="1:3" x14ac:dyDescent="0.3">
      <c r="A37" t="s">
        <v>36</v>
      </c>
      <c r="B37">
        <f>20.61538981*(1-0.8198)</f>
        <v>3.7148932437620004</v>
      </c>
      <c r="C37" s="1">
        <v>6</v>
      </c>
    </row>
    <row r="38" spans="1:3" x14ac:dyDescent="0.3">
      <c r="A38" t="s">
        <v>37</v>
      </c>
      <c r="B38">
        <f>15.4663257542857*(1-0.8198)</f>
        <v>2.7870319009222864</v>
      </c>
      <c r="C38" s="1">
        <v>6</v>
      </c>
    </row>
    <row r="39" spans="1:3" x14ac:dyDescent="0.3">
      <c r="A39" t="s">
        <v>38</v>
      </c>
      <c r="B39">
        <f>18.51409118*(1-0.8198)</f>
        <v>3.3362392306360009</v>
      </c>
      <c r="C39" s="1">
        <v>6</v>
      </c>
    </row>
    <row r="40" spans="1:3" x14ac:dyDescent="0.3">
      <c r="A40" t="s">
        <v>39</v>
      </c>
      <c r="B40">
        <f>12.1584550485714*(1-0.8198)</f>
        <v>2.1909535997525715</v>
      </c>
      <c r="C40" s="1">
        <v>4</v>
      </c>
    </row>
    <row r="41" spans="1:3" x14ac:dyDescent="0.3">
      <c r="A41" t="s">
        <v>40</v>
      </c>
      <c r="B41">
        <f>6.43381940714286*(1-0.8198)</f>
        <v>1.1593742571671433</v>
      </c>
      <c r="C41" s="1">
        <v>5</v>
      </c>
    </row>
    <row r="42" spans="1:3" x14ac:dyDescent="0.3">
      <c r="A42" t="s">
        <v>41</v>
      </c>
      <c r="B42">
        <f>0.15308*(1-0.8198)</f>
        <v>2.7585016000000007E-2</v>
      </c>
      <c r="C42" s="1">
        <v>4</v>
      </c>
    </row>
    <row r="43" spans="1:3" x14ac:dyDescent="0.3">
      <c r="A43" t="s">
        <v>42</v>
      </c>
      <c r="B43">
        <f>0*(1-0.8198)</f>
        <v>0</v>
      </c>
      <c r="C43" s="1">
        <v>4</v>
      </c>
    </row>
    <row r="44" spans="1:3" x14ac:dyDescent="0.3">
      <c r="A44" t="s">
        <v>43</v>
      </c>
      <c r="B44">
        <f>0*(1-0.8198)</f>
        <v>0</v>
      </c>
      <c r="C44" s="1">
        <v>4</v>
      </c>
    </row>
    <row r="45" spans="1:3" x14ac:dyDescent="0.3">
      <c r="A45" t="s">
        <v>44</v>
      </c>
      <c r="B45">
        <f>0*(1-0.8198)</f>
        <v>0</v>
      </c>
      <c r="C45" s="1">
        <v>4</v>
      </c>
    </row>
    <row r="46" spans="1:3" x14ac:dyDescent="0.3">
      <c r="A46" t="s">
        <v>45</v>
      </c>
      <c r="B46">
        <f>0*(1-0.8198)</f>
        <v>0</v>
      </c>
      <c r="C46" s="1">
        <v>5</v>
      </c>
    </row>
    <row r="47" spans="1:3" x14ac:dyDescent="0.3">
      <c r="A47" t="s">
        <v>46</v>
      </c>
      <c r="B47">
        <f>0*(1-0.8198)</f>
        <v>0</v>
      </c>
      <c r="C47" s="1">
        <v>4</v>
      </c>
    </row>
    <row r="48" spans="1:3" x14ac:dyDescent="0.3">
      <c r="A48" t="s">
        <v>47</v>
      </c>
      <c r="B48">
        <f>0*(1-0.8198)</f>
        <v>0</v>
      </c>
      <c r="C48" s="1">
        <v>4</v>
      </c>
    </row>
    <row r="49" spans="1:3" x14ac:dyDescent="0.3">
      <c r="A49" t="s">
        <v>48</v>
      </c>
      <c r="B49">
        <f>0*(1-0.8198)</f>
        <v>0</v>
      </c>
      <c r="C49" s="1">
        <v>4</v>
      </c>
    </row>
    <row r="50" spans="1:3" x14ac:dyDescent="0.3">
      <c r="A50" t="s">
        <v>49</v>
      </c>
      <c r="B50">
        <f>0*(1-0.8198)</f>
        <v>0</v>
      </c>
      <c r="C50" s="1">
        <v>5</v>
      </c>
    </row>
    <row r="51" spans="1:3" x14ac:dyDescent="0.3">
      <c r="A51" t="s">
        <v>50</v>
      </c>
      <c r="B51">
        <f>0*(1-0.8198)</f>
        <v>0</v>
      </c>
      <c r="C51" s="1">
        <v>4</v>
      </c>
    </row>
    <row r="52" spans="1:3" x14ac:dyDescent="0.3">
      <c r="A52" t="s">
        <v>51</v>
      </c>
      <c r="B52">
        <f>0*(1-0.8198)</f>
        <v>0</v>
      </c>
      <c r="C52" s="1">
        <v>4</v>
      </c>
    </row>
    <row r="53" spans="1:3" x14ac:dyDescent="0.3">
      <c r="A53" t="s">
        <v>52</v>
      </c>
      <c r="B53">
        <f>0*(1-0.8198)</f>
        <v>0</v>
      </c>
      <c r="C53" s="1">
        <v>5</v>
      </c>
    </row>
    <row r="54" spans="1:3" x14ac:dyDescent="0.3">
      <c r="A54" t="s">
        <v>53</v>
      </c>
      <c r="B54">
        <f>0*(1-0.8198)</f>
        <v>0</v>
      </c>
      <c r="C54" s="1">
        <v>4</v>
      </c>
    </row>
    <row r="55" spans="1:3" x14ac:dyDescent="0.3">
      <c r="A55" t="s">
        <v>54</v>
      </c>
      <c r="B55">
        <f>0*(1-0.8198)</f>
        <v>0</v>
      </c>
      <c r="C55" s="1">
        <v>4</v>
      </c>
    </row>
    <row r="56" spans="1:3" x14ac:dyDescent="0.3">
      <c r="A56" t="s">
        <v>55</v>
      </c>
      <c r="B56">
        <f>0*(1-0.8198)</f>
        <v>0</v>
      </c>
      <c r="C56" s="1">
        <v>6</v>
      </c>
    </row>
    <row r="57" spans="1:3" x14ac:dyDescent="0.3">
      <c r="A57" t="s">
        <v>56</v>
      </c>
      <c r="B57">
        <f>0*(1-0.8198)</f>
        <v>0</v>
      </c>
      <c r="C57" s="1">
        <v>6</v>
      </c>
    </row>
    <row r="58" spans="1:3" x14ac:dyDescent="0.3">
      <c r="A58" t="s">
        <v>57</v>
      </c>
      <c r="B58">
        <f>0.505508*(1-0.8198)</f>
        <v>9.1092541600000007E-2</v>
      </c>
      <c r="C58" s="1">
        <v>6</v>
      </c>
    </row>
    <row r="59" spans="1:3" x14ac:dyDescent="0.3">
      <c r="A59" t="s">
        <v>58</v>
      </c>
      <c r="B59">
        <f>12.22545341*(1-0.8198)</f>
        <v>2.2030267044820002</v>
      </c>
      <c r="C59" s="1">
        <v>7</v>
      </c>
    </row>
    <row r="60" spans="1:3" x14ac:dyDescent="0.3">
      <c r="A60" t="s">
        <v>59</v>
      </c>
      <c r="B60">
        <f>18.9206152071429*(1-0.8198)</f>
        <v>3.4094948603271438</v>
      </c>
      <c r="C60" s="1">
        <v>6</v>
      </c>
    </row>
    <row r="61" spans="1:3" x14ac:dyDescent="0.3">
      <c r="A61" t="s">
        <v>60</v>
      </c>
      <c r="B61">
        <f>23.3796541471429*(1-0.8198)</f>
        <v>4.2130136773151436</v>
      </c>
      <c r="C61" s="1">
        <v>6</v>
      </c>
    </row>
    <row r="62" spans="1:3" x14ac:dyDescent="0.3">
      <c r="A62" t="s">
        <v>61</v>
      </c>
      <c r="B62">
        <f>28.3751124357143*(1-0.8198)</f>
        <v>5.1131952609157159</v>
      </c>
      <c r="C62" s="1">
        <v>6</v>
      </c>
    </row>
    <row r="63" spans="1:3" x14ac:dyDescent="0.3">
      <c r="A63" t="s">
        <v>62</v>
      </c>
      <c r="B63">
        <f>27.1175706785714*(1-0.8198)</f>
        <v>4.886586236278573</v>
      </c>
      <c r="C63" s="1">
        <v>6</v>
      </c>
    </row>
    <row r="64" spans="1:3" x14ac:dyDescent="0.3">
      <c r="A64" t="s">
        <v>63</v>
      </c>
      <c r="B64">
        <f>19.7040490385714*(1-0.8198)</f>
        <v>3.5506696367505723</v>
      </c>
      <c r="C64" s="1">
        <v>4</v>
      </c>
    </row>
    <row r="65" spans="1:3" x14ac:dyDescent="0.3">
      <c r="A65" t="s">
        <v>64</v>
      </c>
      <c r="B65">
        <f>9.49606846142857*(1-0.8198)</f>
        <v>1.7111915367494295</v>
      </c>
      <c r="C65" s="1">
        <v>5</v>
      </c>
    </row>
    <row r="66" spans="1:3" x14ac:dyDescent="0.3">
      <c r="A66" t="s">
        <v>65</v>
      </c>
      <c r="B66">
        <f>0.629841271428571*(1-0.8198)</f>
        <v>0.1134973971114286</v>
      </c>
      <c r="C66" s="1">
        <v>4</v>
      </c>
    </row>
    <row r="67" spans="1:3" x14ac:dyDescent="0.3">
      <c r="A67" t="s">
        <v>66</v>
      </c>
      <c r="B67">
        <f>0*(1-0.8198)</f>
        <v>0</v>
      </c>
      <c r="C67" s="1">
        <v>4</v>
      </c>
    </row>
    <row r="68" spans="1:3" x14ac:dyDescent="0.3">
      <c r="A68" t="s">
        <v>67</v>
      </c>
      <c r="B68">
        <f>0*(1-0.8198)</f>
        <v>0</v>
      </c>
      <c r="C68" s="1">
        <v>4</v>
      </c>
    </row>
    <row r="69" spans="1:3" x14ac:dyDescent="0.3">
      <c r="A69" t="s">
        <v>68</v>
      </c>
      <c r="B69">
        <f>0*(1-0.8198)</f>
        <v>0</v>
      </c>
      <c r="C69" s="1">
        <v>4</v>
      </c>
    </row>
    <row r="70" spans="1:3" x14ac:dyDescent="0.3">
      <c r="A70" t="s">
        <v>69</v>
      </c>
      <c r="B70">
        <f>0*(1-0.8198)</f>
        <v>0</v>
      </c>
      <c r="C70" s="1">
        <v>4</v>
      </c>
    </row>
    <row r="71" spans="1:3" x14ac:dyDescent="0.3">
      <c r="A71" t="s">
        <v>70</v>
      </c>
      <c r="B71">
        <f>0*(1-0.8198)</f>
        <v>0</v>
      </c>
      <c r="C71" s="1">
        <v>5</v>
      </c>
    </row>
    <row r="72" spans="1:3" x14ac:dyDescent="0.3">
      <c r="A72" t="s">
        <v>71</v>
      </c>
      <c r="B72">
        <f>0*(1-0.8198)</f>
        <v>0</v>
      </c>
      <c r="C72" s="1">
        <v>4</v>
      </c>
    </row>
    <row r="73" spans="1:3" x14ac:dyDescent="0.3">
      <c r="A73" t="s">
        <v>72</v>
      </c>
      <c r="B73">
        <f>0*(1-0.8198)</f>
        <v>0</v>
      </c>
      <c r="C73" s="1">
        <v>4</v>
      </c>
    </row>
    <row r="74" spans="1:3" x14ac:dyDescent="0.3">
      <c r="A74" t="s">
        <v>73</v>
      </c>
      <c r="B74">
        <f>0*(1-0.8198)</f>
        <v>0</v>
      </c>
      <c r="C74" s="1">
        <v>4</v>
      </c>
    </row>
    <row r="75" spans="1:3" x14ac:dyDescent="0.3">
      <c r="A75" t="s">
        <v>74</v>
      </c>
      <c r="B75">
        <f>0*(1-0.8198)</f>
        <v>0</v>
      </c>
      <c r="C75" s="1">
        <v>5</v>
      </c>
    </row>
    <row r="76" spans="1:3" x14ac:dyDescent="0.3">
      <c r="A76" t="s">
        <v>75</v>
      </c>
      <c r="B76">
        <f>0*(1-0.8198)</f>
        <v>0</v>
      </c>
      <c r="C76" s="1">
        <v>4</v>
      </c>
    </row>
    <row r="77" spans="1:3" x14ac:dyDescent="0.3">
      <c r="A77" t="s">
        <v>76</v>
      </c>
      <c r="B77">
        <f>0*(1-0.8198)</f>
        <v>0</v>
      </c>
      <c r="C77" s="1">
        <v>4</v>
      </c>
    </row>
    <row r="78" spans="1:3" x14ac:dyDescent="0.3">
      <c r="A78" t="s">
        <v>77</v>
      </c>
      <c r="B78">
        <f>0*(1-0.8198)</f>
        <v>0</v>
      </c>
      <c r="C78" s="1">
        <v>4</v>
      </c>
    </row>
    <row r="79" spans="1:3" x14ac:dyDescent="0.3">
      <c r="A79" t="s">
        <v>78</v>
      </c>
      <c r="B79">
        <f>0*(1-0.8198)</f>
        <v>0</v>
      </c>
      <c r="C79" s="1">
        <v>5</v>
      </c>
    </row>
    <row r="80" spans="1:3" x14ac:dyDescent="0.3">
      <c r="A80" t="s">
        <v>79</v>
      </c>
      <c r="B80">
        <f>0*(1-0.8198)</f>
        <v>0</v>
      </c>
      <c r="C80" s="1">
        <v>6</v>
      </c>
    </row>
    <row r="81" spans="1:3" x14ac:dyDescent="0.3">
      <c r="A81" t="s">
        <v>80</v>
      </c>
      <c r="B81">
        <f>0*(1-0.8198)</f>
        <v>0</v>
      </c>
      <c r="C81" s="1">
        <v>6</v>
      </c>
    </row>
    <row r="82" spans="1:3" x14ac:dyDescent="0.3">
      <c r="A82" t="s">
        <v>81</v>
      </c>
      <c r="B82">
        <f>7.31934003*(1-0.8198)</f>
        <v>1.3189450734060004</v>
      </c>
      <c r="C82" s="1">
        <v>6</v>
      </c>
    </row>
    <row r="83" spans="1:3" x14ac:dyDescent="0.3">
      <c r="A83" t="s">
        <v>82</v>
      </c>
      <c r="B83">
        <f>17.7603320785714*(1-0.8198)</f>
        <v>3.2004118405585715</v>
      </c>
      <c r="C83" s="1">
        <v>6</v>
      </c>
    </row>
    <row r="84" spans="1:3" x14ac:dyDescent="0.3">
      <c r="A84" t="s">
        <v>83</v>
      </c>
      <c r="B84">
        <f>26.3867589571429*(1-0.8198)</f>
        <v>4.7548939640771444</v>
      </c>
      <c r="C84" s="1">
        <v>7</v>
      </c>
    </row>
    <row r="85" spans="1:3" x14ac:dyDescent="0.3">
      <c r="A85" t="s">
        <v>84</v>
      </c>
      <c r="B85">
        <f>31.6718747671429*(1-0.8198)</f>
        <v>5.7072718330391439</v>
      </c>
      <c r="C85" s="1">
        <v>6</v>
      </c>
    </row>
    <row r="86" spans="1:3" x14ac:dyDescent="0.3">
      <c r="A86" t="s">
        <v>85</v>
      </c>
      <c r="B86">
        <f>30.9672646657143*(1-0.8198)</f>
        <v>5.580301092761716</v>
      </c>
      <c r="C86" s="1">
        <v>7</v>
      </c>
    </row>
    <row r="87" spans="1:3" x14ac:dyDescent="0.3">
      <c r="A87" t="s">
        <v>86</v>
      </c>
      <c r="B87">
        <f>28.0069287442857*(1-0.8198)</f>
        <v>5.0468485597202868</v>
      </c>
      <c r="C87" s="1">
        <v>6</v>
      </c>
    </row>
    <row r="88" spans="1:3" x14ac:dyDescent="0.3">
      <c r="A88" t="s">
        <v>87</v>
      </c>
      <c r="B88">
        <f>20.1983490885714*(1-0.8198)</f>
        <v>3.639742505760573</v>
      </c>
      <c r="C88" s="1">
        <v>4</v>
      </c>
    </row>
    <row r="89" spans="1:3" x14ac:dyDescent="0.3">
      <c r="A89" t="s">
        <v>88</v>
      </c>
      <c r="B89">
        <f>9.99323384714286*(1-0.8198)</f>
        <v>1.8007807392551434</v>
      </c>
      <c r="C89" s="1">
        <v>4</v>
      </c>
    </row>
    <row r="90" spans="1:3" x14ac:dyDescent="0.3">
      <c r="A90" t="s">
        <v>89</v>
      </c>
      <c r="B90">
        <f>0.83113711*(1-0.8198)</f>
        <v>0.14977090722200007</v>
      </c>
      <c r="C90" s="1">
        <v>4</v>
      </c>
    </row>
    <row r="91" spans="1:3" x14ac:dyDescent="0.3">
      <c r="A91" t="s">
        <v>90</v>
      </c>
      <c r="B91">
        <f>0*(1-0.8198)</f>
        <v>0</v>
      </c>
      <c r="C91" s="1">
        <v>4</v>
      </c>
    </row>
    <row r="92" spans="1:3" x14ac:dyDescent="0.3">
      <c r="A92" t="s">
        <v>91</v>
      </c>
      <c r="B92">
        <f>0*(1-0.8198)</f>
        <v>0</v>
      </c>
      <c r="C92" s="1">
        <v>4</v>
      </c>
    </row>
    <row r="93" spans="1:3" x14ac:dyDescent="0.3">
      <c r="A93" t="s">
        <v>92</v>
      </c>
      <c r="B93">
        <f>0*(1-0.8198)</f>
        <v>0</v>
      </c>
      <c r="C93" s="1">
        <v>4</v>
      </c>
    </row>
    <row r="94" spans="1:3" x14ac:dyDescent="0.3">
      <c r="A94" t="s">
        <v>93</v>
      </c>
      <c r="B94">
        <f>0*(1-0.8198)</f>
        <v>0</v>
      </c>
      <c r="C94" s="1">
        <v>4</v>
      </c>
    </row>
    <row r="95" spans="1:3" x14ac:dyDescent="0.3">
      <c r="A95" t="s">
        <v>94</v>
      </c>
      <c r="B95">
        <f>0*(1-0.8198)</f>
        <v>0</v>
      </c>
      <c r="C95" s="1">
        <v>4</v>
      </c>
    </row>
    <row r="96" spans="1:3" x14ac:dyDescent="0.3">
      <c r="A96" t="s">
        <v>95</v>
      </c>
      <c r="B96">
        <f>0*(1-0.8198)</f>
        <v>0</v>
      </c>
      <c r="C96" s="1">
        <v>4</v>
      </c>
    </row>
    <row r="97" spans="1:3" x14ac:dyDescent="0.3">
      <c r="A97" t="s">
        <v>96</v>
      </c>
      <c r="B97">
        <f>0*(1-0.8198)</f>
        <v>0</v>
      </c>
      <c r="C97" s="1">
        <v>4</v>
      </c>
    </row>
    <row r="98" spans="1:3" x14ac:dyDescent="0.3">
      <c r="A98" t="s">
        <v>97</v>
      </c>
      <c r="B98">
        <f>0*(1-0.8198)</f>
        <v>0</v>
      </c>
      <c r="C98" s="1">
        <v>4</v>
      </c>
    </row>
    <row r="99" spans="1:3" x14ac:dyDescent="0.3">
      <c r="A99" t="s">
        <v>98</v>
      </c>
      <c r="B99">
        <f>0*(1-0.8198)</f>
        <v>0</v>
      </c>
      <c r="C99" s="1">
        <v>4</v>
      </c>
    </row>
    <row r="100" spans="1:3" x14ac:dyDescent="0.3">
      <c r="A100" t="s">
        <v>99</v>
      </c>
      <c r="B100">
        <f>0*(1-0.8198)</f>
        <v>0</v>
      </c>
      <c r="C100" s="1">
        <v>5</v>
      </c>
    </row>
    <row r="101" spans="1:3" x14ac:dyDescent="0.3">
      <c r="A101" t="s">
        <v>100</v>
      </c>
      <c r="B101">
        <f>0*(1-0.8198)</f>
        <v>0</v>
      </c>
      <c r="C101" s="1">
        <v>4</v>
      </c>
    </row>
    <row r="102" spans="1:3" x14ac:dyDescent="0.3">
      <c r="A102" t="s">
        <v>101</v>
      </c>
      <c r="B102">
        <f>0*(1-0.8198)</f>
        <v>0</v>
      </c>
      <c r="C102" s="1">
        <v>4</v>
      </c>
    </row>
    <row r="103" spans="1:3" x14ac:dyDescent="0.3">
      <c r="A103" t="s">
        <v>102</v>
      </c>
      <c r="B103">
        <f>0*(1-0.8198)</f>
        <v>0</v>
      </c>
      <c r="C103" s="1">
        <v>4</v>
      </c>
    </row>
    <row r="104" spans="1:3" x14ac:dyDescent="0.3">
      <c r="A104" t="s">
        <v>103</v>
      </c>
      <c r="B104">
        <f>0*(1-0.8198)</f>
        <v>0</v>
      </c>
      <c r="C104" s="1">
        <v>6</v>
      </c>
    </row>
    <row r="105" spans="1:3" x14ac:dyDescent="0.3">
      <c r="A105" t="s">
        <v>104</v>
      </c>
      <c r="B105">
        <f>0*(1-0.8198)</f>
        <v>0</v>
      </c>
      <c r="C105" s="1">
        <v>6</v>
      </c>
    </row>
    <row r="106" spans="1:3" x14ac:dyDescent="0.3">
      <c r="A106" t="s">
        <v>105</v>
      </c>
      <c r="B106">
        <f>7.67925949*(1-0.8198)</f>
        <v>1.3838025600980004</v>
      </c>
      <c r="C106" s="1">
        <v>6</v>
      </c>
    </row>
    <row r="107" spans="1:3" x14ac:dyDescent="0.3">
      <c r="A107" t="s">
        <v>106</v>
      </c>
      <c r="B107">
        <f>17.9848104457143*(1-0.8198)</f>
        <v>3.2408628423177146</v>
      </c>
      <c r="C107" s="1">
        <v>6</v>
      </c>
    </row>
    <row r="108" spans="1:3" x14ac:dyDescent="0.3">
      <c r="A108" t="s">
        <v>107</v>
      </c>
      <c r="B108">
        <f>26.4418969971429*(1-0.8198)</f>
        <v>4.7648298388851442</v>
      </c>
      <c r="C108" s="1">
        <v>7</v>
      </c>
    </row>
    <row r="109" spans="1:3" x14ac:dyDescent="0.3">
      <c r="A109" t="s">
        <v>108</v>
      </c>
      <c r="B109">
        <f>31.9382245071429*(1-0.8198)</f>
        <v>5.7552680561871439</v>
      </c>
      <c r="C109" s="1">
        <v>6</v>
      </c>
    </row>
    <row r="110" spans="1:3" x14ac:dyDescent="0.3">
      <c r="A110" t="s">
        <v>109</v>
      </c>
      <c r="B110">
        <f>31.3955194185714*(1-0.8198)</f>
        <v>5.6574725992265726</v>
      </c>
      <c r="C110" s="1">
        <v>6</v>
      </c>
    </row>
    <row r="111" spans="1:3" x14ac:dyDescent="0.3">
      <c r="A111" t="s">
        <v>110</v>
      </c>
      <c r="B111">
        <f>28.2816175971429*(1-0.8198)</f>
        <v>5.0963474910051438</v>
      </c>
      <c r="C111" s="1">
        <v>6</v>
      </c>
    </row>
    <row r="112" spans="1:3" x14ac:dyDescent="0.3">
      <c r="A112" t="s">
        <v>111</v>
      </c>
      <c r="B112">
        <f>20.5641788985714*(1-0.8198)</f>
        <v>3.7056650375225719</v>
      </c>
      <c r="C112" s="1">
        <v>4</v>
      </c>
    </row>
    <row r="113" spans="1:3" x14ac:dyDescent="0.3">
      <c r="A113" t="s">
        <v>112</v>
      </c>
      <c r="B113">
        <f>10.1575396114286*(1-0.8198)</f>
        <v>1.830388637979429</v>
      </c>
      <c r="C113" s="1">
        <v>5</v>
      </c>
    </row>
    <row r="114" spans="1:3" x14ac:dyDescent="0.3">
      <c r="A114" t="s">
        <v>113</v>
      </c>
      <c r="B114">
        <f>0.955441632857143*(1-0.8198)</f>
        <v>0.17217058224085718</v>
      </c>
      <c r="C114" s="1">
        <v>5</v>
      </c>
    </row>
    <row r="115" spans="1:3" x14ac:dyDescent="0.3">
      <c r="A115" t="s">
        <v>114</v>
      </c>
      <c r="B115">
        <f>0*(1-0.8198)</f>
        <v>0</v>
      </c>
      <c r="C115" s="1">
        <v>6</v>
      </c>
    </row>
    <row r="116" spans="1:3" x14ac:dyDescent="0.3">
      <c r="A116" t="s">
        <v>115</v>
      </c>
      <c r="B116">
        <f>0*(1-0.8198)</f>
        <v>0</v>
      </c>
      <c r="C116" s="1">
        <v>4</v>
      </c>
    </row>
    <row r="117" spans="1:3" x14ac:dyDescent="0.3">
      <c r="A117" t="s">
        <v>116</v>
      </c>
      <c r="B117">
        <f>0*(1-0.8198)</f>
        <v>0</v>
      </c>
      <c r="C117" s="1">
        <v>5</v>
      </c>
    </row>
    <row r="118" spans="1:3" x14ac:dyDescent="0.3">
      <c r="A118" t="s">
        <v>117</v>
      </c>
      <c r="B118">
        <f>0*(1-0.8198)</f>
        <v>0</v>
      </c>
      <c r="C118" s="1">
        <v>5</v>
      </c>
    </row>
    <row r="119" spans="1:3" x14ac:dyDescent="0.3">
      <c r="A119" t="s">
        <v>118</v>
      </c>
      <c r="B119">
        <f>0*(1-0.8198)</f>
        <v>0</v>
      </c>
      <c r="C119" s="1">
        <v>5</v>
      </c>
    </row>
    <row r="120" spans="1:3" x14ac:dyDescent="0.3">
      <c r="A120" t="s">
        <v>119</v>
      </c>
      <c r="B120">
        <f>0*(1-0.8198)</f>
        <v>0</v>
      </c>
      <c r="C120" s="1">
        <v>4</v>
      </c>
    </row>
    <row r="121" spans="1:3" x14ac:dyDescent="0.3">
      <c r="A121" t="s">
        <v>120</v>
      </c>
      <c r="B121">
        <f>0*(1-0.8198)</f>
        <v>0</v>
      </c>
      <c r="C121" s="1">
        <v>5</v>
      </c>
    </row>
    <row r="122" spans="1:3" x14ac:dyDescent="0.3">
      <c r="A122" t="s">
        <v>121</v>
      </c>
      <c r="B122">
        <f>0*(1-0.8198)</f>
        <v>0</v>
      </c>
      <c r="C122" s="1">
        <v>4</v>
      </c>
    </row>
    <row r="123" spans="1:3" x14ac:dyDescent="0.3">
      <c r="A123" t="s">
        <v>122</v>
      </c>
      <c r="B123">
        <f>0*(1-0.8198)</f>
        <v>0</v>
      </c>
      <c r="C123" s="1">
        <v>4</v>
      </c>
    </row>
    <row r="124" spans="1:3" x14ac:dyDescent="0.3">
      <c r="A124" t="s">
        <v>123</v>
      </c>
      <c r="B124">
        <f>0*(1-0.8198)</f>
        <v>0</v>
      </c>
      <c r="C124" s="1">
        <v>4</v>
      </c>
    </row>
    <row r="125" spans="1:3" x14ac:dyDescent="0.3">
      <c r="A125" t="s">
        <v>124</v>
      </c>
      <c r="B125">
        <f>0*(1-0.8198)</f>
        <v>0</v>
      </c>
      <c r="C125" s="1">
        <v>4</v>
      </c>
    </row>
    <row r="126" spans="1:3" x14ac:dyDescent="0.3">
      <c r="A126" t="s">
        <v>125</v>
      </c>
      <c r="B126">
        <f>0*(1-0.8198)</f>
        <v>0</v>
      </c>
      <c r="C126" s="1">
        <v>4</v>
      </c>
    </row>
    <row r="127" spans="1:3" x14ac:dyDescent="0.3">
      <c r="A127" t="s">
        <v>126</v>
      </c>
      <c r="B127">
        <f>0*(1-0.8198)</f>
        <v>0</v>
      </c>
      <c r="C127" s="1">
        <v>4</v>
      </c>
    </row>
    <row r="128" spans="1:3" x14ac:dyDescent="0.3">
      <c r="A128" t="s">
        <v>127</v>
      </c>
      <c r="B128">
        <f>0*(1-0.8198)</f>
        <v>0</v>
      </c>
      <c r="C128" s="1">
        <v>4</v>
      </c>
    </row>
    <row r="129" spans="1:3" x14ac:dyDescent="0.3">
      <c r="A129" t="s">
        <v>128</v>
      </c>
      <c r="B129">
        <f>0*(1-0.8198)</f>
        <v>0</v>
      </c>
      <c r="C129" s="1">
        <v>4</v>
      </c>
    </row>
    <row r="130" spans="1:3" x14ac:dyDescent="0.3">
      <c r="A130" t="s">
        <v>129</v>
      </c>
      <c r="B130">
        <f>7.57319384714286*(1-0.8198)</f>
        <v>1.3646895312551433</v>
      </c>
      <c r="C130" s="1">
        <v>4</v>
      </c>
    </row>
    <row r="131" spans="1:3" x14ac:dyDescent="0.3">
      <c r="A131" t="s">
        <v>130</v>
      </c>
      <c r="B131">
        <f>18.3718354471429*(1-0.8198)</f>
        <v>3.3106047475751441</v>
      </c>
      <c r="C131" s="1">
        <v>4</v>
      </c>
    </row>
    <row r="132" spans="1:3" x14ac:dyDescent="0.3">
      <c r="A132" t="s">
        <v>131</v>
      </c>
      <c r="B132">
        <f>26.85654827*(1-0.8198)</f>
        <v>4.8395499982540011</v>
      </c>
      <c r="C132" s="1">
        <v>4</v>
      </c>
    </row>
    <row r="133" spans="1:3" x14ac:dyDescent="0.3">
      <c r="A133" t="s">
        <v>132</v>
      </c>
      <c r="B133">
        <f>32.0426467514286*(1-0.8198)</f>
        <v>5.7740849446074307</v>
      </c>
      <c r="C133" s="1">
        <v>5</v>
      </c>
    </row>
    <row r="134" spans="1:3" x14ac:dyDescent="0.3">
      <c r="A134" t="s">
        <v>133</v>
      </c>
      <c r="B134">
        <f>31.7518779871429*(1-0.8198)</f>
        <v>5.7216884132831449</v>
      </c>
      <c r="C134" s="1">
        <v>4</v>
      </c>
    </row>
    <row r="135" spans="1:3" x14ac:dyDescent="0.3">
      <c r="A135" t="s">
        <v>134</v>
      </c>
      <c r="B135">
        <f>28.6937249285714*(1-0.8198)</f>
        <v>5.170609232128573</v>
      </c>
      <c r="C135" s="1">
        <v>4</v>
      </c>
    </row>
    <row r="136" spans="1:3" x14ac:dyDescent="0.3">
      <c r="A136" t="s">
        <v>135</v>
      </c>
      <c r="B136">
        <f>20.9675297714286*(1-0.8198)</f>
        <v>3.778348864811429</v>
      </c>
      <c r="C136" s="1">
        <v>4</v>
      </c>
    </row>
    <row r="137" spans="1:3" x14ac:dyDescent="0.3">
      <c r="A137" t="s">
        <v>136</v>
      </c>
      <c r="B137">
        <f>10.2578802957143*(1-0.8198)</f>
        <v>1.8484700292877152</v>
      </c>
      <c r="C137" s="1">
        <v>4</v>
      </c>
    </row>
    <row r="138" spans="1:3" x14ac:dyDescent="0.3">
      <c r="A138" t="s">
        <v>137</v>
      </c>
      <c r="B138">
        <f>1.07284520857143*(1-0.8198)</f>
        <v>0.19332670658457143</v>
      </c>
      <c r="C138" s="1">
        <v>4</v>
      </c>
    </row>
    <row r="139" spans="1:3" x14ac:dyDescent="0.3">
      <c r="A139" t="s">
        <v>138</v>
      </c>
      <c r="B139">
        <f>0*(1-0.8198)</f>
        <v>0</v>
      </c>
      <c r="C139" s="1">
        <v>4</v>
      </c>
    </row>
    <row r="140" spans="1:3" x14ac:dyDescent="0.3">
      <c r="A140" t="s">
        <v>139</v>
      </c>
      <c r="B140">
        <f>0*(1-0.8198)</f>
        <v>0</v>
      </c>
      <c r="C140" s="1">
        <v>4</v>
      </c>
    </row>
    <row r="141" spans="1:3" x14ac:dyDescent="0.3">
      <c r="A141" t="s">
        <v>140</v>
      </c>
      <c r="B141">
        <f>0*(1-0.8198)</f>
        <v>0</v>
      </c>
      <c r="C141" s="1">
        <v>4</v>
      </c>
    </row>
    <row r="142" spans="1:3" x14ac:dyDescent="0.3">
      <c r="A142" t="s">
        <v>141</v>
      </c>
      <c r="B142">
        <f>0*(1-0.8198)</f>
        <v>0</v>
      </c>
      <c r="C142" s="1">
        <v>4</v>
      </c>
    </row>
    <row r="143" spans="1:3" x14ac:dyDescent="0.3">
      <c r="A143" t="s">
        <v>142</v>
      </c>
      <c r="B143">
        <f>0*(1-0.8198)</f>
        <v>0</v>
      </c>
      <c r="C143" s="1">
        <v>4</v>
      </c>
    </row>
    <row r="144" spans="1:3" x14ac:dyDescent="0.3">
      <c r="A144" t="s">
        <v>143</v>
      </c>
      <c r="B144">
        <f>0*(1-0.8198)</f>
        <v>0</v>
      </c>
      <c r="C144" s="1">
        <v>4</v>
      </c>
    </row>
    <row r="145" spans="1:3" x14ac:dyDescent="0.3">
      <c r="A145" t="s">
        <v>144</v>
      </c>
      <c r="B145">
        <f>0*(1-0.8198)</f>
        <v>0</v>
      </c>
      <c r="C145" s="1">
        <v>5</v>
      </c>
    </row>
    <row r="146" spans="1:3" x14ac:dyDescent="0.3">
      <c r="A146" t="s">
        <v>145</v>
      </c>
      <c r="B146">
        <f>0*(1-0.8198)</f>
        <v>0</v>
      </c>
      <c r="C146" s="1">
        <v>4</v>
      </c>
    </row>
    <row r="147" spans="1:3" x14ac:dyDescent="0.3">
      <c r="A147" t="s">
        <v>146</v>
      </c>
      <c r="B147">
        <f>0*(1-0.8198)</f>
        <v>0</v>
      </c>
      <c r="C147" s="1">
        <v>4</v>
      </c>
    </row>
    <row r="148" spans="1:3" x14ac:dyDescent="0.3">
      <c r="A148" t="s">
        <v>147</v>
      </c>
      <c r="B148">
        <f>0*(1-0.8198)</f>
        <v>0</v>
      </c>
      <c r="C148" s="1">
        <v>4</v>
      </c>
    </row>
    <row r="149" spans="1:3" x14ac:dyDescent="0.3">
      <c r="A149" t="s">
        <v>148</v>
      </c>
      <c r="B149">
        <f>0*(1-0.8198)</f>
        <v>0</v>
      </c>
      <c r="C149" s="1">
        <v>4</v>
      </c>
    </row>
    <row r="150" spans="1:3" x14ac:dyDescent="0.3">
      <c r="A150" t="s">
        <v>149</v>
      </c>
      <c r="B150">
        <f>0*(1-0.8198)</f>
        <v>0</v>
      </c>
      <c r="C150" s="1">
        <v>4</v>
      </c>
    </row>
    <row r="151" spans="1:3" x14ac:dyDescent="0.3">
      <c r="A151" t="s">
        <v>150</v>
      </c>
      <c r="B151">
        <f>0*(1-0.8198)</f>
        <v>0</v>
      </c>
      <c r="C151" s="1">
        <v>4</v>
      </c>
    </row>
    <row r="152" spans="1:3" x14ac:dyDescent="0.3">
      <c r="A152" t="s">
        <v>151</v>
      </c>
      <c r="B152">
        <f>0*(1-0.8198)</f>
        <v>0</v>
      </c>
      <c r="C152" s="1">
        <v>4</v>
      </c>
    </row>
    <row r="153" spans="1:3" x14ac:dyDescent="0.3">
      <c r="A153" t="s">
        <v>152</v>
      </c>
      <c r="B153">
        <f>0*(1-0.8198)</f>
        <v>0</v>
      </c>
      <c r="C153" s="1">
        <v>4</v>
      </c>
    </row>
    <row r="154" spans="1:3" x14ac:dyDescent="0.3">
      <c r="A154" t="s">
        <v>153</v>
      </c>
      <c r="B154">
        <f>7.89427079285714*(1-0.8198)</f>
        <v>1.4225475968728571</v>
      </c>
      <c r="C154" s="1">
        <v>5</v>
      </c>
    </row>
    <row r="155" spans="1:3" x14ac:dyDescent="0.3">
      <c r="A155" t="s">
        <v>154</v>
      </c>
      <c r="B155">
        <f>18.7950758471429*(1-0.8198)</f>
        <v>3.3868726676551435</v>
      </c>
      <c r="C155" s="1">
        <v>4</v>
      </c>
    </row>
    <row r="156" spans="1:3" x14ac:dyDescent="0.3">
      <c r="A156" t="s">
        <v>155</v>
      </c>
      <c r="B156">
        <f>27.7347865357143*(1-0.8198)</f>
        <v>4.9978085337357152</v>
      </c>
      <c r="C156" s="1">
        <v>4</v>
      </c>
    </row>
    <row r="157" spans="1:3" x14ac:dyDescent="0.3">
      <c r="A157" t="s">
        <v>156</v>
      </c>
      <c r="B157">
        <f>33.2610295757143*(1-0.8198)</f>
        <v>5.9936375295437143</v>
      </c>
      <c r="C157" s="1">
        <v>4</v>
      </c>
    </row>
    <row r="158" spans="1:3" x14ac:dyDescent="0.3">
      <c r="A158" t="s">
        <v>157</v>
      </c>
      <c r="B158">
        <f>33.2544887228571*(1-0.8198)</f>
        <v>5.9924588678588586</v>
      </c>
      <c r="C158" s="1">
        <v>5</v>
      </c>
    </row>
    <row r="159" spans="1:3" x14ac:dyDescent="0.3">
      <c r="A159" t="s">
        <v>158</v>
      </c>
      <c r="B159">
        <f>29.7975760857143*(1-0.8198)</f>
        <v>5.3695232106457151</v>
      </c>
      <c r="C159" s="1">
        <v>4</v>
      </c>
    </row>
    <row r="160" spans="1:3" x14ac:dyDescent="0.3">
      <c r="A160" t="s">
        <v>159</v>
      </c>
      <c r="B160">
        <f>21.5860802871429*(1-0.8198)</f>
        <v>3.8898116677431438</v>
      </c>
      <c r="C160" s="1">
        <v>4</v>
      </c>
    </row>
    <row r="161" spans="1:3" x14ac:dyDescent="0.3">
      <c r="A161" t="s">
        <v>160</v>
      </c>
      <c r="B161">
        <f>10.7235570271429*(1-0.8198)</f>
        <v>1.9323849762911434</v>
      </c>
      <c r="C161" s="1">
        <v>4</v>
      </c>
    </row>
    <row r="162" spans="1:3" x14ac:dyDescent="0.3">
      <c r="A162" t="s">
        <v>161</v>
      </c>
      <c r="B162">
        <f>1.24125176*(1-0.8198)</f>
        <v>0.22367356715200007</v>
      </c>
      <c r="C162" s="1">
        <v>4</v>
      </c>
    </row>
    <row r="163" spans="1:3" x14ac:dyDescent="0.3">
      <c r="A163" t="s">
        <v>162</v>
      </c>
      <c r="B163">
        <f>0*(1-0.8198)</f>
        <v>0</v>
      </c>
      <c r="C163" s="1">
        <v>4</v>
      </c>
    </row>
    <row r="164" spans="1:3" x14ac:dyDescent="0.3">
      <c r="A164" t="s">
        <v>163</v>
      </c>
      <c r="B164">
        <f>0*(1-0.8198)</f>
        <v>0</v>
      </c>
      <c r="C164" s="1">
        <v>4</v>
      </c>
    </row>
    <row r="165" spans="1:3" x14ac:dyDescent="0.3">
      <c r="A165" t="s">
        <v>164</v>
      </c>
      <c r="B165">
        <f>0*(1-0.8198)</f>
        <v>0</v>
      </c>
      <c r="C165" s="1">
        <v>4</v>
      </c>
    </row>
    <row r="166" spans="1:3" x14ac:dyDescent="0.3">
      <c r="A166" t="s">
        <v>165</v>
      </c>
      <c r="B166">
        <f>0*(1-0.8198)</f>
        <v>0</v>
      </c>
      <c r="C166" s="1">
        <v>4</v>
      </c>
    </row>
    <row r="167" spans="1:3" x14ac:dyDescent="0.3">
      <c r="A167" t="s">
        <v>166</v>
      </c>
      <c r="B167">
        <f>0*(1-0.8198)</f>
        <v>0</v>
      </c>
      <c r="C167" s="1">
        <v>4</v>
      </c>
    </row>
    <row r="168" spans="1:3" x14ac:dyDescent="0.3">
      <c r="A168" t="s">
        <v>167</v>
      </c>
      <c r="B168">
        <f>0*(1-0.8198)</f>
        <v>0</v>
      </c>
      <c r="C168" s="1">
        <v>4</v>
      </c>
    </row>
    <row r="169" spans="1:3" x14ac:dyDescent="0.3">
      <c r="A169" t="s">
        <v>168</v>
      </c>
      <c r="B169">
        <f>0*(1-0.8198)</f>
        <v>0</v>
      </c>
      <c r="C169" s="1">
        <v>5</v>
      </c>
    </row>
    <row r="170" spans="1:3" x14ac:dyDescent="0.3">
      <c r="A170" t="s">
        <v>169</v>
      </c>
      <c r="B170">
        <f>0*(1-0.8198)</f>
        <v>0</v>
      </c>
      <c r="C170" s="1">
        <v>4</v>
      </c>
    </row>
    <row r="171" spans="1:3" x14ac:dyDescent="0.3">
      <c r="A171" t="s">
        <v>170</v>
      </c>
      <c r="B171">
        <f>0*(1-0.8198)</f>
        <v>0</v>
      </c>
      <c r="C171" s="1">
        <v>4</v>
      </c>
    </row>
    <row r="172" spans="1:3" x14ac:dyDescent="0.3">
      <c r="A172" t="s">
        <v>171</v>
      </c>
      <c r="B172">
        <f>0*(1-0.8198)</f>
        <v>0</v>
      </c>
      <c r="C172" s="1">
        <v>4</v>
      </c>
    </row>
    <row r="173" spans="1:3" x14ac:dyDescent="0.3">
      <c r="A173" t="s">
        <v>172</v>
      </c>
      <c r="B173">
        <f>0*(1-0.8198)</f>
        <v>0</v>
      </c>
      <c r="C173" s="1">
        <v>4</v>
      </c>
    </row>
    <row r="174" spans="1:3" x14ac:dyDescent="0.3">
      <c r="A174" t="s">
        <v>173</v>
      </c>
      <c r="B174">
        <f>0*(1-0.8198)</f>
        <v>0</v>
      </c>
      <c r="C174" s="1">
        <v>4</v>
      </c>
    </row>
    <row r="175" spans="1:3" x14ac:dyDescent="0.3">
      <c r="A175" t="s">
        <v>174</v>
      </c>
      <c r="B175">
        <f>0*(1-0.8198)</f>
        <v>0</v>
      </c>
      <c r="C175" s="1">
        <v>4</v>
      </c>
    </row>
    <row r="176" spans="1:3" x14ac:dyDescent="0.3">
      <c r="A176" t="s">
        <v>175</v>
      </c>
      <c r="B176">
        <f>0*(1-0.8198)</f>
        <v>0</v>
      </c>
      <c r="C176" s="1">
        <v>5</v>
      </c>
    </row>
    <row r="177" spans="1:3" x14ac:dyDescent="0.3">
      <c r="A177" t="s">
        <v>176</v>
      </c>
      <c r="B177">
        <f>0*(1-0.8198)</f>
        <v>0</v>
      </c>
      <c r="C177" s="1">
        <v>8</v>
      </c>
    </row>
    <row r="178" spans="1:3" x14ac:dyDescent="0.3">
      <c r="A178" t="s">
        <v>177</v>
      </c>
      <c r="B178">
        <f>0.250604*(1-0.8198)</f>
        <v>4.5158840800000002E-2</v>
      </c>
      <c r="C178" s="1">
        <v>16</v>
      </c>
    </row>
    <row r="179" spans="1:3" x14ac:dyDescent="0.3">
      <c r="A179" t="s">
        <v>178</v>
      </c>
      <c r="B179">
        <f>6.64349742*(1-0.8198)</f>
        <v>1.1971582350840002</v>
      </c>
      <c r="C179" s="1">
        <v>15</v>
      </c>
    </row>
    <row r="180" spans="1:3" x14ac:dyDescent="0.3">
      <c r="A180" t="s">
        <v>179</v>
      </c>
      <c r="B180">
        <f>14.2887017085714*(1-0.8198)</f>
        <v>2.5748240478845723</v>
      </c>
      <c r="C180" s="1">
        <v>19</v>
      </c>
    </row>
    <row r="181" spans="1:3" x14ac:dyDescent="0.3">
      <c r="A181" t="s">
        <v>180</v>
      </c>
      <c r="B181">
        <f>8.6516*(1-0.8198)</f>
        <v>1.5590183200000003</v>
      </c>
      <c r="C181" s="1">
        <v>17</v>
      </c>
    </row>
    <row r="182" spans="1:3" x14ac:dyDescent="0.3">
      <c r="A182" t="s">
        <v>181</v>
      </c>
      <c r="B182">
        <f>5.57538*(1-0.8198)</f>
        <v>1.0046834760000001</v>
      </c>
      <c r="C182" s="1">
        <v>16</v>
      </c>
    </row>
    <row r="183" spans="1:3" x14ac:dyDescent="0.3">
      <c r="A183" t="s">
        <v>182</v>
      </c>
      <c r="B183">
        <f>11.5041906985714*(1-0.8198)</f>
        <v>2.073055163882572</v>
      </c>
      <c r="C183" s="1">
        <v>17</v>
      </c>
    </row>
    <row r="184" spans="1:3" x14ac:dyDescent="0.3">
      <c r="A184" t="s">
        <v>183</v>
      </c>
      <c r="B184">
        <f>12.02450882*(1-0.8198)</f>
        <v>2.1668164893640007</v>
      </c>
      <c r="C184" s="1">
        <v>15</v>
      </c>
    </row>
    <row r="185" spans="1:3" x14ac:dyDescent="0.3">
      <c r="A185" t="s">
        <v>184</v>
      </c>
      <c r="B185">
        <f>6.05870982857143*(1-0.8198)</f>
        <v>1.0917795111085715</v>
      </c>
      <c r="C185" s="1">
        <v>13</v>
      </c>
    </row>
    <row r="186" spans="1:3" x14ac:dyDescent="0.3">
      <c r="A186" t="s">
        <v>185</v>
      </c>
      <c r="B186">
        <f>0.812433338571429*(1-0.8198)</f>
        <v>0.14640048761057145</v>
      </c>
      <c r="C186" s="1">
        <v>11</v>
      </c>
    </row>
    <row r="187" spans="1:3" x14ac:dyDescent="0.3">
      <c r="A187" t="s">
        <v>186</v>
      </c>
      <c r="B187">
        <f>0*(1-0.8198)</f>
        <v>0</v>
      </c>
      <c r="C187" s="1">
        <v>9</v>
      </c>
    </row>
    <row r="188" spans="1:3" x14ac:dyDescent="0.3">
      <c r="A188" t="s">
        <v>187</v>
      </c>
      <c r="B188">
        <f>0*(1-0.8198)</f>
        <v>0</v>
      </c>
      <c r="C188" s="1">
        <v>8</v>
      </c>
    </row>
    <row r="189" spans="1:3" x14ac:dyDescent="0.3">
      <c r="A189" t="s">
        <v>188</v>
      </c>
      <c r="B189">
        <f>0*(1-0.8198)</f>
        <v>0</v>
      </c>
      <c r="C189" s="1">
        <v>10</v>
      </c>
    </row>
    <row r="190" spans="1:3" x14ac:dyDescent="0.3">
      <c r="A190" t="s">
        <v>189</v>
      </c>
      <c r="B190">
        <f>0*(1-0.8198)</f>
        <v>0</v>
      </c>
      <c r="C190" s="1">
        <v>10</v>
      </c>
    </row>
    <row r="191" spans="1:3" x14ac:dyDescent="0.3">
      <c r="A191" t="s">
        <v>190</v>
      </c>
      <c r="B191">
        <f>0*(1-0.8198)</f>
        <v>0</v>
      </c>
      <c r="C191" s="1">
        <v>7</v>
      </c>
    </row>
    <row r="192" spans="1:3" x14ac:dyDescent="0.3">
      <c r="A192" t="s">
        <v>191</v>
      </c>
      <c r="B192">
        <f>0*(1-0.8198)</f>
        <v>0</v>
      </c>
      <c r="C192" s="1">
        <v>7</v>
      </c>
    </row>
    <row r="193" spans="1:3" x14ac:dyDescent="0.3">
      <c r="A193" t="s">
        <v>192</v>
      </c>
      <c r="B193">
        <f>0*(1-0.8198)</f>
        <v>0</v>
      </c>
      <c r="C193" s="1">
        <v>6</v>
      </c>
    </row>
    <row r="194" spans="1:3" x14ac:dyDescent="0.3">
      <c r="A194" t="s">
        <v>193</v>
      </c>
      <c r="B194">
        <f>0*(1-0.8198)</f>
        <v>0</v>
      </c>
      <c r="C194" s="1">
        <v>4</v>
      </c>
    </row>
    <row r="195" spans="1:3" x14ac:dyDescent="0.3">
      <c r="A195" t="s">
        <v>194</v>
      </c>
      <c r="B195">
        <f>0*(1-0.8198)</f>
        <v>0</v>
      </c>
      <c r="C195" s="1">
        <v>5</v>
      </c>
    </row>
    <row r="196" spans="1:3" x14ac:dyDescent="0.3">
      <c r="A196" t="s">
        <v>195</v>
      </c>
      <c r="B196">
        <f>0*(1-0.8198)</f>
        <v>0</v>
      </c>
      <c r="C196" s="1">
        <v>4</v>
      </c>
    </row>
    <row r="197" spans="1:3" x14ac:dyDescent="0.3">
      <c r="A197" t="s">
        <v>196</v>
      </c>
      <c r="B197">
        <f>0*(1-0.8198)</f>
        <v>0</v>
      </c>
      <c r="C197" s="1">
        <v>4</v>
      </c>
    </row>
    <row r="198" spans="1:3" x14ac:dyDescent="0.3">
      <c r="A198" t="s">
        <v>197</v>
      </c>
      <c r="B198">
        <f>0*(1-0.8198)</f>
        <v>0</v>
      </c>
      <c r="C198" s="1">
        <v>4</v>
      </c>
    </row>
    <row r="199" spans="1:3" x14ac:dyDescent="0.3">
      <c r="A199" t="s">
        <v>198</v>
      </c>
      <c r="B199">
        <f>0*(1-0.8198)</f>
        <v>0</v>
      </c>
      <c r="C199" s="1">
        <v>5</v>
      </c>
    </row>
    <row r="200" spans="1:3" x14ac:dyDescent="0.3">
      <c r="A200" t="s">
        <v>199</v>
      </c>
      <c r="B200">
        <f>0*(1-0.8198)</f>
        <v>0</v>
      </c>
      <c r="C200" s="1">
        <v>4</v>
      </c>
    </row>
    <row r="201" spans="1:3" x14ac:dyDescent="0.3">
      <c r="A201" t="s">
        <v>200</v>
      </c>
      <c r="B201">
        <f>0*(1-0.8198)</f>
        <v>0</v>
      </c>
      <c r="C201" s="1">
        <v>9</v>
      </c>
    </row>
    <row r="202" spans="1:3" x14ac:dyDescent="0.3">
      <c r="A202" t="s">
        <v>201</v>
      </c>
      <c r="B202">
        <f>7.69418233285714*(1-0.8198)</f>
        <v>1.3864916563808574</v>
      </c>
      <c r="C202" s="1">
        <v>14</v>
      </c>
    </row>
    <row r="203" spans="1:3" x14ac:dyDescent="0.3">
      <c r="A203" t="s">
        <v>202</v>
      </c>
      <c r="B203">
        <f>18.2505588614286*(1-0.8198)</f>
        <v>3.2887507068294295</v>
      </c>
      <c r="C203" s="1">
        <v>18</v>
      </c>
    </row>
    <row r="204" spans="1:3" x14ac:dyDescent="0.3">
      <c r="A204" t="s">
        <v>203</v>
      </c>
      <c r="B204">
        <f>27.4823682428571*(1-0.8198)</f>
        <v>4.9523227573628583</v>
      </c>
      <c r="C204" s="1">
        <v>18</v>
      </c>
    </row>
    <row r="205" spans="1:3" x14ac:dyDescent="0.3">
      <c r="A205" t="s">
        <v>204</v>
      </c>
      <c r="B205">
        <f>32.47340951*(1-0.8198)</f>
        <v>5.8517083937020011</v>
      </c>
      <c r="C205" s="1">
        <v>17</v>
      </c>
    </row>
    <row r="206" spans="1:3" x14ac:dyDescent="0.3">
      <c r="A206" t="s">
        <v>205</v>
      </c>
      <c r="B206">
        <f>32.8097957457143*(1-0.8198)</f>
        <v>5.9123251933777157</v>
      </c>
      <c r="C206" s="1">
        <v>18</v>
      </c>
    </row>
    <row r="207" spans="1:3" x14ac:dyDescent="0.3">
      <c r="A207" t="s">
        <v>206</v>
      </c>
      <c r="B207">
        <f>30.03029829*(1-0.8198)</f>
        <v>5.4114597518580014</v>
      </c>
      <c r="C207" s="1">
        <v>17</v>
      </c>
    </row>
    <row r="208" spans="1:3" x14ac:dyDescent="0.3">
      <c r="A208" t="s">
        <v>207</v>
      </c>
      <c r="B208">
        <f>21.62779729*(1-0.8198)</f>
        <v>3.8973290716580014</v>
      </c>
      <c r="C208" s="1">
        <v>16</v>
      </c>
    </row>
    <row r="209" spans="1:3" x14ac:dyDescent="0.3">
      <c r="A209" t="s">
        <v>208</v>
      </c>
      <c r="B209">
        <f>10.9876598328571*(1-0.8198)</f>
        <v>1.9799763018808576</v>
      </c>
      <c r="C209" s="1">
        <v>12</v>
      </c>
    </row>
    <row r="210" spans="1:3" x14ac:dyDescent="0.3">
      <c r="A210" t="s">
        <v>209</v>
      </c>
      <c r="B210">
        <f>1.3230412*(1-0.8198)</f>
        <v>0.23841202424000008</v>
      </c>
      <c r="C210" s="1">
        <v>11</v>
      </c>
    </row>
    <row r="211" spans="1:3" x14ac:dyDescent="0.3">
      <c r="A211" t="s">
        <v>210</v>
      </c>
      <c r="B211">
        <f>0*(1-0.8198)</f>
        <v>0</v>
      </c>
      <c r="C211" s="1">
        <v>8</v>
      </c>
    </row>
    <row r="212" spans="1:3" x14ac:dyDescent="0.3">
      <c r="A212" t="s">
        <v>211</v>
      </c>
      <c r="B212">
        <f>0*(1-0.8198)</f>
        <v>0</v>
      </c>
      <c r="C212" s="1">
        <v>8</v>
      </c>
    </row>
    <row r="213" spans="1:3" x14ac:dyDescent="0.3">
      <c r="A213" t="s">
        <v>212</v>
      </c>
      <c r="B213">
        <f>0*(1-0.8198)</f>
        <v>0</v>
      </c>
      <c r="C213" s="1">
        <v>10</v>
      </c>
    </row>
    <row r="214" spans="1:3" x14ac:dyDescent="0.3">
      <c r="A214" t="s">
        <v>213</v>
      </c>
      <c r="B214">
        <f>0*(1-0.8198)</f>
        <v>0</v>
      </c>
      <c r="C214" s="1">
        <v>7</v>
      </c>
    </row>
    <row r="215" spans="1:3" x14ac:dyDescent="0.3">
      <c r="A215" t="s">
        <v>214</v>
      </c>
      <c r="B215">
        <f>0*(1-0.8198)</f>
        <v>0</v>
      </c>
      <c r="C215" s="1">
        <v>7</v>
      </c>
    </row>
    <row r="216" spans="1:3" x14ac:dyDescent="0.3">
      <c r="A216" t="s">
        <v>215</v>
      </c>
      <c r="B216">
        <f>0*(1-0.8198)</f>
        <v>0</v>
      </c>
      <c r="C216" s="1">
        <v>7</v>
      </c>
    </row>
    <row r="217" spans="1:3" x14ac:dyDescent="0.3">
      <c r="A217" t="s">
        <v>216</v>
      </c>
      <c r="B217">
        <f>0*(1-0.8198)</f>
        <v>0</v>
      </c>
      <c r="C217" s="1">
        <v>6</v>
      </c>
    </row>
    <row r="218" spans="1:3" x14ac:dyDescent="0.3">
      <c r="A218" t="s">
        <v>217</v>
      </c>
      <c r="B218">
        <f>0*(1-0.8198)</f>
        <v>0</v>
      </c>
      <c r="C218" s="1">
        <v>4</v>
      </c>
    </row>
    <row r="219" spans="1:3" x14ac:dyDescent="0.3">
      <c r="A219" t="s">
        <v>218</v>
      </c>
      <c r="B219">
        <f>0*(1-0.8198)</f>
        <v>0</v>
      </c>
      <c r="C219" s="1">
        <v>4</v>
      </c>
    </row>
    <row r="220" spans="1:3" x14ac:dyDescent="0.3">
      <c r="A220" t="s">
        <v>219</v>
      </c>
      <c r="B220">
        <f>0*(1-0.8198)</f>
        <v>0</v>
      </c>
      <c r="C220" s="1">
        <v>5</v>
      </c>
    </row>
    <row r="221" spans="1:3" x14ac:dyDescent="0.3">
      <c r="A221" t="s">
        <v>220</v>
      </c>
      <c r="B221">
        <f>0*(1-0.8198)</f>
        <v>0</v>
      </c>
      <c r="C221" s="1">
        <v>4</v>
      </c>
    </row>
    <row r="222" spans="1:3" x14ac:dyDescent="0.3">
      <c r="A222" t="s">
        <v>221</v>
      </c>
      <c r="B222">
        <f>0*(1-0.8198)</f>
        <v>0</v>
      </c>
      <c r="C222" s="1">
        <v>4</v>
      </c>
    </row>
    <row r="223" spans="1:3" x14ac:dyDescent="0.3">
      <c r="A223" t="s">
        <v>222</v>
      </c>
      <c r="B223">
        <f>0*(1-0.8198)</f>
        <v>0</v>
      </c>
      <c r="C223" s="1">
        <v>4</v>
      </c>
    </row>
    <row r="224" spans="1:3" x14ac:dyDescent="0.3">
      <c r="A224" t="s">
        <v>223</v>
      </c>
      <c r="B224">
        <f>0*(1-0.8198)</f>
        <v>0</v>
      </c>
      <c r="C224" s="1">
        <v>5</v>
      </c>
    </row>
    <row r="225" spans="1:3" x14ac:dyDescent="0.3">
      <c r="A225" t="s">
        <v>224</v>
      </c>
      <c r="B225">
        <f>0*(1-0.8198)</f>
        <v>0</v>
      </c>
      <c r="C225" s="1">
        <v>9</v>
      </c>
    </row>
    <row r="226" spans="1:3" x14ac:dyDescent="0.3">
      <c r="A226" t="s">
        <v>225</v>
      </c>
      <c r="B226">
        <f>7.77019079142857*(1-0.8198)</f>
        <v>1.4001883806154292</v>
      </c>
      <c r="C226" s="1">
        <v>15</v>
      </c>
    </row>
    <row r="227" spans="1:3" x14ac:dyDescent="0.3">
      <c r="A227" t="s">
        <v>226</v>
      </c>
      <c r="B227">
        <f>17.9620871571429*(1-0.8198)</f>
        <v>3.2367681057171436</v>
      </c>
      <c r="C227" s="1">
        <v>20</v>
      </c>
    </row>
    <row r="228" spans="1:3" x14ac:dyDescent="0.3">
      <c r="A228" t="s">
        <v>227</v>
      </c>
      <c r="B228">
        <f>24.8260627157143*(1-0.8198)</f>
        <v>4.4736565013717149</v>
      </c>
      <c r="C228" s="1">
        <v>20</v>
      </c>
    </row>
    <row r="229" spans="1:3" x14ac:dyDescent="0.3">
      <c r="A229" t="s">
        <v>228</v>
      </c>
      <c r="B229">
        <f>32.1317997571429*(1-0.8198)</f>
        <v>5.7901503162371455</v>
      </c>
      <c r="C229" s="1">
        <v>18</v>
      </c>
    </row>
    <row r="230" spans="1:3" x14ac:dyDescent="0.3">
      <c r="A230" t="s">
        <v>229</v>
      </c>
      <c r="B230">
        <f>32.6733061285714*(1-0.8198)</f>
        <v>5.8877297643685722</v>
      </c>
      <c r="C230" s="1">
        <v>17</v>
      </c>
    </row>
    <row r="231" spans="1:3" x14ac:dyDescent="0.3">
      <c r="A231" t="s">
        <v>230</v>
      </c>
      <c r="B231">
        <f>29.1037212057143*(1-0.8198)</f>
        <v>5.2444905612697159</v>
      </c>
      <c r="C231" s="1">
        <v>16</v>
      </c>
    </row>
    <row r="232" spans="1:3" x14ac:dyDescent="0.3">
      <c r="A232" t="s">
        <v>231</v>
      </c>
      <c r="B232">
        <f>21.9986709385714*(1-0.8198)</f>
        <v>3.964160503130572</v>
      </c>
      <c r="C232" s="1">
        <v>17</v>
      </c>
    </row>
    <row r="233" spans="1:3" x14ac:dyDescent="0.3">
      <c r="A233" t="s">
        <v>232</v>
      </c>
      <c r="B233">
        <f>11.2423898057143*(1-0.8198)</f>
        <v>2.0258786429897149</v>
      </c>
      <c r="C233" s="1">
        <v>13</v>
      </c>
    </row>
    <row r="234" spans="1:3" x14ac:dyDescent="0.3">
      <c r="A234" t="s">
        <v>233</v>
      </c>
      <c r="B234">
        <f>1.41604141571429*(1-0.8198)</f>
        <v>0.25517066311171432</v>
      </c>
      <c r="C234" s="1">
        <v>12</v>
      </c>
    </row>
    <row r="235" spans="1:3" x14ac:dyDescent="0.3">
      <c r="A235" t="s">
        <v>234</v>
      </c>
      <c r="B235">
        <f>0*(1-0.8198)</f>
        <v>0</v>
      </c>
      <c r="C235" s="1">
        <v>9</v>
      </c>
    </row>
    <row r="236" spans="1:3" x14ac:dyDescent="0.3">
      <c r="A236" t="s">
        <v>235</v>
      </c>
      <c r="B236">
        <f>0*(1-0.8198)</f>
        <v>0</v>
      </c>
      <c r="C236" s="1">
        <v>8</v>
      </c>
    </row>
    <row r="237" spans="1:3" x14ac:dyDescent="0.3">
      <c r="A237" t="s">
        <v>236</v>
      </c>
      <c r="B237">
        <f>0*(1-0.8198)</f>
        <v>0</v>
      </c>
      <c r="C237" s="1">
        <v>8</v>
      </c>
    </row>
    <row r="238" spans="1:3" x14ac:dyDescent="0.3">
      <c r="A238" t="s">
        <v>237</v>
      </c>
      <c r="B238">
        <f>0*(1-0.8198)</f>
        <v>0</v>
      </c>
      <c r="C238" s="1">
        <v>9</v>
      </c>
    </row>
    <row r="239" spans="1:3" x14ac:dyDescent="0.3">
      <c r="A239" t="s">
        <v>238</v>
      </c>
      <c r="B239">
        <f>0*(1-0.8198)</f>
        <v>0</v>
      </c>
      <c r="C239" s="1">
        <v>7</v>
      </c>
    </row>
    <row r="240" spans="1:3" x14ac:dyDescent="0.3">
      <c r="A240" t="s">
        <v>239</v>
      </c>
      <c r="B240">
        <f>0*(1-0.8198)</f>
        <v>0</v>
      </c>
      <c r="C240" s="1">
        <v>6</v>
      </c>
    </row>
    <row r="241" spans="1:3" x14ac:dyDescent="0.3">
      <c r="A241" t="s">
        <v>240</v>
      </c>
      <c r="B241">
        <f>0*(1-0.8198)</f>
        <v>0</v>
      </c>
      <c r="C241" s="1">
        <v>7</v>
      </c>
    </row>
    <row r="242" spans="1:3" x14ac:dyDescent="0.3">
      <c r="A242" t="s">
        <v>241</v>
      </c>
      <c r="B242">
        <f>0*(1-0.8198)</f>
        <v>0</v>
      </c>
      <c r="C242" s="1">
        <v>4</v>
      </c>
    </row>
    <row r="243" spans="1:3" x14ac:dyDescent="0.3">
      <c r="A243" t="s">
        <v>242</v>
      </c>
      <c r="B243">
        <f>0*(1-0.8198)</f>
        <v>0</v>
      </c>
      <c r="C243" s="1">
        <v>5</v>
      </c>
    </row>
    <row r="244" spans="1:3" x14ac:dyDescent="0.3">
      <c r="A244" t="s">
        <v>243</v>
      </c>
      <c r="B244">
        <f>0*(1-0.8198)</f>
        <v>0</v>
      </c>
      <c r="C244" s="1">
        <v>4</v>
      </c>
    </row>
    <row r="245" spans="1:3" x14ac:dyDescent="0.3">
      <c r="A245" t="s">
        <v>244</v>
      </c>
      <c r="B245">
        <f>0*(1-0.8198)</f>
        <v>0</v>
      </c>
      <c r="C245" s="1">
        <v>5</v>
      </c>
    </row>
    <row r="246" spans="1:3" x14ac:dyDescent="0.3">
      <c r="A246" t="s">
        <v>245</v>
      </c>
      <c r="B246">
        <f>0*(1-0.8198)</f>
        <v>0</v>
      </c>
      <c r="C246" s="1">
        <v>4</v>
      </c>
    </row>
    <row r="247" spans="1:3" x14ac:dyDescent="0.3">
      <c r="A247" t="s">
        <v>246</v>
      </c>
      <c r="B247">
        <f>0*(1-0.8198)</f>
        <v>0</v>
      </c>
      <c r="C247" s="1">
        <v>4</v>
      </c>
    </row>
    <row r="248" spans="1:3" x14ac:dyDescent="0.3">
      <c r="A248" t="s">
        <v>247</v>
      </c>
      <c r="B248">
        <f>0*(1-0.8198)</f>
        <v>0</v>
      </c>
      <c r="C248" s="1">
        <v>5</v>
      </c>
    </row>
    <row r="249" spans="1:3" x14ac:dyDescent="0.3">
      <c r="A249" t="s">
        <v>248</v>
      </c>
      <c r="B249">
        <f>0*(1-0.8198)</f>
        <v>0</v>
      </c>
      <c r="C249" s="1">
        <v>11</v>
      </c>
    </row>
    <row r="250" spans="1:3" x14ac:dyDescent="0.3">
      <c r="A250" t="s">
        <v>249</v>
      </c>
      <c r="B250">
        <f>6.10152609571429*(1-0.8198)</f>
        <v>1.0994950024477148</v>
      </c>
      <c r="C250" s="1">
        <v>15</v>
      </c>
    </row>
    <row r="251" spans="1:3" x14ac:dyDescent="0.3">
      <c r="A251" t="s">
        <v>250</v>
      </c>
      <c r="B251">
        <f>15.7816271242857*(1-0.8198)</f>
        <v>2.8438492077962869</v>
      </c>
      <c r="C251" s="1">
        <v>19</v>
      </c>
    </row>
    <row r="252" spans="1:3" x14ac:dyDescent="0.3">
      <c r="A252" t="s">
        <v>251</v>
      </c>
      <c r="B252">
        <f>15.1119589457143*(1-0.8198)</f>
        <v>2.7231750020177148</v>
      </c>
      <c r="C252" s="1">
        <v>15</v>
      </c>
    </row>
    <row r="253" spans="1:3" x14ac:dyDescent="0.3">
      <c r="A253" t="s">
        <v>252</v>
      </c>
      <c r="B253">
        <f>19.8641117471429*(1-0.8198)</f>
        <v>3.5795129368351435</v>
      </c>
      <c r="C253" s="1">
        <v>17</v>
      </c>
    </row>
    <row r="254" spans="1:3" x14ac:dyDescent="0.3">
      <c r="A254" t="s">
        <v>253</v>
      </c>
      <c r="B254">
        <f>19.8462133657143*(1-0.8198)</f>
        <v>3.5762876485017152</v>
      </c>
      <c r="C254" s="1">
        <v>16</v>
      </c>
    </row>
    <row r="255" spans="1:3" x14ac:dyDescent="0.3">
      <c r="A255" t="s">
        <v>254</v>
      </c>
      <c r="B255">
        <f>10.3488205657143*(1-0.8198)</f>
        <v>1.8648574659417145</v>
      </c>
      <c r="C255" s="1">
        <v>16</v>
      </c>
    </row>
    <row r="256" spans="1:3" x14ac:dyDescent="0.3">
      <c r="A256" t="s">
        <v>255</v>
      </c>
      <c r="B256">
        <f>10.5711223342857*(1-0.8198)</f>
        <v>1.9049162446382863</v>
      </c>
      <c r="C256" s="1">
        <v>17</v>
      </c>
    </row>
    <row r="257" spans="1:3" x14ac:dyDescent="0.3">
      <c r="A257" t="s">
        <v>256</v>
      </c>
      <c r="B257">
        <f>6.44763223571429*(1-0.8198)</f>
        <v>1.1618633288757148</v>
      </c>
      <c r="C257" s="1">
        <v>13</v>
      </c>
    </row>
    <row r="258" spans="1:3" x14ac:dyDescent="0.3">
      <c r="A258" t="s">
        <v>257</v>
      </c>
      <c r="B258">
        <f>0.942270794285714*(1-0.8198)</f>
        <v>0.16979719713028577</v>
      </c>
      <c r="C258" s="1">
        <v>11</v>
      </c>
    </row>
    <row r="259" spans="1:3" x14ac:dyDescent="0.3">
      <c r="A259" t="s">
        <v>258</v>
      </c>
      <c r="B259">
        <f>0*(1-0.8198)</f>
        <v>0</v>
      </c>
      <c r="C259" s="1">
        <v>9</v>
      </c>
    </row>
    <row r="260" spans="1:3" x14ac:dyDescent="0.3">
      <c r="A260" t="s">
        <v>259</v>
      </c>
      <c r="B260">
        <f>0*(1-0.8198)</f>
        <v>0</v>
      </c>
      <c r="C260" s="1">
        <v>9</v>
      </c>
    </row>
    <row r="261" spans="1:3" x14ac:dyDescent="0.3">
      <c r="A261" t="s">
        <v>260</v>
      </c>
      <c r="B261">
        <f>0*(1-0.8198)</f>
        <v>0</v>
      </c>
      <c r="C261" s="1">
        <v>11</v>
      </c>
    </row>
    <row r="262" spans="1:3" x14ac:dyDescent="0.3">
      <c r="A262" t="s">
        <v>261</v>
      </c>
      <c r="B262">
        <f>0*(1-0.8198)</f>
        <v>0</v>
      </c>
      <c r="C262" s="1">
        <v>8</v>
      </c>
    </row>
    <row r="263" spans="1:3" x14ac:dyDescent="0.3">
      <c r="A263" t="s">
        <v>262</v>
      </c>
      <c r="B263">
        <f>0*(1-0.8198)</f>
        <v>0</v>
      </c>
      <c r="C263" s="1">
        <v>6</v>
      </c>
    </row>
    <row r="264" spans="1:3" x14ac:dyDescent="0.3">
      <c r="A264" t="s">
        <v>263</v>
      </c>
      <c r="B264">
        <f>0*(1-0.8198)</f>
        <v>0</v>
      </c>
      <c r="C264" s="1">
        <v>7</v>
      </c>
    </row>
    <row r="265" spans="1:3" x14ac:dyDescent="0.3">
      <c r="A265" t="s">
        <v>264</v>
      </c>
      <c r="B265">
        <f>0*(1-0.8198)</f>
        <v>0</v>
      </c>
      <c r="C265" s="1">
        <v>6</v>
      </c>
    </row>
    <row r="266" spans="1:3" x14ac:dyDescent="0.3">
      <c r="A266" t="s">
        <v>265</v>
      </c>
      <c r="B266">
        <f>0*(1-0.8198)</f>
        <v>0</v>
      </c>
      <c r="C266" s="1">
        <v>5</v>
      </c>
    </row>
    <row r="267" spans="1:3" x14ac:dyDescent="0.3">
      <c r="A267" t="s">
        <v>266</v>
      </c>
      <c r="B267">
        <f>0*(1-0.8198)</f>
        <v>0</v>
      </c>
      <c r="C267" s="1">
        <v>5</v>
      </c>
    </row>
    <row r="268" spans="1:3" x14ac:dyDescent="0.3">
      <c r="A268" t="s">
        <v>267</v>
      </c>
      <c r="B268">
        <f>0*(1-0.8198)</f>
        <v>0</v>
      </c>
      <c r="C268" s="1">
        <v>4</v>
      </c>
    </row>
    <row r="269" spans="1:3" x14ac:dyDescent="0.3">
      <c r="A269" t="s">
        <v>268</v>
      </c>
      <c r="B269">
        <f>0*(1-0.8198)</f>
        <v>0</v>
      </c>
      <c r="C269" s="1">
        <v>4</v>
      </c>
    </row>
    <row r="270" spans="1:3" x14ac:dyDescent="0.3">
      <c r="A270" t="s">
        <v>269</v>
      </c>
      <c r="B270">
        <f>0*(1-0.8198)</f>
        <v>0</v>
      </c>
      <c r="C270" s="1">
        <v>5</v>
      </c>
    </row>
    <row r="271" spans="1:3" x14ac:dyDescent="0.3">
      <c r="A271" t="s">
        <v>270</v>
      </c>
      <c r="B271">
        <f>0*(1-0.8198)</f>
        <v>0</v>
      </c>
      <c r="C271" s="1">
        <v>4</v>
      </c>
    </row>
    <row r="272" spans="1:3" x14ac:dyDescent="0.3">
      <c r="A272" t="s">
        <v>271</v>
      </c>
      <c r="B272">
        <f>0*(1-0.8198)</f>
        <v>0</v>
      </c>
      <c r="C272" s="1">
        <v>5</v>
      </c>
    </row>
    <row r="273" spans="1:3" x14ac:dyDescent="0.3">
      <c r="A273" t="s">
        <v>272</v>
      </c>
      <c r="B273">
        <f>0*(1-0.8198)</f>
        <v>0</v>
      </c>
      <c r="C273" s="1">
        <v>11</v>
      </c>
    </row>
    <row r="274" spans="1:3" x14ac:dyDescent="0.3">
      <c r="A274" t="s">
        <v>273</v>
      </c>
      <c r="B274">
        <f>7.02513986571429*(1-0.8198)</f>
        <v>1.2659302038017146</v>
      </c>
      <c r="C274" s="1">
        <v>14</v>
      </c>
    </row>
    <row r="275" spans="1:3" x14ac:dyDescent="0.3">
      <c r="A275" t="s">
        <v>274</v>
      </c>
      <c r="B275">
        <f>18.7756335814286*(1-0.8198)</f>
        <v>3.3833691713734297</v>
      </c>
      <c r="C275" s="1">
        <v>20</v>
      </c>
    </row>
    <row r="276" spans="1:3" x14ac:dyDescent="0.3">
      <c r="A276" t="s">
        <v>275</v>
      </c>
      <c r="B276">
        <f>27.4028837257143*(1-0.8198)</f>
        <v>4.937999647373716</v>
      </c>
      <c r="C276" s="1">
        <v>19</v>
      </c>
    </row>
    <row r="277" spans="1:3" x14ac:dyDescent="0.3">
      <c r="A277" t="s">
        <v>276</v>
      </c>
      <c r="B277">
        <f>33.4409223485714*(1-0.8198)</f>
        <v>6.0260542072125718</v>
      </c>
      <c r="C277" s="1">
        <v>15</v>
      </c>
    </row>
    <row r="278" spans="1:3" x14ac:dyDescent="0.3">
      <c r="A278" t="s">
        <v>277</v>
      </c>
      <c r="B278">
        <f>33.7245687771429*(1-0.8198)</f>
        <v>6.0771672936411436</v>
      </c>
      <c r="C278" s="1">
        <v>15</v>
      </c>
    </row>
    <row r="279" spans="1:3" x14ac:dyDescent="0.3">
      <c r="A279" t="s">
        <v>278</v>
      </c>
      <c r="B279">
        <f>29.9008023157143*(1-0.8198)</f>
        <v>5.3881245772917143</v>
      </c>
      <c r="C279" s="1">
        <v>14</v>
      </c>
    </row>
    <row r="280" spans="1:3" x14ac:dyDescent="0.3">
      <c r="A280" t="s">
        <v>279</v>
      </c>
      <c r="B280">
        <f>22.3737082157143*(1-0.8198)</f>
        <v>4.031742220471715</v>
      </c>
      <c r="C280" s="1">
        <v>15</v>
      </c>
    </row>
    <row r="281" spans="1:3" x14ac:dyDescent="0.3">
      <c r="A281" t="s">
        <v>280</v>
      </c>
      <c r="B281">
        <f>11.0591835142857*(1-0.8198)</f>
        <v>1.9928648692742863</v>
      </c>
      <c r="C281" s="1">
        <v>12</v>
      </c>
    </row>
    <row r="282" spans="1:3" x14ac:dyDescent="0.3">
      <c r="A282" t="s">
        <v>281</v>
      </c>
      <c r="B282">
        <f>1.44081150428571*(1-0.8198)</f>
        <v>0.25963423307228578</v>
      </c>
      <c r="C282" s="1">
        <v>12</v>
      </c>
    </row>
    <row r="283" spans="1:3" x14ac:dyDescent="0.3">
      <c r="A283" t="s">
        <v>282</v>
      </c>
      <c r="B283">
        <f>0*(1-0.8198)</f>
        <v>0</v>
      </c>
      <c r="C283" s="1">
        <v>9</v>
      </c>
    </row>
    <row r="284" spans="1:3" x14ac:dyDescent="0.3">
      <c r="A284" t="s">
        <v>283</v>
      </c>
      <c r="B284">
        <f>0*(1-0.8198)</f>
        <v>0</v>
      </c>
      <c r="C284" s="1">
        <v>8</v>
      </c>
    </row>
    <row r="285" spans="1:3" x14ac:dyDescent="0.3">
      <c r="A285" t="s">
        <v>284</v>
      </c>
      <c r="B285">
        <f>0*(1-0.8198)</f>
        <v>0</v>
      </c>
      <c r="C285" s="1">
        <v>8</v>
      </c>
    </row>
    <row r="286" spans="1:3" x14ac:dyDescent="0.3">
      <c r="A286" t="s">
        <v>285</v>
      </c>
      <c r="B286">
        <f>0*(1-0.8198)</f>
        <v>0</v>
      </c>
      <c r="C286" s="1">
        <v>7</v>
      </c>
    </row>
    <row r="287" spans="1:3" x14ac:dyDescent="0.3">
      <c r="A287" t="s">
        <v>286</v>
      </c>
      <c r="B287">
        <f>0*(1-0.8198)</f>
        <v>0</v>
      </c>
      <c r="C287" s="1">
        <v>7</v>
      </c>
    </row>
    <row r="288" spans="1:3" x14ac:dyDescent="0.3">
      <c r="A288" t="s">
        <v>287</v>
      </c>
      <c r="B288">
        <f>0*(1-0.8198)</f>
        <v>0</v>
      </c>
      <c r="C288" s="1">
        <v>7</v>
      </c>
    </row>
    <row r="289" spans="1:3" x14ac:dyDescent="0.3">
      <c r="A289" t="s">
        <v>288</v>
      </c>
      <c r="B289">
        <f>0*(1-0.8198)</f>
        <v>0</v>
      </c>
      <c r="C289" s="1">
        <v>6</v>
      </c>
    </row>
    <row r="290" spans="1:3" x14ac:dyDescent="0.3">
      <c r="A290" t="s">
        <v>289</v>
      </c>
      <c r="B290">
        <f>0*(1-0.8198)</f>
        <v>0</v>
      </c>
      <c r="C290" s="1">
        <v>5</v>
      </c>
    </row>
    <row r="291" spans="1:3" x14ac:dyDescent="0.3">
      <c r="A291" t="s">
        <v>290</v>
      </c>
      <c r="B291">
        <f>0*(1-0.8198)</f>
        <v>0</v>
      </c>
      <c r="C291" s="1">
        <v>4</v>
      </c>
    </row>
    <row r="292" spans="1:3" x14ac:dyDescent="0.3">
      <c r="A292" t="s">
        <v>291</v>
      </c>
      <c r="B292">
        <f>0*(1-0.8198)</f>
        <v>0</v>
      </c>
      <c r="C292" s="1">
        <v>5</v>
      </c>
    </row>
    <row r="293" spans="1:3" x14ac:dyDescent="0.3">
      <c r="A293" t="s">
        <v>292</v>
      </c>
      <c r="B293">
        <f>0*(1-0.8198)</f>
        <v>0</v>
      </c>
      <c r="C293" s="1">
        <v>4</v>
      </c>
    </row>
    <row r="294" spans="1:3" x14ac:dyDescent="0.3">
      <c r="A294" t="s">
        <v>293</v>
      </c>
      <c r="B294">
        <f>0*(1-0.8198)</f>
        <v>0</v>
      </c>
      <c r="C294" s="1">
        <v>4</v>
      </c>
    </row>
    <row r="295" spans="1:3" x14ac:dyDescent="0.3">
      <c r="A295" t="s">
        <v>294</v>
      </c>
      <c r="B295">
        <f>0*(1-0.8198)</f>
        <v>0</v>
      </c>
      <c r="C295" s="1">
        <v>5</v>
      </c>
    </row>
    <row r="296" spans="1:3" x14ac:dyDescent="0.3">
      <c r="A296" t="s">
        <v>295</v>
      </c>
      <c r="B296">
        <f>0*(1-0.8198)</f>
        <v>0</v>
      </c>
      <c r="C296" s="1">
        <v>4</v>
      </c>
    </row>
    <row r="297" spans="1:3" x14ac:dyDescent="0.3">
      <c r="A297" t="s">
        <v>296</v>
      </c>
      <c r="B297">
        <f>0*(1-0.8198)</f>
        <v>0</v>
      </c>
      <c r="C297" s="1">
        <v>5</v>
      </c>
    </row>
    <row r="298" spans="1:3" x14ac:dyDescent="0.3">
      <c r="A298" t="s">
        <v>297</v>
      </c>
      <c r="B298">
        <f>6.28290138571429*(1-0.8198)</f>
        <v>1.1321788297057145</v>
      </c>
      <c r="C298" s="1">
        <v>4</v>
      </c>
    </row>
    <row r="299" spans="1:3" x14ac:dyDescent="0.3">
      <c r="A299" t="s">
        <v>298</v>
      </c>
      <c r="B299">
        <f>13.1107336628571*(1-0.8198)</f>
        <v>2.3625542060468581</v>
      </c>
      <c r="C299" s="1">
        <v>5</v>
      </c>
    </row>
    <row r="300" spans="1:3" x14ac:dyDescent="0.3">
      <c r="A300" t="s">
        <v>299</v>
      </c>
      <c r="B300">
        <f>24.7045198985714*(1-0.8198)</f>
        <v>4.4517544857225726</v>
      </c>
      <c r="C300" s="1">
        <v>4</v>
      </c>
    </row>
    <row r="301" spans="1:3" x14ac:dyDescent="0.3">
      <c r="A301" t="s">
        <v>300</v>
      </c>
      <c r="B301">
        <f>32.1526165485714*(1-0.8198)</f>
        <v>5.7939015020525728</v>
      </c>
      <c r="C301" s="1">
        <v>4</v>
      </c>
    </row>
    <row r="302" spans="1:3" x14ac:dyDescent="0.3">
      <c r="A302" t="s">
        <v>301</v>
      </c>
      <c r="B302">
        <f>33.6754133271429*(1-0.8198)</f>
        <v>6.0683094815511449</v>
      </c>
      <c r="C302" s="1">
        <v>4</v>
      </c>
    </row>
    <row r="303" spans="1:3" x14ac:dyDescent="0.3">
      <c r="A303" t="s">
        <v>302</v>
      </c>
      <c r="B303">
        <f>30.0783862957143*(1-0.8198)</f>
        <v>5.4201252104877167</v>
      </c>
      <c r="C303" s="1">
        <v>5</v>
      </c>
    </row>
    <row r="304" spans="1:3" x14ac:dyDescent="0.3">
      <c r="A304" t="s">
        <v>303</v>
      </c>
      <c r="B304">
        <f>22.5820676028571*(1-0.8198)</f>
        <v>4.0692885820348588</v>
      </c>
      <c r="C304" s="1">
        <v>5</v>
      </c>
    </row>
    <row r="305" spans="1:3" x14ac:dyDescent="0.3">
      <c r="A305" t="s">
        <v>304</v>
      </c>
      <c r="B305">
        <f>11.6212114514286*(1-0.8198)</f>
        <v>2.0941423035474287</v>
      </c>
      <c r="C305" s="1">
        <v>4</v>
      </c>
    </row>
    <row r="306" spans="1:3" x14ac:dyDescent="0.3">
      <c r="A306" t="s">
        <v>305</v>
      </c>
      <c r="B306">
        <f>1.79173548714286*(1-0.8198)</f>
        <v>0.32287073478314293</v>
      </c>
      <c r="C306" s="1">
        <v>4</v>
      </c>
    </row>
    <row r="307" spans="1:3" x14ac:dyDescent="0.3">
      <c r="A307" t="s">
        <v>306</v>
      </c>
      <c r="B307">
        <f>0*(1-0.8198)</f>
        <v>0</v>
      </c>
      <c r="C307" s="1">
        <v>5</v>
      </c>
    </row>
    <row r="308" spans="1:3" x14ac:dyDescent="0.3">
      <c r="A308" t="s">
        <v>307</v>
      </c>
      <c r="B308">
        <f>0*(1-0.8198)</f>
        <v>0</v>
      </c>
      <c r="C308" s="1">
        <v>4</v>
      </c>
    </row>
    <row r="309" spans="1:3" x14ac:dyDescent="0.3">
      <c r="A309" t="s">
        <v>308</v>
      </c>
      <c r="B309">
        <f>0*(1-0.8198)</f>
        <v>0</v>
      </c>
      <c r="C309" s="1">
        <v>4</v>
      </c>
    </row>
    <row r="310" spans="1:3" x14ac:dyDescent="0.3">
      <c r="A310" t="s">
        <v>309</v>
      </c>
      <c r="B310">
        <f>0*(1-0.8198)</f>
        <v>0</v>
      </c>
      <c r="C310" s="1">
        <v>5</v>
      </c>
    </row>
    <row r="311" spans="1:3" x14ac:dyDescent="0.3">
      <c r="A311" t="s">
        <v>310</v>
      </c>
      <c r="B311">
        <f>0*(1-0.8198)</f>
        <v>0</v>
      </c>
      <c r="C311" s="1">
        <v>4</v>
      </c>
    </row>
    <row r="312" spans="1:3" x14ac:dyDescent="0.3">
      <c r="A312" t="s">
        <v>311</v>
      </c>
      <c r="B312">
        <f>0*(1-0.8198)</f>
        <v>0</v>
      </c>
      <c r="C312" s="1">
        <v>5</v>
      </c>
    </row>
    <row r="313" spans="1:3" x14ac:dyDescent="0.3">
      <c r="A313" t="s">
        <v>312</v>
      </c>
      <c r="B313">
        <f>0*(1-0.8198)</f>
        <v>0</v>
      </c>
      <c r="C313" s="1">
        <v>4</v>
      </c>
    </row>
    <row r="314" spans="1:3" x14ac:dyDescent="0.3">
      <c r="A314" t="s">
        <v>313</v>
      </c>
      <c r="B314">
        <f>0*(1-0.8198)</f>
        <v>0</v>
      </c>
      <c r="C314" s="1">
        <v>4</v>
      </c>
    </row>
    <row r="315" spans="1:3" x14ac:dyDescent="0.3">
      <c r="A315" t="s">
        <v>314</v>
      </c>
      <c r="B315">
        <f>0*(1-0.8198)</f>
        <v>0</v>
      </c>
      <c r="C315" s="1">
        <v>5</v>
      </c>
    </row>
    <row r="316" spans="1:3" x14ac:dyDescent="0.3">
      <c r="A316" t="s">
        <v>315</v>
      </c>
      <c r="B316">
        <f>0*(1-0.8198)</f>
        <v>0</v>
      </c>
      <c r="C316" s="1">
        <v>4</v>
      </c>
    </row>
    <row r="317" spans="1:3" x14ac:dyDescent="0.3">
      <c r="A317" t="s">
        <v>316</v>
      </c>
      <c r="B317">
        <f>0*(1-0.8198)</f>
        <v>0</v>
      </c>
      <c r="C317" s="1">
        <v>5</v>
      </c>
    </row>
    <row r="318" spans="1:3" x14ac:dyDescent="0.3">
      <c r="A318" t="s">
        <v>317</v>
      </c>
      <c r="B318">
        <f>0*(1-0.8198)</f>
        <v>0</v>
      </c>
      <c r="C318" s="1">
        <v>4</v>
      </c>
    </row>
    <row r="319" spans="1:3" x14ac:dyDescent="0.3">
      <c r="A319" t="s">
        <v>318</v>
      </c>
      <c r="B319">
        <f>0*(1-0.8198)</f>
        <v>0</v>
      </c>
      <c r="C319" s="1">
        <v>4</v>
      </c>
    </row>
    <row r="320" spans="1:3" x14ac:dyDescent="0.3">
      <c r="A320" t="s">
        <v>319</v>
      </c>
      <c r="B320">
        <f>0*(1-0.8198)</f>
        <v>0</v>
      </c>
      <c r="C320" s="1">
        <v>5</v>
      </c>
    </row>
    <row r="321" spans="1:3" x14ac:dyDescent="0.3">
      <c r="A321" t="s">
        <v>320</v>
      </c>
      <c r="B321">
        <f>0*(1-0.8198)</f>
        <v>0</v>
      </c>
      <c r="C321" s="1">
        <v>4</v>
      </c>
    </row>
    <row r="322" spans="1:3" x14ac:dyDescent="0.3">
      <c r="A322" t="s">
        <v>321</v>
      </c>
      <c r="B322">
        <f>7.15152798428571*(1-0.8198)</f>
        <v>1.288705342768286</v>
      </c>
      <c r="C322" s="1">
        <v>5</v>
      </c>
    </row>
    <row r="323" spans="1:3" x14ac:dyDescent="0.3">
      <c r="A323" t="s">
        <v>322</v>
      </c>
      <c r="B323">
        <f>15.4746768457143*(1-0.8198)</f>
        <v>2.7885367675977144</v>
      </c>
      <c r="C323" s="1">
        <v>4</v>
      </c>
    </row>
    <row r="324" spans="1:3" x14ac:dyDescent="0.3">
      <c r="A324" t="s">
        <v>323</v>
      </c>
      <c r="B324">
        <f>24.8454334785714*(1-0.8198)</f>
        <v>4.4771471128385727</v>
      </c>
      <c r="C324" s="1">
        <v>5</v>
      </c>
    </row>
    <row r="325" spans="1:3" x14ac:dyDescent="0.3">
      <c r="A325" t="s">
        <v>324</v>
      </c>
      <c r="B325">
        <f>33.1426231171429*(1-0.8198)</f>
        <v>5.9723006857091443</v>
      </c>
      <c r="C325" s="1">
        <v>4</v>
      </c>
    </row>
    <row r="326" spans="1:3" x14ac:dyDescent="0.3">
      <c r="A326" t="s">
        <v>325</v>
      </c>
      <c r="B326">
        <f>32.3881881171429*(1-0.8198)</f>
        <v>5.8363514987091447</v>
      </c>
      <c r="C326" s="1">
        <v>4</v>
      </c>
    </row>
    <row r="327" spans="1:3" x14ac:dyDescent="0.3">
      <c r="A327" t="s">
        <v>326</v>
      </c>
      <c r="B327">
        <f>30.8870905514286*(1-0.8198)</f>
        <v>5.5658537173674301</v>
      </c>
      <c r="C327" s="1">
        <v>5</v>
      </c>
    </row>
    <row r="328" spans="1:3" x14ac:dyDescent="0.3">
      <c r="A328" t="s">
        <v>327</v>
      </c>
      <c r="B328">
        <f>23.1608348257143*(1-0.8198)</f>
        <v>4.1735824355937154</v>
      </c>
      <c r="C328" s="1">
        <v>4</v>
      </c>
    </row>
    <row r="329" spans="1:3" x14ac:dyDescent="0.3">
      <c r="A329" t="s">
        <v>328</v>
      </c>
      <c r="B329">
        <f>12.2390868671429*(1-0.8198)</f>
        <v>2.2054834534591428</v>
      </c>
      <c r="C329" s="1">
        <v>5</v>
      </c>
    </row>
    <row r="330" spans="1:3" x14ac:dyDescent="0.3">
      <c r="A330" t="s">
        <v>329</v>
      </c>
      <c r="B330">
        <f>1.82373995714286*(1-0.8198)</f>
        <v>0.32863794027714294</v>
      </c>
      <c r="C330" s="1">
        <v>4</v>
      </c>
    </row>
    <row r="331" spans="1:3" x14ac:dyDescent="0.3">
      <c r="A331" t="s">
        <v>330</v>
      </c>
      <c r="B331">
        <f>0*(1-0.8198)</f>
        <v>0</v>
      </c>
      <c r="C331" s="1">
        <v>4</v>
      </c>
    </row>
    <row r="332" spans="1:3" x14ac:dyDescent="0.3">
      <c r="A332" t="s">
        <v>331</v>
      </c>
      <c r="B332">
        <f>0*(1-0.8198)</f>
        <v>0</v>
      </c>
      <c r="C332" s="1">
        <v>5</v>
      </c>
    </row>
    <row r="333" spans="1:3" x14ac:dyDescent="0.3">
      <c r="A333" t="s">
        <v>332</v>
      </c>
      <c r="B333">
        <f>0*(1-0.8198)</f>
        <v>0</v>
      </c>
      <c r="C333" s="1">
        <v>4</v>
      </c>
    </row>
    <row r="334" spans="1:3" x14ac:dyDescent="0.3">
      <c r="A334" t="s">
        <v>333</v>
      </c>
      <c r="B334">
        <f>0*(1-0.8198)</f>
        <v>0</v>
      </c>
      <c r="C334" s="1">
        <v>4</v>
      </c>
    </row>
    <row r="335" spans="1:3" x14ac:dyDescent="0.3">
      <c r="A335" t="s">
        <v>334</v>
      </c>
      <c r="B335">
        <f>0*(1-0.8198)</f>
        <v>0</v>
      </c>
      <c r="C335" s="1">
        <v>4</v>
      </c>
    </row>
    <row r="336" spans="1:3" x14ac:dyDescent="0.3">
      <c r="A336" t="s">
        <v>335</v>
      </c>
      <c r="B336">
        <f>0*(1-0.8198)</f>
        <v>0</v>
      </c>
      <c r="C336" s="1">
        <v>5</v>
      </c>
    </row>
    <row r="337" spans="1:3" x14ac:dyDescent="0.3">
      <c r="A337" t="s">
        <v>336</v>
      </c>
      <c r="B337">
        <f>0*(1-0.8198)</f>
        <v>0</v>
      </c>
      <c r="C337" s="1">
        <v>4</v>
      </c>
    </row>
    <row r="338" spans="1:3" x14ac:dyDescent="0.3">
      <c r="A338" t="s">
        <v>337</v>
      </c>
      <c r="B338">
        <f>0*(1-0.8198)</f>
        <v>0</v>
      </c>
      <c r="C338" s="1">
        <v>5</v>
      </c>
    </row>
    <row r="339" spans="1:3" x14ac:dyDescent="0.3">
      <c r="A339" t="s">
        <v>338</v>
      </c>
      <c r="B339">
        <f>0*(1-0.8198)</f>
        <v>0</v>
      </c>
      <c r="C339" s="1">
        <v>4</v>
      </c>
    </row>
    <row r="340" spans="1:3" x14ac:dyDescent="0.3">
      <c r="A340" t="s">
        <v>339</v>
      </c>
      <c r="B340">
        <f>0*(1-0.8198)</f>
        <v>0</v>
      </c>
      <c r="C340" s="1">
        <v>4</v>
      </c>
    </row>
    <row r="341" spans="1:3" x14ac:dyDescent="0.3">
      <c r="A341" t="s">
        <v>340</v>
      </c>
      <c r="B341">
        <f>0*(1-0.8198)</f>
        <v>0</v>
      </c>
      <c r="C341" s="1">
        <v>5</v>
      </c>
    </row>
    <row r="342" spans="1:3" x14ac:dyDescent="0.3">
      <c r="A342" t="s">
        <v>341</v>
      </c>
      <c r="B342">
        <f>0*(1-0.8198)</f>
        <v>0</v>
      </c>
      <c r="C342" s="1">
        <v>4</v>
      </c>
    </row>
    <row r="343" spans="1:3" x14ac:dyDescent="0.3">
      <c r="A343" t="s">
        <v>342</v>
      </c>
      <c r="B343">
        <f>0*(1-0.8198)</f>
        <v>0</v>
      </c>
      <c r="C343" s="1">
        <v>4</v>
      </c>
    </row>
    <row r="344" spans="1:3" x14ac:dyDescent="0.3">
      <c r="A344" t="s">
        <v>343</v>
      </c>
      <c r="B344">
        <f>0*(1-0.8198)</f>
        <v>0</v>
      </c>
      <c r="C344" s="1">
        <v>5</v>
      </c>
    </row>
    <row r="345" spans="1:3" x14ac:dyDescent="0.3">
      <c r="A345" t="s">
        <v>344</v>
      </c>
      <c r="B345">
        <f>0*(1-0.8198)</f>
        <v>0</v>
      </c>
      <c r="C345" s="1">
        <v>11</v>
      </c>
    </row>
    <row r="346" spans="1:3" x14ac:dyDescent="0.3">
      <c r="A346" t="s">
        <v>345</v>
      </c>
      <c r="B346">
        <f>5.70705662714286*(1-0.8198)</f>
        <v>1.0284116042111429</v>
      </c>
      <c r="C346" s="1">
        <v>15</v>
      </c>
    </row>
    <row r="347" spans="1:3" x14ac:dyDescent="0.3">
      <c r="A347" t="s">
        <v>346</v>
      </c>
      <c r="B347">
        <f>11.93673722*(1-0.8198)</f>
        <v>2.1510000470440009</v>
      </c>
      <c r="C347" s="1">
        <v>18</v>
      </c>
    </row>
    <row r="348" spans="1:3" x14ac:dyDescent="0.3">
      <c r="A348" t="s">
        <v>347</v>
      </c>
      <c r="B348">
        <f>29.1024095214286*(1-0.8198)</f>
        <v>5.2442541957614299</v>
      </c>
      <c r="C348" s="1">
        <v>18</v>
      </c>
    </row>
    <row r="349" spans="1:3" x14ac:dyDescent="0.3">
      <c r="A349" t="s">
        <v>348</v>
      </c>
      <c r="B349">
        <f>32.7895917657143*(1-0.8198)</f>
        <v>5.9086844361817166</v>
      </c>
      <c r="C349" s="1">
        <v>16</v>
      </c>
    </row>
    <row r="350" spans="1:3" x14ac:dyDescent="0.3">
      <c r="A350" t="s">
        <v>349</v>
      </c>
      <c r="B350">
        <f>29.2303170757143*(1-0.8198)</f>
        <v>5.267303137043716</v>
      </c>
      <c r="C350" s="1">
        <v>17</v>
      </c>
    </row>
    <row r="351" spans="1:3" x14ac:dyDescent="0.3">
      <c r="A351" t="s">
        <v>350</v>
      </c>
      <c r="B351">
        <f>27.2341602028571*(1-0.8198)</f>
        <v>4.9075956685548583</v>
      </c>
      <c r="C351" s="1">
        <v>17</v>
      </c>
    </row>
    <row r="352" spans="1:3" x14ac:dyDescent="0.3">
      <c r="A352" t="s">
        <v>351</v>
      </c>
      <c r="B352">
        <f>13.8746642914286*(1-0.8198)</f>
        <v>2.5002145053154292</v>
      </c>
      <c r="C352" s="1">
        <v>16</v>
      </c>
    </row>
    <row r="353" spans="1:3" x14ac:dyDescent="0.3">
      <c r="A353" t="s">
        <v>352</v>
      </c>
      <c r="B353">
        <f>3.38668*(1-0.8198)</f>
        <v>0.61027973600000018</v>
      </c>
      <c r="C353" s="1">
        <v>13</v>
      </c>
    </row>
    <row r="354" spans="1:3" x14ac:dyDescent="0.3">
      <c r="A354" t="s">
        <v>353</v>
      </c>
      <c r="B354">
        <f>1.08971748714286*(1-0.8198)</f>
        <v>0.19636709118314291</v>
      </c>
      <c r="C354" s="1">
        <v>11</v>
      </c>
    </row>
    <row r="355" spans="1:3" x14ac:dyDescent="0.3">
      <c r="A355" t="s">
        <v>354</v>
      </c>
      <c r="B355">
        <f>0*(1-0.8198)</f>
        <v>0</v>
      </c>
      <c r="C355" s="1">
        <v>8</v>
      </c>
    </row>
    <row r="356" spans="1:3" x14ac:dyDescent="0.3">
      <c r="A356" t="s">
        <v>355</v>
      </c>
      <c r="B356">
        <f>0*(1-0.8198)</f>
        <v>0</v>
      </c>
      <c r="C356" s="1">
        <v>8</v>
      </c>
    </row>
    <row r="357" spans="1:3" x14ac:dyDescent="0.3">
      <c r="A357" t="s">
        <v>356</v>
      </c>
      <c r="B357">
        <f>0*(1-0.8198)</f>
        <v>0</v>
      </c>
      <c r="C357" s="1">
        <v>11</v>
      </c>
    </row>
    <row r="358" spans="1:3" x14ac:dyDescent="0.3">
      <c r="A358" t="s">
        <v>357</v>
      </c>
      <c r="B358">
        <f>0*(1-0.8198)</f>
        <v>0</v>
      </c>
      <c r="C358" s="1">
        <v>11</v>
      </c>
    </row>
    <row r="359" spans="1:3" x14ac:dyDescent="0.3">
      <c r="A359" t="s">
        <v>358</v>
      </c>
      <c r="B359">
        <f>0*(1-0.8198)</f>
        <v>0</v>
      </c>
      <c r="C359" s="1">
        <v>7</v>
      </c>
    </row>
    <row r="360" spans="1:3" x14ac:dyDescent="0.3">
      <c r="A360" t="s">
        <v>359</v>
      </c>
      <c r="B360">
        <f>0*(1-0.8198)</f>
        <v>0</v>
      </c>
      <c r="C360" s="1">
        <v>6</v>
      </c>
    </row>
    <row r="361" spans="1:3" x14ac:dyDescent="0.3">
      <c r="A361" t="s">
        <v>360</v>
      </c>
      <c r="B361">
        <f>0*(1-0.8198)</f>
        <v>0</v>
      </c>
      <c r="C361" s="1">
        <v>7</v>
      </c>
    </row>
    <row r="362" spans="1:3" x14ac:dyDescent="0.3">
      <c r="A362" t="s">
        <v>361</v>
      </c>
      <c r="B362">
        <f>0*(1-0.8198)</f>
        <v>0</v>
      </c>
      <c r="C362" s="1">
        <v>4</v>
      </c>
    </row>
    <row r="363" spans="1:3" x14ac:dyDescent="0.3">
      <c r="A363" t="s">
        <v>362</v>
      </c>
      <c r="B363">
        <f>0*(1-0.8198)</f>
        <v>0</v>
      </c>
      <c r="C363" s="1">
        <v>4</v>
      </c>
    </row>
    <row r="364" spans="1:3" x14ac:dyDescent="0.3">
      <c r="A364" t="s">
        <v>363</v>
      </c>
      <c r="B364">
        <f>0*(1-0.8198)</f>
        <v>0</v>
      </c>
      <c r="C364" s="1">
        <v>4</v>
      </c>
    </row>
    <row r="365" spans="1:3" x14ac:dyDescent="0.3">
      <c r="A365" t="s">
        <v>364</v>
      </c>
      <c r="B365">
        <f>0*(1-0.8198)</f>
        <v>0</v>
      </c>
      <c r="C365" s="1">
        <v>5</v>
      </c>
    </row>
    <row r="366" spans="1:3" x14ac:dyDescent="0.3">
      <c r="A366" t="s">
        <v>365</v>
      </c>
      <c r="B366">
        <f>0*(1-0.8198)</f>
        <v>0</v>
      </c>
      <c r="C366" s="1">
        <v>4</v>
      </c>
    </row>
    <row r="367" spans="1:3" x14ac:dyDescent="0.3">
      <c r="A367" t="s">
        <v>366</v>
      </c>
      <c r="B367">
        <f>0*(1-0.8198)</f>
        <v>0</v>
      </c>
      <c r="C367" s="1">
        <v>4</v>
      </c>
    </row>
    <row r="368" spans="1:3" x14ac:dyDescent="0.3">
      <c r="A368" t="s">
        <v>367</v>
      </c>
      <c r="B368">
        <f>0*(1-0.8198)</f>
        <v>0</v>
      </c>
      <c r="C368" s="1">
        <v>5</v>
      </c>
    </row>
    <row r="369" spans="1:3" x14ac:dyDescent="0.3">
      <c r="A369" t="s">
        <v>368</v>
      </c>
      <c r="B369">
        <f>0*(1-0.8198)</f>
        <v>0</v>
      </c>
      <c r="C369" s="1">
        <v>11</v>
      </c>
    </row>
    <row r="370" spans="1:3" x14ac:dyDescent="0.3">
      <c r="A370" t="s">
        <v>369</v>
      </c>
      <c r="B370">
        <f>6.26593008428572*(1-0.8198)</f>
        <v>1.1291206011882862</v>
      </c>
      <c r="C370" s="1">
        <v>14</v>
      </c>
    </row>
    <row r="371" spans="1:3" x14ac:dyDescent="0.3">
      <c r="A371" t="s">
        <v>370</v>
      </c>
      <c r="B371">
        <f>19.5764722771429*(1-0.8198)</f>
        <v>3.5276803043411444</v>
      </c>
      <c r="C371" s="1">
        <v>17</v>
      </c>
    </row>
    <row r="372" spans="1:3" x14ac:dyDescent="0.3">
      <c r="A372" t="s">
        <v>371</v>
      </c>
      <c r="B372">
        <f>28.3021638571429*(1-0.8198)</f>
        <v>5.1000499270571442</v>
      </c>
      <c r="C372" s="1">
        <v>17</v>
      </c>
    </row>
    <row r="373" spans="1:3" x14ac:dyDescent="0.3">
      <c r="A373" t="s">
        <v>372</v>
      </c>
      <c r="B373">
        <f>34.9644578671429*(1-0.8198)</f>
        <v>6.300595307659143</v>
      </c>
      <c r="C373" s="1">
        <v>17</v>
      </c>
    </row>
    <row r="374" spans="1:3" x14ac:dyDescent="0.3">
      <c r="A374" t="s">
        <v>373</v>
      </c>
      <c r="B374">
        <f>31.6029366757143*(1-0.8198)</f>
        <v>5.6948491889637154</v>
      </c>
      <c r="C374" s="1">
        <v>17</v>
      </c>
    </row>
    <row r="375" spans="1:3" x14ac:dyDescent="0.3">
      <c r="A375" t="s">
        <v>374</v>
      </c>
      <c r="B375">
        <f>21.7771161414286*(1-0.8198)</f>
        <v>3.9242363286854296</v>
      </c>
      <c r="C375" s="1">
        <v>16</v>
      </c>
    </row>
    <row r="376" spans="1:3" x14ac:dyDescent="0.3">
      <c r="A376" t="s">
        <v>375</v>
      </c>
      <c r="B376">
        <f>10.0345825242857*(1-0.8198)</f>
        <v>1.8082317708762858</v>
      </c>
      <c r="C376" s="1">
        <v>15</v>
      </c>
    </row>
    <row r="377" spans="1:3" x14ac:dyDescent="0.3">
      <c r="A377" t="s">
        <v>376</v>
      </c>
      <c r="B377">
        <f>3.97922*(1-0.8198)</f>
        <v>0.71705544400000032</v>
      </c>
      <c r="C377" s="1">
        <v>13</v>
      </c>
    </row>
    <row r="378" spans="1:3" x14ac:dyDescent="0.3">
      <c r="A378" t="s">
        <v>377</v>
      </c>
      <c r="B378">
        <f>1.77453432*(1-0.8198)</f>
        <v>0.31977108446400004</v>
      </c>
      <c r="C378" s="1">
        <v>12</v>
      </c>
    </row>
    <row r="379" spans="1:3" x14ac:dyDescent="0.3">
      <c r="A379" t="s">
        <v>378</v>
      </c>
      <c r="B379">
        <f>0*(1-0.8198)</f>
        <v>0</v>
      </c>
      <c r="C379" s="1">
        <v>9</v>
      </c>
    </row>
    <row r="380" spans="1:3" x14ac:dyDescent="0.3">
      <c r="A380" t="s">
        <v>379</v>
      </c>
      <c r="B380">
        <f>0*(1-0.8198)</f>
        <v>0</v>
      </c>
      <c r="C380" s="1">
        <v>8</v>
      </c>
    </row>
    <row r="381" spans="1:3" x14ac:dyDescent="0.3">
      <c r="A381" t="s">
        <v>380</v>
      </c>
      <c r="B381">
        <f>0*(1-0.8198)</f>
        <v>0</v>
      </c>
      <c r="C381" s="1">
        <v>10</v>
      </c>
    </row>
    <row r="382" spans="1:3" x14ac:dyDescent="0.3">
      <c r="A382" t="s">
        <v>381</v>
      </c>
      <c r="B382">
        <f>0*(1-0.8198)</f>
        <v>0</v>
      </c>
      <c r="C382" s="1">
        <v>8</v>
      </c>
    </row>
    <row r="383" spans="1:3" x14ac:dyDescent="0.3">
      <c r="A383" t="s">
        <v>382</v>
      </c>
      <c r="B383">
        <f>0*(1-0.8198)</f>
        <v>0</v>
      </c>
      <c r="C383" s="1">
        <v>7</v>
      </c>
    </row>
    <row r="384" spans="1:3" x14ac:dyDescent="0.3">
      <c r="A384" t="s">
        <v>383</v>
      </c>
      <c r="B384">
        <f>0*(1-0.8198)</f>
        <v>0</v>
      </c>
      <c r="C384" s="1">
        <v>6</v>
      </c>
    </row>
    <row r="385" spans="1:3" x14ac:dyDescent="0.3">
      <c r="A385" t="s">
        <v>384</v>
      </c>
      <c r="B385">
        <f>0*(1-0.8198)</f>
        <v>0</v>
      </c>
      <c r="C385" s="1">
        <v>6</v>
      </c>
    </row>
    <row r="386" spans="1:3" x14ac:dyDescent="0.3">
      <c r="A386" t="s">
        <v>385</v>
      </c>
      <c r="B386">
        <f>0*(1-0.8198)</f>
        <v>0</v>
      </c>
      <c r="C386" s="1">
        <v>5</v>
      </c>
    </row>
    <row r="387" spans="1:3" x14ac:dyDescent="0.3">
      <c r="A387" t="s">
        <v>386</v>
      </c>
      <c r="B387">
        <f>0*(1-0.8198)</f>
        <v>0</v>
      </c>
      <c r="C387" s="1">
        <v>5</v>
      </c>
    </row>
    <row r="388" spans="1:3" x14ac:dyDescent="0.3">
      <c r="A388" t="s">
        <v>387</v>
      </c>
      <c r="B388">
        <f>0*(1-0.8198)</f>
        <v>0</v>
      </c>
      <c r="C388" s="1">
        <v>4</v>
      </c>
    </row>
    <row r="389" spans="1:3" x14ac:dyDescent="0.3">
      <c r="A389" t="s">
        <v>388</v>
      </c>
      <c r="B389">
        <f>0*(1-0.8198)</f>
        <v>0</v>
      </c>
      <c r="C389" s="1">
        <v>4</v>
      </c>
    </row>
    <row r="390" spans="1:3" x14ac:dyDescent="0.3">
      <c r="A390" t="s">
        <v>389</v>
      </c>
      <c r="B390">
        <f>0*(1-0.8198)</f>
        <v>0</v>
      </c>
      <c r="C390" s="1">
        <v>5</v>
      </c>
    </row>
    <row r="391" spans="1:3" x14ac:dyDescent="0.3">
      <c r="A391" t="s">
        <v>390</v>
      </c>
      <c r="B391">
        <f>0*(1-0.8198)</f>
        <v>0</v>
      </c>
      <c r="C391" s="1">
        <v>4</v>
      </c>
    </row>
    <row r="392" spans="1:3" x14ac:dyDescent="0.3">
      <c r="A392" t="s">
        <v>391</v>
      </c>
      <c r="B392">
        <f>0*(1-0.8198)</f>
        <v>0</v>
      </c>
      <c r="C392" s="1">
        <v>5</v>
      </c>
    </row>
    <row r="393" spans="1:3" x14ac:dyDescent="0.3">
      <c r="A393" t="s">
        <v>392</v>
      </c>
      <c r="B393">
        <f>0*(1-0.8198)</f>
        <v>0</v>
      </c>
      <c r="C393" s="1">
        <v>10</v>
      </c>
    </row>
    <row r="394" spans="1:3" x14ac:dyDescent="0.3">
      <c r="A394" t="s">
        <v>393</v>
      </c>
      <c r="B394">
        <f>1.358284*(1-0.8198)</f>
        <v>0.2447627768</v>
      </c>
      <c r="C394" s="1">
        <v>17</v>
      </c>
    </row>
    <row r="395" spans="1:3" x14ac:dyDescent="0.3">
      <c r="A395" t="s">
        <v>394</v>
      </c>
      <c r="B395">
        <f>20.38417107*(1-0.8198)</f>
        <v>3.6732276268140005</v>
      </c>
      <c r="C395" s="1">
        <v>16</v>
      </c>
    </row>
    <row r="396" spans="1:3" x14ac:dyDescent="0.3">
      <c r="A396" t="s">
        <v>395</v>
      </c>
      <c r="B396">
        <f>30.18016447*(1-0.8198)</f>
        <v>5.4384656374940006</v>
      </c>
      <c r="C396" s="1">
        <v>19</v>
      </c>
    </row>
    <row r="397" spans="1:3" x14ac:dyDescent="0.3">
      <c r="A397" t="s">
        <v>396</v>
      </c>
      <c r="B397">
        <f>35.4564193928571*(1-0.8198)</f>
        <v>6.3892467745928592</v>
      </c>
      <c r="C397" s="1">
        <v>18</v>
      </c>
    </row>
    <row r="398" spans="1:3" x14ac:dyDescent="0.3">
      <c r="A398" t="s">
        <v>397</v>
      </c>
      <c r="B398">
        <f>35.4810497928571*(1-0.8198)</f>
        <v>6.3936851726728579</v>
      </c>
      <c r="C398" s="1">
        <v>18</v>
      </c>
    </row>
    <row r="399" spans="1:3" x14ac:dyDescent="0.3">
      <c r="A399" t="s">
        <v>398</v>
      </c>
      <c r="B399">
        <f>32.0558801242857*(1-0.8198)</f>
        <v>5.7764695983962868</v>
      </c>
      <c r="C399" s="1">
        <v>16</v>
      </c>
    </row>
    <row r="400" spans="1:3" x14ac:dyDescent="0.3">
      <c r="A400" t="s">
        <v>399</v>
      </c>
      <c r="B400">
        <f>24.7227597614286*(1-0.8198)</f>
        <v>4.4550413090094292</v>
      </c>
      <c r="C400" s="1">
        <v>16</v>
      </c>
    </row>
    <row r="401" spans="1:3" x14ac:dyDescent="0.3">
      <c r="A401" t="s">
        <v>400</v>
      </c>
      <c r="B401">
        <f>13.50441918*(1-0.8198)</f>
        <v>2.4334963362360007</v>
      </c>
      <c r="C401" s="1">
        <v>12</v>
      </c>
    </row>
    <row r="402" spans="1:3" x14ac:dyDescent="0.3">
      <c r="A402" t="s">
        <v>401</v>
      </c>
      <c r="B402">
        <f>2.43761784714286*(1-0.8198)</f>
        <v>0.43925873605514293</v>
      </c>
      <c r="C402" s="1">
        <v>11</v>
      </c>
    </row>
    <row r="403" spans="1:3" x14ac:dyDescent="0.3">
      <c r="A403" t="s">
        <v>402</v>
      </c>
      <c r="B403">
        <f>0*(1-0.8198)</f>
        <v>0</v>
      </c>
      <c r="C403" s="1">
        <v>9</v>
      </c>
    </row>
    <row r="404" spans="1:3" x14ac:dyDescent="0.3">
      <c r="A404" t="s">
        <v>403</v>
      </c>
      <c r="B404">
        <f>0*(1-0.8198)</f>
        <v>0</v>
      </c>
      <c r="C404" s="1">
        <v>8</v>
      </c>
    </row>
    <row r="405" spans="1:3" x14ac:dyDescent="0.3">
      <c r="A405" t="s">
        <v>404</v>
      </c>
      <c r="B405">
        <f>0*(1-0.8198)</f>
        <v>0</v>
      </c>
      <c r="C405" s="1">
        <v>10</v>
      </c>
    </row>
    <row r="406" spans="1:3" x14ac:dyDescent="0.3">
      <c r="A406" t="s">
        <v>405</v>
      </c>
      <c r="B406">
        <f>0*(1-0.8198)</f>
        <v>0</v>
      </c>
      <c r="C406" s="1">
        <v>11</v>
      </c>
    </row>
    <row r="407" spans="1:3" x14ac:dyDescent="0.3">
      <c r="A407" t="s">
        <v>406</v>
      </c>
      <c r="B407">
        <f>0*(1-0.8198)</f>
        <v>0</v>
      </c>
      <c r="C407" s="1">
        <v>7</v>
      </c>
    </row>
    <row r="408" spans="1:3" x14ac:dyDescent="0.3">
      <c r="A408" t="s">
        <v>407</v>
      </c>
      <c r="B408">
        <f>0*(1-0.8198)</f>
        <v>0</v>
      </c>
      <c r="C408" s="1">
        <v>7</v>
      </c>
    </row>
    <row r="409" spans="1:3" x14ac:dyDescent="0.3">
      <c r="A409" t="s">
        <v>408</v>
      </c>
      <c r="B409">
        <f>0*(1-0.8198)</f>
        <v>0</v>
      </c>
      <c r="C409" s="1">
        <v>6</v>
      </c>
    </row>
    <row r="410" spans="1:3" x14ac:dyDescent="0.3">
      <c r="A410" t="s">
        <v>409</v>
      </c>
      <c r="B410">
        <f>0*(1-0.8198)</f>
        <v>0</v>
      </c>
      <c r="C410" s="1">
        <v>5</v>
      </c>
    </row>
    <row r="411" spans="1:3" x14ac:dyDescent="0.3">
      <c r="A411" t="s">
        <v>410</v>
      </c>
      <c r="B411">
        <f>0*(1-0.8198)</f>
        <v>0</v>
      </c>
      <c r="C411" s="1">
        <v>5</v>
      </c>
    </row>
    <row r="412" spans="1:3" x14ac:dyDescent="0.3">
      <c r="A412" t="s">
        <v>411</v>
      </c>
      <c r="B412">
        <f>0*(1-0.8198)</f>
        <v>0</v>
      </c>
      <c r="C412" s="1">
        <v>4</v>
      </c>
    </row>
    <row r="413" spans="1:3" x14ac:dyDescent="0.3">
      <c r="A413" t="s">
        <v>412</v>
      </c>
      <c r="B413">
        <f>0*(1-0.8198)</f>
        <v>0</v>
      </c>
      <c r="C413" s="1">
        <v>5</v>
      </c>
    </row>
    <row r="414" spans="1:3" x14ac:dyDescent="0.3">
      <c r="A414" t="s">
        <v>413</v>
      </c>
      <c r="B414">
        <f>0*(1-0.8198)</f>
        <v>0</v>
      </c>
      <c r="C414" s="1">
        <v>4</v>
      </c>
    </row>
    <row r="415" spans="1:3" x14ac:dyDescent="0.3">
      <c r="A415" t="s">
        <v>414</v>
      </c>
      <c r="B415">
        <f>0*(1-0.8198)</f>
        <v>0</v>
      </c>
      <c r="C415" s="1">
        <v>5</v>
      </c>
    </row>
    <row r="416" spans="1:3" x14ac:dyDescent="0.3">
      <c r="A416" t="s">
        <v>415</v>
      </c>
      <c r="B416">
        <f>0*(1-0.8198)</f>
        <v>0</v>
      </c>
      <c r="C416" s="1">
        <v>4</v>
      </c>
    </row>
    <row r="417" spans="1:3" x14ac:dyDescent="0.3">
      <c r="A417" t="s">
        <v>416</v>
      </c>
      <c r="B417">
        <f>0*(1-0.8198)</f>
        <v>0</v>
      </c>
      <c r="C417" s="1">
        <v>10</v>
      </c>
    </row>
    <row r="418" spans="1:3" x14ac:dyDescent="0.3">
      <c r="A418" t="s">
        <v>417</v>
      </c>
      <c r="B418">
        <f>9.13584996714286*(1-0.8198)</f>
        <v>1.6462801640791431</v>
      </c>
      <c r="C418" s="1">
        <v>15</v>
      </c>
    </row>
    <row r="419" spans="1:3" x14ac:dyDescent="0.3">
      <c r="A419" t="s">
        <v>418</v>
      </c>
      <c r="B419">
        <f>21.3531951128571*(1-0.8198)</f>
        <v>3.8478457593368587</v>
      </c>
      <c r="C419" s="1">
        <v>21</v>
      </c>
    </row>
    <row r="420" spans="1:3" x14ac:dyDescent="0.3">
      <c r="A420" t="s">
        <v>419</v>
      </c>
      <c r="B420">
        <f>18.0844448857143*(1-0.8198)</f>
        <v>3.2588169684057142</v>
      </c>
      <c r="C420" s="1">
        <v>20</v>
      </c>
    </row>
    <row r="421" spans="1:3" x14ac:dyDescent="0.3">
      <c r="A421" t="s">
        <v>420</v>
      </c>
      <c r="B421">
        <f>36.2617311942857*(1-0.8198)</f>
        <v>6.5343639612102882</v>
      </c>
      <c r="C421" s="1">
        <v>18</v>
      </c>
    </row>
    <row r="422" spans="1:3" x14ac:dyDescent="0.3">
      <c r="A422" t="s">
        <v>421</v>
      </c>
      <c r="B422">
        <f>14.5323378042857*(1-0.8198)</f>
        <v>2.6187272723322859</v>
      </c>
      <c r="C422" s="1">
        <v>15</v>
      </c>
    </row>
    <row r="423" spans="1:3" x14ac:dyDescent="0.3">
      <c r="A423" t="s">
        <v>422</v>
      </c>
      <c r="B423">
        <f>6.2565*(1-0.8198)</f>
        <v>1.1274213000000004</v>
      </c>
      <c r="C423" s="1">
        <v>18</v>
      </c>
    </row>
    <row r="424" spans="1:3" x14ac:dyDescent="0.3">
      <c r="A424" t="s">
        <v>423</v>
      </c>
      <c r="B424">
        <f>25.8650322171429*(1-0.8198)</f>
        <v>4.6608788055291441</v>
      </c>
      <c r="C424" s="1">
        <v>17</v>
      </c>
    </row>
    <row r="425" spans="1:3" x14ac:dyDescent="0.3">
      <c r="A425" t="s">
        <v>424</v>
      </c>
      <c r="B425">
        <f>14.2671069242857*(1-0.8198)</f>
        <v>2.5709326677562867</v>
      </c>
      <c r="C425" s="1">
        <v>13</v>
      </c>
    </row>
    <row r="426" spans="1:3" x14ac:dyDescent="0.3">
      <c r="A426" t="s">
        <v>425</v>
      </c>
      <c r="B426">
        <f>2.72622844142857*(1-0.8198)</f>
        <v>0.49126636514542865</v>
      </c>
      <c r="C426" s="1">
        <v>11</v>
      </c>
    </row>
    <row r="427" spans="1:3" x14ac:dyDescent="0.3">
      <c r="A427" t="s">
        <v>426</v>
      </c>
      <c r="B427">
        <f>0*(1-0.8198)</f>
        <v>0</v>
      </c>
      <c r="C427" s="1">
        <v>10</v>
      </c>
    </row>
    <row r="428" spans="1:3" x14ac:dyDescent="0.3">
      <c r="A428" t="s">
        <v>427</v>
      </c>
      <c r="B428">
        <f>0*(1-0.8198)</f>
        <v>0</v>
      </c>
      <c r="C428" s="1">
        <v>9</v>
      </c>
    </row>
    <row r="429" spans="1:3" x14ac:dyDescent="0.3">
      <c r="A429" t="s">
        <v>428</v>
      </c>
      <c r="B429">
        <f>0*(1-0.8198)</f>
        <v>0</v>
      </c>
      <c r="C429" s="1">
        <v>11</v>
      </c>
    </row>
    <row r="430" spans="1:3" x14ac:dyDescent="0.3">
      <c r="A430" t="s">
        <v>429</v>
      </c>
      <c r="B430">
        <f>0*(1-0.8198)</f>
        <v>0</v>
      </c>
      <c r="C430" s="1">
        <v>7</v>
      </c>
    </row>
    <row r="431" spans="1:3" x14ac:dyDescent="0.3">
      <c r="A431" t="s">
        <v>430</v>
      </c>
      <c r="B431">
        <f>0*(1-0.8198)</f>
        <v>0</v>
      </c>
      <c r="C431" s="1">
        <v>8</v>
      </c>
    </row>
    <row r="432" spans="1:3" x14ac:dyDescent="0.3">
      <c r="A432" t="s">
        <v>431</v>
      </c>
      <c r="B432">
        <f>0*(1-0.8198)</f>
        <v>0</v>
      </c>
      <c r="C432" s="1">
        <v>6</v>
      </c>
    </row>
    <row r="433" spans="1:3" x14ac:dyDescent="0.3">
      <c r="A433" t="s">
        <v>432</v>
      </c>
      <c r="B433">
        <f>0*(1-0.8198)</f>
        <v>0</v>
      </c>
      <c r="C433" s="1">
        <v>6</v>
      </c>
    </row>
    <row r="434" spans="1:3" x14ac:dyDescent="0.3">
      <c r="A434" t="s">
        <v>433</v>
      </c>
      <c r="B434">
        <f>0*(1-0.8198)</f>
        <v>0</v>
      </c>
      <c r="C434" s="1">
        <v>5</v>
      </c>
    </row>
    <row r="435" spans="1:3" x14ac:dyDescent="0.3">
      <c r="A435" t="s">
        <v>434</v>
      </c>
      <c r="B435">
        <f>0*(1-0.8198)</f>
        <v>0</v>
      </c>
      <c r="C435" s="1">
        <v>5</v>
      </c>
    </row>
    <row r="436" spans="1:3" x14ac:dyDescent="0.3">
      <c r="A436" t="s">
        <v>435</v>
      </c>
      <c r="B436">
        <f>0*(1-0.8198)</f>
        <v>0</v>
      </c>
      <c r="C436" s="1">
        <v>4</v>
      </c>
    </row>
    <row r="437" spans="1:3" x14ac:dyDescent="0.3">
      <c r="A437" t="s">
        <v>436</v>
      </c>
      <c r="B437">
        <f>0*(1-0.8198)</f>
        <v>0</v>
      </c>
      <c r="C437" s="1">
        <v>5</v>
      </c>
    </row>
    <row r="438" spans="1:3" x14ac:dyDescent="0.3">
      <c r="A438" t="s">
        <v>437</v>
      </c>
      <c r="B438">
        <f>0*(1-0.8198)</f>
        <v>0</v>
      </c>
      <c r="C438" s="1">
        <v>4</v>
      </c>
    </row>
    <row r="439" spans="1:3" x14ac:dyDescent="0.3">
      <c r="A439" t="s">
        <v>438</v>
      </c>
      <c r="B439">
        <f>0*(1-0.8198)</f>
        <v>0</v>
      </c>
      <c r="C439" s="1">
        <v>4</v>
      </c>
    </row>
    <row r="440" spans="1:3" x14ac:dyDescent="0.3">
      <c r="A440" t="s">
        <v>439</v>
      </c>
      <c r="B440">
        <f>0*(1-0.8198)</f>
        <v>0</v>
      </c>
      <c r="C440" s="1">
        <v>5</v>
      </c>
    </row>
    <row r="441" spans="1:3" x14ac:dyDescent="0.3">
      <c r="A441" t="s">
        <v>440</v>
      </c>
      <c r="B441">
        <f>0*(1-0.8198)</f>
        <v>0</v>
      </c>
      <c r="C441" s="1">
        <v>13</v>
      </c>
    </row>
    <row r="442" spans="1:3" x14ac:dyDescent="0.3">
      <c r="A442" t="s">
        <v>441</v>
      </c>
      <c r="B442">
        <f>9.03386213714286*(1-0.8198)</f>
        <v>1.6279019571131432</v>
      </c>
      <c r="C442" s="1">
        <v>16</v>
      </c>
    </row>
    <row r="443" spans="1:3" x14ac:dyDescent="0.3">
      <c r="A443" t="s">
        <v>442</v>
      </c>
      <c r="B443">
        <f>20.1016661685714*(1-0.8198)</f>
        <v>3.6223202435765725</v>
      </c>
      <c r="C443" s="1">
        <v>20</v>
      </c>
    </row>
    <row r="444" spans="1:3" x14ac:dyDescent="0.3">
      <c r="A444" t="s">
        <v>443</v>
      </c>
      <c r="B444">
        <f>30.2842290771429*(1-0.8198)</f>
        <v>5.4572180797011436</v>
      </c>
      <c r="C444" s="1">
        <v>22</v>
      </c>
    </row>
    <row r="445" spans="1:3" x14ac:dyDescent="0.3">
      <c r="A445" t="s">
        <v>444</v>
      </c>
      <c r="B445">
        <f>36.85861444*(1-0.8198)</f>
        <v>6.6419223220880017</v>
      </c>
      <c r="C445" s="1">
        <v>19</v>
      </c>
    </row>
    <row r="446" spans="1:3" x14ac:dyDescent="0.3">
      <c r="A446" t="s">
        <v>445</v>
      </c>
      <c r="B446">
        <f>37.6030398385714*(1-0.8198)</f>
        <v>6.7760677789105737</v>
      </c>
      <c r="C446" s="1">
        <v>18</v>
      </c>
    </row>
    <row r="447" spans="1:3" x14ac:dyDescent="0.3">
      <c r="A447" t="s">
        <v>446</v>
      </c>
      <c r="B447">
        <f>33.9158700642857*(1-0.8198)</f>
        <v>6.1116397855842877</v>
      </c>
      <c r="C447" s="1">
        <v>17</v>
      </c>
    </row>
    <row r="448" spans="1:3" x14ac:dyDescent="0.3">
      <c r="A448" t="s">
        <v>447</v>
      </c>
      <c r="B448">
        <f>25.9123977614286*(1-0.8198)</f>
        <v>4.6694140766094296</v>
      </c>
      <c r="C448" s="1">
        <v>17</v>
      </c>
    </row>
    <row r="449" spans="1:3" x14ac:dyDescent="0.3">
      <c r="A449" t="s">
        <v>448</v>
      </c>
      <c r="B449">
        <f>13.9075030228571*(1-0.8198)</f>
        <v>2.5061320447188575</v>
      </c>
      <c r="C449" s="1">
        <v>14</v>
      </c>
    </row>
    <row r="450" spans="1:3" x14ac:dyDescent="0.3">
      <c r="A450" t="s">
        <v>449</v>
      </c>
      <c r="B450">
        <f>3.25151662571429*(1-0.8198)</f>
        <v>0.5859232959537144</v>
      </c>
      <c r="C450" s="1">
        <v>12</v>
      </c>
    </row>
    <row r="451" spans="1:3" x14ac:dyDescent="0.3">
      <c r="A451" t="s">
        <v>450</v>
      </c>
      <c r="B451">
        <f>0*(1-0.8198)</f>
        <v>0</v>
      </c>
      <c r="C451" s="1">
        <v>9</v>
      </c>
    </row>
    <row r="452" spans="1:3" x14ac:dyDescent="0.3">
      <c r="A452" t="s">
        <v>451</v>
      </c>
      <c r="B452">
        <f>0*(1-0.8198)</f>
        <v>0</v>
      </c>
      <c r="C452" s="1">
        <v>9</v>
      </c>
    </row>
    <row r="453" spans="1:3" x14ac:dyDescent="0.3">
      <c r="A453" t="s">
        <v>452</v>
      </c>
      <c r="B453">
        <f>0*(1-0.8198)</f>
        <v>0</v>
      </c>
      <c r="C453" s="1">
        <v>8</v>
      </c>
    </row>
    <row r="454" spans="1:3" x14ac:dyDescent="0.3">
      <c r="A454" t="s">
        <v>453</v>
      </c>
      <c r="B454">
        <f>0*(1-0.8198)</f>
        <v>0</v>
      </c>
      <c r="C454" s="1">
        <v>9</v>
      </c>
    </row>
    <row r="455" spans="1:3" x14ac:dyDescent="0.3">
      <c r="A455" t="s">
        <v>454</v>
      </c>
      <c r="B455">
        <f>0*(1-0.8198)</f>
        <v>0</v>
      </c>
      <c r="C455" s="1">
        <v>8</v>
      </c>
    </row>
    <row r="456" spans="1:3" x14ac:dyDescent="0.3">
      <c r="A456" t="s">
        <v>455</v>
      </c>
      <c r="B456">
        <f>0*(1-0.8198)</f>
        <v>0</v>
      </c>
      <c r="C456" s="1">
        <v>8</v>
      </c>
    </row>
    <row r="457" spans="1:3" x14ac:dyDescent="0.3">
      <c r="A457" t="s">
        <v>456</v>
      </c>
      <c r="B457">
        <f>0*(1-0.8198)</f>
        <v>0</v>
      </c>
      <c r="C457" s="1">
        <v>6</v>
      </c>
    </row>
    <row r="458" spans="1:3" x14ac:dyDescent="0.3">
      <c r="A458" t="s">
        <v>457</v>
      </c>
      <c r="B458">
        <f>0*(1-0.8198)</f>
        <v>0</v>
      </c>
      <c r="C458" s="1">
        <v>4</v>
      </c>
    </row>
    <row r="459" spans="1:3" x14ac:dyDescent="0.3">
      <c r="A459" t="s">
        <v>458</v>
      </c>
      <c r="B459">
        <f>0*(1-0.8198)</f>
        <v>0</v>
      </c>
      <c r="C459" s="1">
        <v>5</v>
      </c>
    </row>
    <row r="460" spans="1:3" x14ac:dyDescent="0.3">
      <c r="A460" t="s">
        <v>459</v>
      </c>
      <c r="B460">
        <f>0*(1-0.8198)</f>
        <v>0</v>
      </c>
      <c r="C460" s="1">
        <v>4</v>
      </c>
    </row>
    <row r="461" spans="1:3" x14ac:dyDescent="0.3">
      <c r="A461" t="s">
        <v>460</v>
      </c>
      <c r="B461">
        <f>0*(1-0.8198)</f>
        <v>0</v>
      </c>
      <c r="C461" s="1">
        <v>5</v>
      </c>
    </row>
    <row r="462" spans="1:3" x14ac:dyDescent="0.3">
      <c r="A462" t="s">
        <v>461</v>
      </c>
      <c r="B462">
        <f>0*(1-0.8198)</f>
        <v>0</v>
      </c>
      <c r="C462" s="1">
        <v>4</v>
      </c>
    </row>
    <row r="463" spans="1:3" x14ac:dyDescent="0.3">
      <c r="A463" t="s">
        <v>462</v>
      </c>
      <c r="B463">
        <f>0*(1-0.8198)</f>
        <v>0</v>
      </c>
      <c r="C463" s="1">
        <v>4</v>
      </c>
    </row>
    <row r="464" spans="1:3" x14ac:dyDescent="0.3">
      <c r="A464" t="s">
        <v>463</v>
      </c>
      <c r="B464">
        <f>0*(1-0.8198)</f>
        <v>0</v>
      </c>
      <c r="C464" s="1">
        <v>4</v>
      </c>
    </row>
    <row r="465" spans="1:3" x14ac:dyDescent="0.3">
      <c r="A465" t="s">
        <v>464</v>
      </c>
      <c r="B465">
        <f>0*(1-0.8198)</f>
        <v>0</v>
      </c>
      <c r="C465" s="1">
        <v>5</v>
      </c>
    </row>
    <row r="466" spans="1:3" x14ac:dyDescent="0.3">
      <c r="A466" t="s">
        <v>465</v>
      </c>
      <c r="B466">
        <f>9.51055448571429*(1-0.8198)</f>
        <v>1.7138019183257149</v>
      </c>
      <c r="C466" s="1">
        <v>4</v>
      </c>
    </row>
    <row r="467" spans="1:3" x14ac:dyDescent="0.3">
      <c r="A467" t="s">
        <v>466</v>
      </c>
      <c r="B467">
        <f>20.4706949942857*(1-0.8198)</f>
        <v>3.6888192379702871</v>
      </c>
      <c r="C467" s="1">
        <v>4</v>
      </c>
    </row>
    <row r="468" spans="1:3" x14ac:dyDescent="0.3">
      <c r="A468" t="s">
        <v>467</v>
      </c>
      <c r="B468">
        <f>30.0212699485714*(1-0.8198)</f>
        <v>5.4098328447325734</v>
      </c>
      <c r="C468" s="1">
        <v>5</v>
      </c>
    </row>
    <row r="469" spans="1:3" x14ac:dyDescent="0.3">
      <c r="A469" t="s">
        <v>468</v>
      </c>
      <c r="B469">
        <f>35.9793838571429*(1-0.8198)</f>
        <v>6.4834849710571438</v>
      </c>
      <c r="C469" s="1">
        <v>4</v>
      </c>
    </row>
    <row r="470" spans="1:3" x14ac:dyDescent="0.3">
      <c r="A470" t="s">
        <v>469</v>
      </c>
      <c r="B470">
        <f>36.2951432385714*(1-0.8198)</f>
        <v>6.5403848115905738</v>
      </c>
      <c r="C470" s="1">
        <v>4</v>
      </c>
    </row>
    <row r="471" spans="1:3" x14ac:dyDescent="0.3">
      <c r="A471" t="s">
        <v>470</v>
      </c>
      <c r="B471">
        <f>33.79423836*(1-0.8198)</f>
        <v>6.0897217524720011</v>
      </c>
      <c r="C471" s="1">
        <v>5</v>
      </c>
    </row>
    <row r="472" spans="1:3" x14ac:dyDescent="0.3">
      <c r="A472" t="s">
        <v>471</v>
      </c>
      <c r="B472">
        <f>26.6871574485714*(1-0.8198)</f>
        <v>4.8090257722325731</v>
      </c>
      <c r="C472" s="1">
        <v>4</v>
      </c>
    </row>
    <row r="473" spans="1:3" x14ac:dyDescent="0.3">
      <c r="A473" t="s">
        <v>472</v>
      </c>
      <c r="B473">
        <f>14.4356569728571*(1-0.8198)</f>
        <v>2.6013053865088578</v>
      </c>
      <c r="C473" s="1">
        <v>5</v>
      </c>
    </row>
    <row r="474" spans="1:3" x14ac:dyDescent="0.3">
      <c r="A474" t="s">
        <v>473</v>
      </c>
      <c r="B474">
        <f>3.47795302857143*(1-0.8198)</f>
        <v>0.62672713574857153</v>
      </c>
      <c r="C474" s="1">
        <v>4</v>
      </c>
    </row>
    <row r="475" spans="1:3" x14ac:dyDescent="0.3">
      <c r="A475" t="s">
        <v>474</v>
      </c>
      <c r="B475">
        <f>0*(1-0.8198)</f>
        <v>0</v>
      </c>
      <c r="C475" s="1">
        <v>4</v>
      </c>
    </row>
    <row r="476" spans="1:3" x14ac:dyDescent="0.3">
      <c r="A476" t="s">
        <v>475</v>
      </c>
      <c r="B476">
        <f>0*(1-0.8198)</f>
        <v>0</v>
      </c>
      <c r="C476" s="1">
        <v>4</v>
      </c>
    </row>
    <row r="477" spans="1:3" x14ac:dyDescent="0.3">
      <c r="A477" t="s">
        <v>476</v>
      </c>
      <c r="B477">
        <f>0*(1-0.8198)</f>
        <v>0</v>
      </c>
      <c r="C477" s="1">
        <v>5</v>
      </c>
    </row>
    <row r="478" spans="1:3" x14ac:dyDescent="0.3">
      <c r="A478" t="s">
        <v>477</v>
      </c>
      <c r="B478">
        <f>0*(1-0.8198)</f>
        <v>0</v>
      </c>
      <c r="C478" s="1">
        <v>4</v>
      </c>
    </row>
    <row r="479" spans="1:3" x14ac:dyDescent="0.3">
      <c r="A479" t="s">
        <v>478</v>
      </c>
      <c r="B479">
        <f>0*(1-0.8198)</f>
        <v>0</v>
      </c>
      <c r="C479" s="1">
        <v>4</v>
      </c>
    </row>
    <row r="480" spans="1:3" x14ac:dyDescent="0.3">
      <c r="A480" t="s">
        <v>479</v>
      </c>
      <c r="B480">
        <f>0*(1-0.8198)</f>
        <v>0</v>
      </c>
      <c r="C480" s="1">
        <v>4</v>
      </c>
    </row>
    <row r="481" spans="1:3" x14ac:dyDescent="0.3">
      <c r="A481" t="s">
        <v>480</v>
      </c>
      <c r="B481">
        <f>0*(1-0.8198)</f>
        <v>0</v>
      </c>
      <c r="C481" s="1">
        <v>5</v>
      </c>
    </row>
    <row r="482" spans="1:3" x14ac:dyDescent="0.3">
      <c r="A482" t="s">
        <v>481</v>
      </c>
      <c r="B482">
        <f>0*(1-0.8198)</f>
        <v>0</v>
      </c>
      <c r="C482" s="1">
        <v>4</v>
      </c>
    </row>
    <row r="483" spans="1:3" x14ac:dyDescent="0.3">
      <c r="A483" t="s">
        <v>482</v>
      </c>
      <c r="B483">
        <f>0*(1-0.8198)</f>
        <v>0</v>
      </c>
      <c r="C483" s="1">
        <v>4</v>
      </c>
    </row>
    <row r="484" spans="1:3" x14ac:dyDescent="0.3">
      <c r="A484" t="s">
        <v>483</v>
      </c>
      <c r="B484">
        <f>0*(1-0.8198)</f>
        <v>0</v>
      </c>
      <c r="C484" s="1">
        <v>4</v>
      </c>
    </row>
    <row r="485" spans="1:3" x14ac:dyDescent="0.3">
      <c r="A485" t="s">
        <v>484</v>
      </c>
      <c r="B485">
        <f>0*(1-0.8198)</f>
        <v>0</v>
      </c>
      <c r="C485" s="1">
        <v>5</v>
      </c>
    </row>
    <row r="486" spans="1:3" x14ac:dyDescent="0.3">
      <c r="A486" t="s">
        <v>485</v>
      </c>
      <c r="B486">
        <f>0*(1-0.8198)</f>
        <v>0</v>
      </c>
      <c r="C486" s="1">
        <v>4</v>
      </c>
    </row>
    <row r="487" spans="1:3" x14ac:dyDescent="0.3">
      <c r="A487" t="s">
        <v>486</v>
      </c>
      <c r="B487">
        <f>0*(1-0.8198)</f>
        <v>0</v>
      </c>
      <c r="C487" s="1">
        <v>4</v>
      </c>
    </row>
    <row r="488" spans="1:3" x14ac:dyDescent="0.3">
      <c r="A488" t="s">
        <v>487</v>
      </c>
      <c r="B488">
        <f>0*(1-0.8198)</f>
        <v>0</v>
      </c>
      <c r="C488" s="1">
        <v>5</v>
      </c>
    </row>
    <row r="489" spans="1:3" x14ac:dyDescent="0.3">
      <c r="A489" t="s">
        <v>488</v>
      </c>
      <c r="B489">
        <f>0*(1-0.8198)</f>
        <v>0</v>
      </c>
      <c r="C489" s="1">
        <v>4</v>
      </c>
    </row>
    <row r="490" spans="1:3" x14ac:dyDescent="0.3">
      <c r="A490" t="s">
        <v>489</v>
      </c>
      <c r="B490">
        <f>10.2931908514286*(1-0.8198)</f>
        <v>1.8548329914274289</v>
      </c>
      <c r="C490" s="1">
        <v>4</v>
      </c>
    </row>
    <row r="491" spans="1:3" x14ac:dyDescent="0.3">
      <c r="A491" t="s">
        <v>490</v>
      </c>
      <c r="B491">
        <f>22.3685458814286*(1-0.8198)</f>
        <v>4.0308119678334293</v>
      </c>
      <c r="C491" s="1">
        <v>5</v>
      </c>
    </row>
    <row r="492" spans="1:3" x14ac:dyDescent="0.3">
      <c r="A492" t="s">
        <v>491</v>
      </c>
      <c r="B492">
        <f>31.7443814285714*(1-0.8198)</f>
        <v>5.7203375334285722</v>
      </c>
      <c r="C492" s="1">
        <v>4</v>
      </c>
    </row>
    <row r="493" spans="1:3" x14ac:dyDescent="0.3">
      <c r="A493" t="s">
        <v>492</v>
      </c>
      <c r="B493">
        <f>37.6322134957143*(1-0.8198)</f>
        <v>6.7813248719277173</v>
      </c>
      <c r="C493" s="1">
        <v>4</v>
      </c>
    </row>
    <row r="494" spans="1:3" x14ac:dyDescent="0.3">
      <c r="A494" t="s">
        <v>493</v>
      </c>
      <c r="B494">
        <f>38.8740686071429*(1-0.8198)</f>
        <v>7.0051071630071444</v>
      </c>
      <c r="C494" s="1">
        <v>4</v>
      </c>
    </row>
    <row r="495" spans="1:3" x14ac:dyDescent="0.3">
      <c r="A495" t="s">
        <v>494</v>
      </c>
      <c r="B495">
        <f>34.2088270371429*(1-0.8198)</f>
        <v>6.1644306320931443</v>
      </c>
      <c r="C495" s="1">
        <v>4</v>
      </c>
    </row>
    <row r="496" spans="1:3" x14ac:dyDescent="0.3">
      <c r="A496" t="s">
        <v>495</v>
      </c>
      <c r="B496">
        <f>27.2836804157143*(1-0.8198)</f>
        <v>4.9165192109117157</v>
      </c>
      <c r="C496" s="1">
        <v>4</v>
      </c>
    </row>
    <row r="497" spans="1:3" x14ac:dyDescent="0.3">
      <c r="A497" t="s">
        <v>496</v>
      </c>
      <c r="B497">
        <f>15.6519305242857*(1-0.8198)</f>
        <v>2.8204778804762864</v>
      </c>
      <c r="C497" s="1">
        <v>4</v>
      </c>
    </row>
    <row r="498" spans="1:3" x14ac:dyDescent="0.3">
      <c r="A498" t="s">
        <v>497</v>
      </c>
      <c r="B498">
        <f>3.67072202857143*(1-0.8198)</f>
        <v>0.66146410954857149</v>
      </c>
      <c r="C498" s="1">
        <v>3</v>
      </c>
    </row>
    <row r="499" spans="1:3" x14ac:dyDescent="0.3">
      <c r="A499" t="s">
        <v>498</v>
      </c>
      <c r="B499">
        <f>0*(1-0.8198)</f>
        <v>0</v>
      </c>
      <c r="C499" s="1">
        <v>4</v>
      </c>
    </row>
    <row r="500" spans="1:3" x14ac:dyDescent="0.3">
      <c r="A500" t="s">
        <v>499</v>
      </c>
      <c r="B500">
        <f>0*(1-0.8198)</f>
        <v>0</v>
      </c>
      <c r="C500" s="1">
        <v>4</v>
      </c>
    </row>
    <row r="501" spans="1:3" x14ac:dyDescent="0.3">
      <c r="A501" t="s">
        <v>500</v>
      </c>
      <c r="B501">
        <f>0*(1-0.8198)</f>
        <v>0</v>
      </c>
      <c r="C501" s="1">
        <v>4</v>
      </c>
    </row>
    <row r="502" spans="1:3" x14ac:dyDescent="0.3">
      <c r="A502" t="s">
        <v>501</v>
      </c>
      <c r="B502">
        <f>0*(1-0.8198)</f>
        <v>0</v>
      </c>
      <c r="C502" s="1">
        <v>3</v>
      </c>
    </row>
    <row r="503" spans="1:3" x14ac:dyDescent="0.3">
      <c r="A503" t="s">
        <v>502</v>
      </c>
      <c r="B503">
        <f>0*(1-0.8198)</f>
        <v>0</v>
      </c>
      <c r="C503" s="1">
        <v>4</v>
      </c>
    </row>
    <row r="504" spans="1:3" x14ac:dyDescent="0.3">
      <c r="A504" t="s">
        <v>503</v>
      </c>
      <c r="B504">
        <f>0*(1-0.8198)</f>
        <v>0</v>
      </c>
      <c r="C504" s="1">
        <v>4</v>
      </c>
    </row>
    <row r="505" spans="1:3" x14ac:dyDescent="0.3">
      <c r="A505" t="s">
        <v>504</v>
      </c>
      <c r="B505">
        <f>0*(1-0.8198)</f>
        <v>0</v>
      </c>
      <c r="C505" s="1">
        <v>4</v>
      </c>
    </row>
    <row r="506" spans="1:3" x14ac:dyDescent="0.3">
      <c r="A506" t="s">
        <v>505</v>
      </c>
      <c r="B506">
        <f>0*(1-0.8198)</f>
        <v>0</v>
      </c>
      <c r="C506" s="1">
        <v>3</v>
      </c>
    </row>
    <row r="507" spans="1:3" x14ac:dyDescent="0.3">
      <c r="A507" t="s">
        <v>506</v>
      </c>
      <c r="B507">
        <f>0*(1-0.8198)</f>
        <v>0</v>
      </c>
      <c r="C507" s="1">
        <v>4</v>
      </c>
    </row>
    <row r="508" spans="1:3" x14ac:dyDescent="0.3">
      <c r="A508" t="s">
        <v>507</v>
      </c>
      <c r="B508">
        <f>0*(1-0.8198)</f>
        <v>0</v>
      </c>
      <c r="C508" s="1">
        <v>4</v>
      </c>
    </row>
    <row r="509" spans="1:3" x14ac:dyDescent="0.3">
      <c r="A509" t="s">
        <v>508</v>
      </c>
      <c r="B509">
        <f>0*(1-0.8198)</f>
        <v>0</v>
      </c>
      <c r="C509" s="1">
        <v>4</v>
      </c>
    </row>
    <row r="510" spans="1:3" x14ac:dyDescent="0.3">
      <c r="A510" t="s">
        <v>509</v>
      </c>
      <c r="B510">
        <f>0*(1-0.8198)</f>
        <v>0</v>
      </c>
      <c r="C510" s="1">
        <v>4</v>
      </c>
    </row>
    <row r="511" spans="1:3" x14ac:dyDescent="0.3">
      <c r="A511" t="s">
        <v>510</v>
      </c>
      <c r="B511">
        <f>0*(1-0.8198)</f>
        <v>0</v>
      </c>
      <c r="C511" s="1">
        <v>3</v>
      </c>
    </row>
    <row r="512" spans="1:3" x14ac:dyDescent="0.3">
      <c r="A512" t="s">
        <v>511</v>
      </c>
      <c r="B512">
        <f>0*(1-0.8198)</f>
        <v>0</v>
      </c>
      <c r="C512" s="1">
        <v>4</v>
      </c>
    </row>
    <row r="513" spans="1:3" x14ac:dyDescent="0.3">
      <c r="A513" t="s">
        <v>512</v>
      </c>
      <c r="B513">
        <f>0*(1-0.8198)</f>
        <v>0</v>
      </c>
      <c r="C513" s="1">
        <v>12</v>
      </c>
    </row>
    <row r="514" spans="1:3" x14ac:dyDescent="0.3">
      <c r="A514" t="s">
        <v>513</v>
      </c>
      <c r="B514">
        <f>10.2082680628571*(1-0.8198)</f>
        <v>1.8395299049268572</v>
      </c>
      <c r="C514" s="1">
        <v>16</v>
      </c>
    </row>
    <row r="515" spans="1:3" x14ac:dyDescent="0.3">
      <c r="A515" t="s">
        <v>514</v>
      </c>
      <c r="B515">
        <f>22.0826425671429*(1-0.8198)</f>
        <v>3.9792921905991445</v>
      </c>
      <c r="C515" s="1">
        <v>25</v>
      </c>
    </row>
    <row r="516" spans="1:3" x14ac:dyDescent="0.3">
      <c r="A516" t="s">
        <v>515</v>
      </c>
      <c r="B516">
        <f>31.6447636971429*(1-0.8198)</f>
        <v>5.702386418225144</v>
      </c>
      <c r="C516" s="1">
        <v>17</v>
      </c>
    </row>
    <row r="517" spans="1:3" x14ac:dyDescent="0.3">
      <c r="A517" t="s">
        <v>516</v>
      </c>
      <c r="B517">
        <f>37.6210165414286*(1-0.8198)</f>
        <v>6.7793071807654304</v>
      </c>
      <c r="C517" s="1">
        <v>16</v>
      </c>
    </row>
    <row r="518" spans="1:3" x14ac:dyDescent="0.3">
      <c r="A518" t="s">
        <v>517</v>
      </c>
      <c r="B518">
        <f>38.1510240371429*(1-0.8198)</f>
        <v>6.8748145314931461</v>
      </c>
      <c r="C518" s="1">
        <v>16</v>
      </c>
    </row>
    <row r="519" spans="1:3" x14ac:dyDescent="0.3">
      <c r="A519" t="s">
        <v>518</v>
      </c>
      <c r="B519">
        <f>35.9924304257143*(1-0.8198)</f>
        <v>6.4858359627137148</v>
      </c>
      <c r="C519" s="1">
        <v>17</v>
      </c>
    </row>
    <row r="520" spans="1:3" x14ac:dyDescent="0.3">
      <c r="A520" t="s">
        <v>519</v>
      </c>
      <c r="B520">
        <f>27.3055906357143*(1-0.8198)</f>
        <v>4.9204674325557152</v>
      </c>
      <c r="C520" s="1">
        <v>16</v>
      </c>
    </row>
    <row r="521" spans="1:3" x14ac:dyDescent="0.3">
      <c r="A521" t="s">
        <v>520</v>
      </c>
      <c r="B521">
        <f>15.6693405485714*(1-0.8198)</f>
        <v>2.823615166852572</v>
      </c>
      <c r="C521" s="1">
        <v>13</v>
      </c>
    </row>
    <row r="522" spans="1:3" x14ac:dyDescent="0.3">
      <c r="A522" t="s">
        <v>521</v>
      </c>
      <c r="B522">
        <f>3.82803218428571*(1-0.8198)</f>
        <v>0.68981139960828586</v>
      </c>
      <c r="C522" s="1">
        <v>12</v>
      </c>
    </row>
    <row r="523" spans="1:3" x14ac:dyDescent="0.3">
      <c r="A523" t="s">
        <v>522</v>
      </c>
      <c r="B523">
        <f>0*(1-0.8198)</f>
        <v>0</v>
      </c>
      <c r="C523" s="1">
        <v>9</v>
      </c>
    </row>
    <row r="524" spans="1:3" x14ac:dyDescent="0.3">
      <c r="A524" t="s">
        <v>523</v>
      </c>
      <c r="B524">
        <f>0*(1-0.8198)</f>
        <v>0</v>
      </c>
      <c r="C524" s="1">
        <v>10</v>
      </c>
    </row>
    <row r="525" spans="1:3" x14ac:dyDescent="0.3">
      <c r="A525" t="s">
        <v>524</v>
      </c>
      <c r="B525">
        <f>0*(1-0.8198)</f>
        <v>0</v>
      </c>
      <c r="C525" s="1">
        <v>11</v>
      </c>
    </row>
    <row r="526" spans="1:3" x14ac:dyDescent="0.3">
      <c r="A526" t="s">
        <v>525</v>
      </c>
      <c r="B526">
        <f>0*(1-0.8198)</f>
        <v>0</v>
      </c>
      <c r="C526" s="1">
        <v>11</v>
      </c>
    </row>
    <row r="527" spans="1:3" x14ac:dyDescent="0.3">
      <c r="A527" t="s">
        <v>526</v>
      </c>
      <c r="B527">
        <f>0*(1-0.8198)</f>
        <v>0</v>
      </c>
      <c r="C527" s="1">
        <v>7</v>
      </c>
    </row>
    <row r="528" spans="1:3" x14ac:dyDescent="0.3">
      <c r="A528" t="s">
        <v>527</v>
      </c>
      <c r="B528">
        <f>0*(1-0.8198)</f>
        <v>0</v>
      </c>
      <c r="C528" s="1">
        <v>7</v>
      </c>
    </row>
    <row r="529" spans="1:3" x14ac:dyDescent="0.3">
      <c r="A529" t="s">
        <v>528</v>
      </c>
      <c r="B529">
        <f>0*(1-0.8198)</f>
        <v>0</v>
      </c>
      <c r="C529" s="1">
        <v>6</v>
      </c>
    </row>
    <row r="530" spans="1:3" x14ac:dyDescent="0.3">
      <c r="A530" t="s">
        <v>529</v>
      </c>
      <c r="B530">
        <f>0*(1-0.8198)</f>
        <v>0</v>
      </c>
      <c r="C530" s="1">
        <v>4</v>
      </c>
    </row>
    <row r="531" spans="1:3" x14ac:dyDescent="0.3">
      <c r="A531" t="s">
        <v>530</v>
      </c>
      <c r="B531">
        <f>0*(1-0.8198)</f>
        <v>0</v>
      </c>
      <c r="C531" s="1">
        <v>5</v>
      </c>
    </row>
    <row r="532" spans="1:3" x14ac:dyDescent="0.3">
      <c r="A532" t="s">
        <v>531</v>
      </c>
      <c r="B532">
        <f>0*(1-0.8198)</f>
        <v>0</v>
      </c>
      <c r="C532" s="1">
        <v>4</v>
      </c>
    </row>
    <row r="533" spans="1:3" x14ac:dyDescent="0.3">
      <c r="A533" t="s">
        <v>532</v>
      </c>
      <c r="B533">
        <f>0*(1-0.8198)</f>
        <v>0</v>
      </c>
      <c r="C533" s="1">
        <v>5</v>
      </c>
    </row>
    <row r="534" spans="1:3" x14ac:dyDescent="0.3">
      <c r="A534" t="s">
        <v>533</v>
      </c>
      <c r="B534">
        <f>0*(1-0.8198)</f>
        <v>0</v>
      </c>
      <c r="C534" s="1">
        <v>4</v>
      </c>
    </row>
    <row r="535" spans="1:3" x14ac:dyDescent="0.3">
      <c r="A535" t="s">
        <v>534</v>
      </c>
      <c r="B535">
        <f>0*(1-0.8198)</f>
        <v>0</v>
      </c>
      <c r="C535" s="1">
        <v>4</v>
      </c>
    </row>
    <row r="536" spans="1:3" x14ac:dyDescent="0.3">
      <c r="A536" t="s">
        <v>535</v>
      </c>
      <c r="B536">
        <f>0*(1-0.8198)</f>
        <v>0</v>
      </c>
      <c r="C536" s="1">
        <v>5</v>
      </c>
    </row>
    <row r="537" spans="1:3" x14ac:dyDescent="0.3">
      <c r="A537" t="s">
        <v>536</v>
      </c>
      <c r="B537">
        <f>0*(1-0.8198)</f>
        <v>0</v>
      </c>
      <c r="C537" s="1">
        <v>10</v>
      </c>
    </row>
    <row r="538" spans="1:3" x14ac:dyDescent="0.3">
      <c r="A538" t="s">
        <v>537</v>
      </c>
      <c r="B538">
        <f>9.98661006571429*(1-0.8198)</f>
        <v>1.7995871338417146</v>
      </c>
      <c r="C538" s="1">
        <v>12</v>
      </c>
    </row>
    <row r="539" spans="1:3" x14ac:dyDescent="0.3">
      <c r="A539" t="s">
        <v>538</v>
      </c>
      <c r="B539">
        <f>20.5797311385714*(1-0.8198)</f>
        <v>3.708467551170572</v>
      </c>
      <c r="C539" s="1">
        <v>17</v>
      </c>
    </row>
    <row r="540" spans="1:3" x14ac:dyDescent="0.3">
      <c r="A540" t="s">
        <v>539</v>
      </c>
      <c r="B540">
        <f>32.3328051614286*(1-0.8198)</f>
        <v>5.8263714900894303</v>
      </c>
      <c r="C540" s="1">
        <v>16</v>
      </c>
    </row>
    <row r="541" spans="1:3" x14ac:dyDescent="0.3">
      <c r="A541" t="s">
        <v>540</v>
      </c>
      <c r="B541">
        <f>36.9495436528572*(1-0.8198)</f>
        <v>6.6583077662448593</v>
      </c>
      <c r="C541" s="1">
        <v>23</v>
      </c>
    </row>
    <row r="542" spans="1:3" x14ac:dyDescent="0.3">
      <c r="A542" t="s">
        <v>541</v>
      </c>
      <c r="B542">
        <f>36.77909196*(1-0.8198)</f>
        <v>6.6275923711920015</v>
      </c>
      <c r="C542" s="1">
        <v>17</v>
      </c>
    </row>
    <row r="543" spans="1:3" x14ac:dyDescent="0.3">
      <c r="A543" t="s">
        <v>542</v>
      </c>
      <c r="B543">
        <f>32.7275864414286*(1-0.8198)</f>
        <v>5.8975110767454302</v>
      </c>
      <c r="C543" s="1">
        <v>16</v>
      </c>
    </row>
    <row r="544" spans="1:3" x14ac:dyDescent="0.3">
      <c r="A544" t="s">
        <v>543</v>
      </c>
      <c r="B544">
        <f>24.3851859885714*(1-0.8198)</f>
        <v>4.3942105151405721</v>
      </c>
      <c r="C544" s="1">
        <v>14</v>
      </c>
    </row>
    <row r="545" spans="1:3" x14ac:dyDescent="0.3">
      <c r="A545" t="s">
        <v>544</v>
      </c>
      <c r="B545">
        <f>15.9224877528571*(1-0.8198)</f>
        <v>2.8692322930648579</v>
      </c>
      <c r="C545" s="1">
        <v>13</v>
      </c>
    </row>
    <row r="546" spans="1:3" x14ac:dyDescent="0.3">
      <c r="A546" t="s">
        <v>545</v>
      </c>
      <c r="B546">
        <f>4.03979459142857*(1-0.8198)</f>
        <v>0.7279709853754287</v>
      </c>
      <c r="C546" s="1">
        <v>11</v>
      </c>
    </row>
    <row r="547" spans="1:3" x14ac:dyDescent="0.3">
      <c r="A547" t="s">
        <v>546</v>
      </c>
      <c r="B547">
        <f>0*(1-0.8198)</f>
        <v>0</v>
      </c>
      <c r="C547" s="1">
        <v>9</v>
      </c>
    </row>
    <row r="548" spans="1:3" x14ac:dyDescent="0.3">
      <c r="A548" t="s">
        <v>547</v>
      </c>
      <c r="B548">
        <f>0*(1-0.8198)</f>
        <v>0</v>
      </c>
      <c r="C548" s="1">
        <v>8</v>
      </c>
    </row>
    <row r="549" spans="1:3" x14ac:dyDescent="0.3">
      <c r="A549" t="s">
        <v>548</v>
      </c>
      <c r="B549">
        <f>0*(1-0.8198)</f>
        <v>0</v>
      </c>
      <c r="C549" s="1">
        <v>10</v>
      </c>
    </row>
    <row r="550" spans="1:3" x14ac:dyDescent="0.3">
      <c r="A550" t="s">
        <v>549</v>
      </c>
      <c r="B550">
        <f>0*(1-0.8198)</f>
        <v>0</v>
      </c>
      <c r="C550" s="1">
        <v>8</v>
      </c>
    </row>
    <row r="551" spans="1:3" x14ac:dyDescent="0.3">
      <c r="A551" t="s">
        <v>550</v>
      </c>
      <c r="B551">
        <f>0*(1-0.8198)</f>
        <v>0</v>
      </c>
      <c r="C551" s="1">
        <v>7</v>
      </c>
    </row>
    <row r="552" spans="1:3" x14ac:dyDescent="0.3">
      <c r="A552" t="s">
        <v>551</v>
      </c>
      <c r="B552">
        <f>0*(1-0.8198)</f>
        <v>0</v>
      </c>
      <c r="C552" s="1">
        <v>7</v>
      </c>
    </row>
    <row r="553" spans="1:3" x14ac:dyDescent="0.3">
      <c r="A553" t="s">
        <v>552</v>
      </c>
      <c r="B553">
        <f>0*(1-0.8198)</f>
        <v>0</v>
      </c>
      <c r="C553" s="1">
        <v>6</v>
      </c>
    </row>
    <row r="554" spans="1:3" x14ac:dyDescent="0.3">
      <c r="A554" t="s">
        <v>553</v>
      </c>
      <c r="B554">
        <f>0*(1-0.8198)</f>
        <v>0</v>
      </c>
      <c r="C554" s="1">
        <v>5</v>
      </c>
    </row>
    <row r="555" spans="1:3" x14ac:dyDescent="0.3">
      <c r="A555" t="s">
        <v>554</v>
      </c>
      <c r="B555">
        <f>0*(1-0.8198)</f>
        <v>0</v>
      </c>
      <c r="C555" s="1">
        <v>4</v>
      </c>
    </row>
    <row r="556" spans="1:3" x14ac:dyDescent="0.3">
      <c r="A556" t="s">
        <v>555</v>
      </c>
      <c r="B556">
        <f>0*(1-0.8198)</f>
        <v>0</v>
      </c>
      <c r="C556" s="1">
        <v>4</v>
      </c>
    </row>
    <row r="557" spans="1:3" x14ac:dyDescent="0.3">
      <c r="A557" t="s">
        <v>556</v>
      </c>
      <c r="B557">
        <f>0*(1-0.8198)</f>
        <v>0</v>
      </c>
      <c r="C557" s="1">
        <v>5</v>
      </c>
    </row>
    <row r="558" spans="1:3" x14ac:dyDescent="0.3">
      <c r="A558" t="s">
        <v>557</v>
      </c>
      <c r="B558">
        <f>0*(1-0.8198)</f>
        <v>0</v>
      </c>
      <c r="C558" s="1">
        <v>4</v>
      </c>
    </row>
    <row r="559" spans="1:3" x14ac:dyDescent="0.3">
      <c r="A559" t="s">
        <v>558</v>
      </c>
      <c r="B559">
        <f>0*(1-0.8198)</f>
        <v>0</v>
      </c>
      <c r="C559" s="1">
        <v>5</v>
      </c>
    </row>
    <row r="560" spans="1:3" x14ac:dyDescent="0.3">
      <c r="A560" t="s">
        <v>559</v>
      </c>
      <c r="B560">
        <f>0*(1-0.8198)</f>
        <v>0</v>
      </c>
      <c r="C560" s="1">
        <v>4</v>
      </c>
    </row>
    <row r="561" spans="1:3" x14ac:dyDescent="0.3">
      <c r="A561" t="s">
        <v>560</v>
      </c>
      <c r="B561">
        <f>0*(1-0.8198)</f>
        <v>0</v>
      </c>
      <c r="C561" s="1">
        <v>12</v>
      </c>
    </row>
    <row r="562" spans="1:3" x14ac:dyDescent="0.3">
      <c r="A562" t="s">
        <v>561</v>
      </c>
      <c r="B562">
        <f>4.51994702714286*(1-0.8198)</f>
        <v>0.81449445429114331</v>
      </c>
      <c r="C562" s="1">
        <v>16</v>
      </c>
    </row>
    <row r="563" spans="1:3" x14ac:dyDescent="0.3">
      <c r="A563" t="s">
        <v>562</v>
      </c>
      <c r="B563">
        <f>12.2111336728571*(1-0.8198)</f>
        <v>2.2004462878488575</v>
      </c>
      <c r="C563" s="1">
        <v>16</v>
      </c>
    </row>
    <row r="564" spans="1:3" x14ac:dyDescent="0.3">
      <c r="A564" t="s">
        <v>563</v>
      </c>
      <c r="B564">
        <f>10.8380214914286*(1-0.8198)</f>
        <v>1.9530114727554289</v>
      </c>
      <c r="C564" s="1">
        <v>16</v>
      </c>
    </row>
    <row r="565" spans="1:3" x14ac:dyDescent="0.3">
      <c r="A565" t="s">
        <v>564</v>
      </c>
      <c r="B565">
        <f>5.8996*(1-0.8198)</f>
        <v>1.06310792</v>
      </c>
      <c r="C565" s="1">
        <v>19</v>
      </c>
    </row>
    <row r="566" spans="1:3" x14ac:dyDescent="0.3">
      <c r="A566" t="s">
        <v>565</v>
      </c>
      <c r="B566">
        <f>13.5290322571429*(1-0.8198)</f>
        <v>2.4379316127371431</v>
      </c>
      <c r="C566" s="1">
        <v>16</v>
      </c>
    </row>
    <row r="567" spans="1:3" x14ac:dyDescent="0.3">
      <c r="A567" t="s">
        <v>566</v>
      </c>
      <c r="B567">
        <f>9.22178*(1-0.8198)</f>
        <v>1.6617647560000004</v>
      </c>
      <c r="C567" s="1">
        <v>17</v>
      </c>
    </row>
    <row r="568" spans="1:3" x14ac:dyDescent="0.3">
      <c r="A568" t="s">
        <v>567</v>
      </c>
      <c r="B568">
        <f>4.63024*(1-0.8198)</f>
        <v>0.83436924800000023</v>
      </c>
      <c r="C568" s="1">
        <v>14</v>
      </c>
    </row>
    <row r="569" spans="1:3" x14ac:dyDescent="0.3">
      <c r="A569" t="s">
        <v>568</v>
      </c>
      <c r="B569">
        <f>6.51201638142857*(1-0.8198)</f>
        <v>1.173465351933429</v>
      </c>
      <c r="C569" s="1">
        <v>11</v>
      </c>
    </row>
    <row r="570" spans="1:3" x14ac:dyDescent="0.3">
      <c r="A570" t="s">
        <v>569</v>
      </c>
      <c r="B570">
        <f>1.69227581142857*(1-0.8198)</f>
        <v>0.30494810121942867</v>
      </c>
      <c r="C570" s="1">
        <v>11</v>
      </c>
    </row>
    <row r="571" spans="1:3" x14ac:dyDescent="0.3">
      <c r="A571" t="s">
        <v>570</v>
      </c>
      <c r="B571">
        <f>0*(1-0.8198)</f>
        <v>0</v>
      </c>
      <c r="C571" s="1">
        <v>8</v>
      </c>
    </row>
    <row r="572" spans="1:3" x14ac:dyDescent="0.3">
      <c r="A572" t="s">
        <v>571</v>
      </c>
      <c r="B572">
        <f>0*(1-0.8198)</f>
        <v>0</v>
      </c>
      <c r="C572" s="1">
        <v>7</v>
      </c>
    </row>
    <row r="573" spans="1:3" x14ac:dyDescent="0.3">
      <c r="A573" t="s">
        <v>572</v>
      </c>
      <c r="B573">
        <f>0*(1-0.8198)</f>
        <v>0</v>
      </c>
      <c r="C573" s="1">
        <v>10</v>
      </c>
    </row>
    <row r="574" spans="1:3" x14ac:dyDescent="0.3">
      <c r="A574" t="s">
        <v>573</v>
      </c>
      <c r="B574">
        <f>0*(1-0.8198)</f>
        <v>0</v>
      </c>
      <c r="C574" s="1">
        <v>10</v>
      </c>
    </row>
    <row r="575" spans="1:3" x14ac:dyDescent="0.3">
      <c r="A575" t="s">
        <v>574</v>
      </c>
      <c r="B575">
        <f>0*(1-0.8198)</f>
        <v>0</v>
      </c>
      <c r="C575" s="1">
        <v>6</v>
      </c>
    </row>
    <row r="576" spans="1:3" x14ac:dyDescent="0.3">
      <c r="A576" t="s">
        <v>575</v>
      </c>
      <c r="B576">
        <f>0*(1-0.8198)</f>
        <v>0</v>
      </c>
      <c r="C576" s="1">
        <v>6</v>
      </c>
    </row>
    <row r="577" spans="1:3" x14ac:dyDescent="0.3">
      <c r="A577" t="s">
        <v>576</v>
      </c>
      <c r="B577">
        <f>0*(1-0.8198)</f>
        <v>0</v>
      </c>
      <c r="C577" s="1">
        <v>6</v>
      </c>
    </row>
    <row r="578" spans="1:3" x14ac:dyDescent="0.3">
      <c r="A578" t="s">
        <v>577</v>
      </c>
      <c r="B578">
        <f>0*(1-0.8198)</f>
        <v>0</v>
      </c>
      <c r="C578" s="1">
        <v>5</v>
      </c>
    </row>
    <row r="579" spans="1:3" x14ac:dyDescent="0.3">
      <c r="A579" t="s">
        <v>578</v>
      </c>
      <c r="B579">
        <f>0*(1-0.8198)</f>
        <v>0</v>
      </c>
      <c r="C579" s="1">
        <v>4</v>
      </c>
    </row>
    <row r="580" spans="1:3" x14ac:dyDescent="0.3">
      <c r="A580" t="s">
        <v>579</v>
      </c>
      <c r="B580">
        <f>0*(1-0.8198)</f>
        <v>0</v>
      </c>
      <c r="C580" s="1">
        <v>5</v>
      </c>
    </row>
    <row r="581" spans="1:3" x14ac:dyDescent="0.3">
      <c r="A581" t="s">
        <v>580</v>
      </c>
      <c r="B581">
        <f>0*(1-0.8198)</f>
        <v>0</v>
      </c>
      <c r="C581" s="1">
        <v>4</v>
      </c>
    </row>
    <row r="582" spans="1:3" x14ac:dyDescent="0.3">
      <c r="A582" t="s">
        <v>581</v>
      </c>
      <c r="B582">
        <f>0*(1-0.8198)</f>
        <v>0</v>
      </c>
      <c r="C582" s="1">
        <v>4</v>
      </c>
    </row>
    <row r="583" spans="1:3" x14ac:dyDescent="0.3">
      <c r="A583" t="s">
        <v>582</v>
      </c>
      <c r="B583">
        <f>0*(1-0.8198)</f>
        <v>0</v>
      </c>
      <c r="C583" s="1">
        <v>5</v>
      </c>
    </row>
    <row r="584" spans="1:3" x14ac:dyDescent="0.3">
      <c r="A584" t="s">
        <v>583</v>
      </c>
      <c r="B584">
        <f>0*(1-0.8198)</f>
        <v>0</v>
      </c>
      <c r="C584" s="1">
        <v>4</v>
      </c>
    </row>
    <row r="585" spans="1:3" x14ac:dyDescent="0.3">
      <c r="A585" t="s">
        <v>584</v>
      </c>
      <c r="B585">
        <f>0*(1-0.8198)</f>
        <v>0</v>
      </c>
      <c r="C585" s="1">
        <v>11</v>
      </c>
    </row>
    <row r="586" spans="1:3" x14ac:dyDescent="0.3">
      <c r="A586" t="s">
        <v>585</v>
      </c>
      <c r="B586">
        <f>8.27367871285714*(1-0.8198)</f>
        <v>1.4909169040568577</v>
      </c>
      <c r="C586" s="1">
        <v>16</v>
      </c>
    </row>
    <row r="587" spans="1:3" x14ac:dyDescent="0.3">
      <c r="A587" t="s">
        <v>586</v>
      </c>
      <c r="B587">
        <f>20.5960199071429*(1-0.8198)</f>
        <v>3.711402787267144</v>
      </c>
      <c r="C587" s="1">
        <v>20</v>
      </c>
    </row>
    <row r="588" spans="1:3" x14ac:dyDescent="0.3">
      <c r="A588" t="s">
        <v>587</v>
      </c>
      <c r="B588">
        <f>31.6839836285714*(1-0.8198)</f>
        <v>5.7094538498685727</v>
      </c>
      <c r="C588" s="1">
        <v>20</v>
      </c>
    </row>
    <row r="589" spans="1:3" x14ac:dyDescent="0.3">
      <c r="A589" t="s">
        <v>588</v>
      </c>
      <c r="B589">
        <f>37.2691093942857*(1-0.8198)</f>
        <v>6.7158935128502879</v>
      </c>
      <c r="C589" s="1">
        <v>19</v>
      </c>
    </row>
    <row r="590" spans="1:3" x14ac:dyDescent="0.3">
      <c r="A590" t="s">
        <v>589</v>
      </c>
      <c r="B590">
        <f>37.7761847442857*(1-0.8198)</f>
        <v>6.8072684909202872</v>
      </c>
      <c r="C590" s="1">
        <v>17</v>
      </c>
    </row>
    <row r="591" spans="1:3" x14ac:dyDescent="0.3">
      <c r="A591" t="s">
        <v>590</v>
      </c>
      <c r="B591">
        <f>34.5905105785714*(1-0.8198)</f>
        <v>6.2332100062585729</v>
      </c>
      <c r="C591" s="1">
        <v>16</v>
      </c>
    </row>
    <row r="592" spans="1:3" x14ac:dyDescent="0.3">
      <c r="A592" t="s">
        <v>591</v>
      </c>
      <c r="B592">
        <f>26.8626773057143*(1-0.8198)</f>
        <v>4.8406544504897155</v>
      </c>
      <c r="C592" s="1">
        <v>14</v>
      </c>
    </row>
    <row r="593" spans="1:3" x14ac:dyDescent="0.3">
      <c r="A593" t="s">
        <v>592</v>
      </c>
      <c r="B593">
        <f>15.7820202671429*(1-0.8198)</f>
        <v>2.8439200521391439</v>
      </c>
      <c r="C593" s="1">
        <v>12</v>
      </c>
    </row>
    <row r="594" spans="1:3" x14ac:dyDescent="0.3">
      <c r="A594" t="s">
        <v>593</v>
      </c>
      <c r="B594">
        <f>4.30005104714286*(1-0.8198)</f>
        <v>0.77486919869514304</v>
      </c>
      <c r="C594" s="1">
        <v>11</v>
      </c>
    </row>
    <row r="595" spans="1:3" x14ac:dyDescent="0.3">
      <c r="A595" t="s">
        <v>594</v>
      </c>
      <c r="B595">
        <f>0*(1-0.8198)</f>
        <v>0</v>
      </c>
      <c r="C595" s="1">
        <v>9</v>
      </c>
    </row>
    <row r="596" spans="1:3" x14ac:dyDescent="0.3">
      <c r="A596" t="s">
        <v>595</v>
      </c>
      <c r="B596">
        <f>0*(1-0.8198)</f>
        <v>0</v>
      </c>
      <c r="C596" s="1">
        <v>8</v>
      </c>
    </row>
    <row r="597" spans="1:3" x14ac:dyDescent="0.3">
      <c r="A597" t="s">
        <v>596</v>
      </c>
      <c r="B597">
        <f>0*(1-0.8198)</f>
        <v>0</v>
      </c>
      <c r="C597" s="1">
        <v>11</v>
      </c>
    </row>
    <row r="598" spans="1:3" x14ac:dyDescent="0.3">
      <c r="A598" t="s">
        <v>597</v>
      </c>
      <c r="B598">
        <f>0*(1-0.8198)</f>
        <v>0</v>
      </c>
      <c r="C598" s="1">
        <v>7</v>
      </c>
    </row>
    <row r="599" spans="1:3" x14ac:dyDescent="0.3">
      <c r="A599" t="s">
        <v>598</v>
      </c>
      <c r="B599">
        <f>0*(1-0.8198)</f>
        <v>0</v>
      </c>
      <c r="C599" s="1">
        <v>7</v>
      </c>
    </row>
    <row r="600" spans="1:3" x14ac:dyDescent="0.3">
      <c r="A600" t="s">
        <v>599</v>
      </c>
      <c r="B600">
        <f>0*(1-0.8198)</f>
        <v>0</v>
      </c>
      <c r="C600" s="1">
        <v>7</v>
      </c>
    </row>
    <row r="601" spans="1:3" x14ac:dyDescent="0.3">
      <c r="A601" t="s">
        <v>600</v>
      </c>
      <c r="B601">
        <f>0*(1-0.8198)</f>
        <v>0</v>
      </c>
      <c r="C601" s="1">
        <v>6</v>
      </c>
    </row>
    <row r="602" spans="1:3" x14ac:dyDescent="0.3">
      <c r="A602" t="s">
        <v>601</v>
      </c>
      <c r="B602">
        <f>0*(1-0.8198)</f>
        <v>0</v>
      </c>
      <c r="C602" s="1">
        <v>4</v>
      </c>
    </row>
    <row r="603" spans="1:3" x14ac:dyDescent="0.3">
      <c r="A603" t="s">
        <v>602</v>
      </c>
      <c r="B603">
        <f>0*(1-0.8198)</f>
        <v>0</v>
      </c>
      <c r="C603" s="1">
        <v>5</v>
      </c>
    </row>
    <row r="604" spans="1:3" x14ac:dyDescent="0.3">
      <c r="A604" t="s">
        <v>603</v>
      </c>
      <c r="B604">
        <f>0*(1-0.8198)</f>
        <v>0</v>
      </c>
      <c r="C604" s="1">
        <v>4</v>
      </c>
    </row>
    <row r="605" spans="1:3" x14ac:dyDescent="0.3">
      <c r="A605" t="s">
        <v>604</v>
      </c>
      <c r="B605">
        <f>0*(1-0.8198)</f>
        <v>0</v>
      </c>
      <c r="C605" s="1">
        <v>4</v>
      </c>
    </row>
    <row r="606" spans="1:3" x14ac:dyDescent="0.3">
      <c r="A606" t="s">
        <v>605</v>
      </c>
      <c r="B606">
        <f>0*(1-0.8198)</f>
        <v>0</v>
      </c>
      <c r="C606" s="1">
        <v>5</v>
      </c>
    </row>
    <row r="607" spans="1:3" x14ac:dyDescent="0.3">
      <c r="A607" t="s">
        <v>606</v>
      </c>
      <c r="B607">
        <f>0*(1-0.8198)</f>
        <v>0</v>
      </c>
      <c r="C607" s="1">
        <v>4</v>
      </c>
    </row>
    <row r="608" spans="1:3" x14ac:dyDescent="0.3">
      <c r="A608" t="s">
        <v>607</v>
      </c>
      <c r="B608">
        <f>0*(1-0.8198)</f>
        <v>0</v>
      </c>
      <c r="C608" s="1">
        <v>4</v>
      </c>
    </row>
    <row r="609" spans="1:3" x14ac:dyDescent="0.3">
      <c r="A609" t="s">
        <v>608</v>
      </c>
      <c r="B609">
        <f>0*(1-0.8198)</f>
        <v>0</v>
      </c>
      <c r="C609" s="1">
        <v>10</v>
      </c>
    </row>
    <row r="610" spans="1:3" x14ac:dyDescent="0.3">
      <c r="A610" t="s">
        <v>609</v>
      </c>
      <c r="B610">
        <f>10.6982297814286*(1-0.8198)</f>
        <v>1.9278210066134285</v>
      </c>
      <c r="C610" s="1">
        <v>17</v>
      </c>
    </row>
    <row r="611" spans="1:3" x14ac:dyDescent="0.3">
      <c r="A611" t="s">
        <v>610</v>
      </c>
      <c r="B611">
        <f>22.44341441*(1-0.8198)</f>
        <v>4.0443032766820011</v>
      </c>
      <c r="C611" s="1">
        <v>17</v>
      </c>
    </row>
    <row r="612" spans="1:3" x14ac:dyDescent="0.3">
      <c r="A612" t="s">
        <v>611</v>
      </c>
      <c r="B612">
        <f>31.6141986214286*(1-0.8198)</f>
        <v>5.6968785915814291</v>
      </c>
      <c r="C612" s="1">
        <v>15</v>
      </c>
    </row>
    <row r="613" spans="1:3" x14ac:dyDescent="0.3">
      <c r="A613" t="s">
        <v>612</v>
      </c>
      <c r="B613">
        <f>37.1137371257143*(1-0.8198)</f>
        <v>6.6878954300537155</v>
      </c>
      <c r="C613" s="1">
        <v>19</v>
      </c>
    </row>
    <row r="614" spans="1:3" x14ac:dyDescent="0.3">
      <c r="A614" t="s">
        <v>613</v>
      </c>
      <c r="B614">
        <f>38.1165611342857*(1-0.8198)</f>
        <v>6.8686043163982875</v>
      </c>
      <c r="C614" s="1">
        <v>14</v>
      </c>
    </row>
    <row r="615" spans="1:3" x14ac:dyDescent="0.3">
      <c r="A615" t="s">
        <v>614</v>
      </c>
      <c r="B615">
        <f>35.0997722328571*(1-0.8198)</f>
        <v>6.3249789563608578</v>
      </c>
      <c r="C615" s="1">
        <v>15</v>
      </c>
    </row>
    <row r="616" spans="1:3" x14ac:dyDescent="0.3">
      <c r="A616" t="s">
        <v>615</v>
      </c>
      <c r="B616">
        <f>27.70897382*(1-0.8198)</f>
        <v>4.9931570823640001</v>
      </c>
      <c r="C616" s="1">
        <v>14</v>
      </c>
    </row>
    <row r="617" spans="1:3" x14ac:dyDescent="0.3">
      <c r="A617" t="s">
        <v>616</v>
      </c>
      <c r="B617">
        <f>15.4431106071429*(1-0.8198)</f>
        <v>2.7828485314071432</v>
      </c>
      <c r="C617" s="1">
        <v>11</v>
      </c>
    </row>
    <row r="618" spans="1:3" x14ac:dyDescent="0.3">
      <c r="A618" t="s">
        <v>617</v>
      </c>
      <c r="B618">
        <f>4.72550521*(1-0.8198)</f>
        <v>0.85153603884200024</v>
      </c>
      <c r="C618" s="1">
        <v>10</v>
      </c>
    </row>
    <row r="619" spans="1:3" x14ac:dyDescent="0.3">
      <c r="A619" t="s">
        <v>618</v>
      </c>
      <c r="B619">
        <f>0*(1-0.8198)</f>
        <v>0</v>
      </c>
      <c r="C619" s="1">
        <v>8</v>
      </c>
    </row>
    <row r="620" spans="1:3" x14ac:dyDescent="0.3">
      <c r="A620" t="s">
        <v>619</v>
      </c>
      <c r="B620">
        <f>0*(1-0.8198)</f>
        <v>0</v>
      </c>
      <c r="C620" s="1">
        <v>8</v>
      </c>
    </row>
    <row r="621" spans="1:3" x14ac:dyDescent="0.3">
      <c r="A621" t="s">
        <v>620</v>
      </c>
      <c r="B621">
        <f>0*(1-0.8198)</f>
        <v>0</v>
      </c>
      <c r="C621" s="1">
        <v>7</v>
      </c>
    </row>
    <row r="622" spans="1:3" x14ac:dyDescent="0.3">
      <c r="A622" t="s">
        <v>621</v>
      </c>
      <c r="B622">
        <f>0*(1-0.8198)</f>
        <v>0</v>
      </c>
      <c r="C622" s="1">
        <v>8</v>
      </c>
    </row>
    <row r="623" spans="1:3" x14ac:dyDescent="0.3">
      <c r="A623" t="s">
        <v>622</v>
      </c>
      <c r="B623">
        <f>0*(1-0.8198)</f>
        <v>0</v>
      </c>
      <c r="C623" s="1">
        <v>7</v>
      </c>
    </row>
    <row r="624" spans="1:3" x14ac:dyDescent="0.3">
      <c r="A624" t="s">
        <v>623</v>
      </c>
      <c r="B624">
        <f>0*(1-0.8198)</f>
        <v>0</v>
      </c>
      <c r="C624" s="1">
        <v>6</v>
      </c>
    </row>
    <row r="625" spans="1:3" x14ac:dyDescent="0.3">
      <c r="A625" t="s">
        <v>624</v>
      </c>
      <c r="B625">
        <f>0*(1-0.8198)</f>
        <v>0</v>
      </c>
      <c r="C625" s="1">
        <v>6</v>
      </c>
    </row>
    <row r="626" spans="1:3" x14ac:dyDescent="0.3">
      <c r="A626" t="s">
        <v>625</v>
      </c>
      <c r="B626">
        <f>0*(1-0.8198)</f>
        <v>0</v>
      </c>
      <c r="C626" s="1">
        <v>5</v>
      </c>
    </row>
    <row r="627" spans="1:3" x14ac:dyDescent="0.3">
      <c r="A627" t="s">
        <v>626</v>
      </c>
      <c r="B627">
        <f>0*(1-0.8198)</f>
        <v>0</v>
      </c>
      <c r="C627" s="1">
        <v>4</v>
      </c>
    </row>
    <row r="628" spans="1:3" x14ac:dyDescent="0.3">
      <c r="A628" t="s">
        <v>627</v>
      </c>
      <c r="B628">
        <f>0*(1-0.8198)</f>
        <v>0</v>
      </c>
      <c r="C628" s="1">
        <v>4</v>
      </c>
    </row>
    <row r="629" spans="1:3" x14ac:dyDescent="0.3">
      <c r="A629" t="s">
        <v>628</v>
      </c>
      <c r="B629">
        <f>0*(1-0.8198)</f>
        <v>0</v>
      </c>
      <c r="C629" s="1">
        <v>5</v>
      </c>
    </row>
    <row r="630" spans="1:3" x14ac:dyDescent="0.3">
      <c r="A630" t="s">
        <v>629</v>
      </c>
      <c r="B630">
        <f>0*(1-0.8198)</f>
        <v>0</v>
      </c>
      <c r="C630" s="1">
        <v>4</v>
      </c>
    </row>
    <row r="631" spans="1:3" x14ac:dyDescent="0.3">
      <c r="A631" t="s">
        <v>630</v>
      </c>
      <c r="B631">
        <f>0*(1-0.8198)</f>
        <v>0</v>
      </c>
      <c r="C631" s="1">
        <v>4</v>
      </c>
    </row>
    <row r="632" spans="1:3" x14ac:dyDescent="0.3">
      <c r="A632" t="s">
        <v>631</v>
      </c>
      <c r="B632">
        <f>0*(1-0.8198)</f>
        <v>0</v>
      </c>
      <c r="C632" s="1">
        <v>5</v>
      </c>
    </row>
    <row r="633" spans="1:3" x14ac:dyDescent="0.3">
      <c r="A633" t="s">
        <v>632</v>
      </c>
      <c r="B633">
        <f>0*(1-0.8198)</f>
        <v>0</v>
      </c>
      <c r="C633" s="1">
        <v>4</v>
      </c>
    </row>
    <row r="634" spans="1:3" x14ac:dyDescent="0.3">
      <c r="A634" t="s">
        <v>633</v>
      </c>
      <c r="B634">
        <f>10.8095088057143*(1-0.8198)</f>
        <v>1.9478734867897145</v>
      </c>
      <c r="C634" s="1">
        <v>5</v>
      </c>
    </row>
    <row r="635" spans="1:3" x14ac:dyDescent="0.3">
      <c r="A635" t="s">
        <v>634</v>
      </c>
      <c r="B635">
        <f>14.5303948185714*(1-0.8198)</f>
        <v>2.6183771463065719</v>
      </c>
      <c r="C635" s="1">
        <v>4</v>
      </c>
    </row>
    <row r="636" spans="1:3" x14ac:dyDescent="0.3">
      <c r="A636" t="s">
        <v>635</v>
      </c>
      <c r="B636">
        <f>25.3221430271429*(1-0.8198)</f>
        <v>4.5630501734911446</v>
      </c>
      <c r="C636" s="1">
        <v>4</v>
      </c>
    </row>
    <row r="637" spans="1:3" x14ac:dyDescent="0.3">
      <c r="A637" t="s">
        <v>636</v>
      </c>
      <c r="B637">
        <f>30.7461679414286*(1-0.8198)</f>
        <v>5.5404594630454307</v>
      </c>
      <c r="C637" s="1">
        <v>5</v>
      </c>
    </row>
    <row r="638" spans="1:3" x14ac:dyDescent="0.3">
      <c r="A638" t="s">
        <v>637</v>
      </c>
      <c r="B638">
        <f>37.6235725842857*(1-0.8198)</f>
        <v>6.7797677796882869</v>
      </c>
      <c r="C638" s="1">
        <v>4</v>
      </c>
    </row>
    <row r="639" spans="1:3" x14ac:dyDescent="0.3">
      <c r="A639" t="s">
        <v>638</v>
      </c>
      <c r="B639">
        <f>22.8614435171429*(1-0.8198)</f>
        <v>4.1196321217891443</v>
      </c>
      <c r="C639" s="1">
        <v>4</v>
      </c>
    </row>
    <row r="640" spans="1:3" x14ac:dyDescent="0.3">
      <c r="A640" t="s">
        <v>639</v>
      </c>
      <c r="B640">
        <f>20.16220464*(1-0.8198)</f>
        <v>3.6332292761280014</v>
      </c>
      <c r="C640" s="1">
        <v>5</v>
      </c>
    </row>
    <row r="641" spans="1:3" x14ac:dyDescent="0.3">
      <c r="A641" t="s">
        <v>640</v>
      </c>
      <c r="B641">
        <f>13.2857313157143*(1-0.8198)</f>
        <v>2.394088783091715</v>
      </c>
      <c r="C641" s="1">
        <v>4</v>
      </c>
    </row>
    <row r="642" spans="1:3" x14ac:dyDescent="0.3">
      <c r="A642" t="s">
        <v>641</v>
      </c>
      <c r="B642">
        <f>3.88417746857143*(1-0.8198)</f>
        <v>0.69992877983657154</v>
      </c>
      <c r="C642" s="1">
        <v>4</v>
      </c>
    </row>
    <row r="643" spans="1:3" x14ac:dyDescent="0.3">
      <c r="A643" t="s">
        <v>642</v>
      </c>
      <c r="B643">
        <f>0*(1-0.8198)</f>
        <v>0</v>
      </c>
      <c r="C643" s="1">
        <v>4</v>
      </c>
    </row>
    <row r="644" spans="1:3" x14ac:dyDescent="0.3">
      <c r="A644" t="s">
        <v>643</v>
      </c>
      <c r="B644">
        <f>0*(1-0.8198)</f>
        <v>0</v>
      </c>
      <c r="C644" s="1">
        <v>4</v>
      </c>
    </row>
    <row r="645" spans="1:3" x14ac:dyDescent="0.3">
      <c r="A645" t="s">
        <v>644</v>
      </c>
      <c r="B645">
        <f>0*(1-0.8198)</f>
        <v>0</v>
      </c>
      <c r="C645" s="1">
        <v>5</v>
      </c>
    </row>
    <row r="646" spans="1:3" x14ac:dyDescent="0.3">
      <c r="A646" t="s">
        <v>645</v>
      </c>
      <c r="B646">
        <f>0*(1-0.8198)</f>
        <v>0</v>
      </c>
      <c r="C646" s="1">
        <v>4</v>
      </c>
    </row>
    <row r="647" spans="1:3" x14ac:dyDescent="0.3">
      <c r="A647" t="s">
        <v>646</v>
      </c>
      <c r="B647">
        <f>0*(1-0.8198)</f>
        <v>0</v>
      </c>
      <c r="C647" s="1">
        <v>4</v>
      </c>
    </row>
    <row r="648" spans="1:3" x14ac:dyDescent="0.3">
      <c r="A648" t="s">
        <v>647</v>
      </c>
      <c r="B648">
        <f>0*(1-0.8198)</f>
        <v>0</v>
      </c>
      <c r="C648" s="1">
        <v>4</v>
      </c>
    </row>
    <row r="649" spans="1:3" x14ac:dyDescent="0.3">
      <c r="A649" t="s">
        <v>648</v>
      </c>
      <c r="B649">
        <f>0*(1-0.8198)</f>
        <v>0</v>
      </c>
      <c r="C649" s="1">
        <v>5</v>
      </c>
    </row>
    <row r="650" spans="1:3" x14ac:dyDescent="0.3">
      <c r="A650" t="s">
        <v>649</v>
      </c>
      <c r="B650">
        <f>0*(1-0.8198)</f>
        <v>0</v>
      </c>
      <c r="C650" s="1">
        <v>4</v>
      </c>
    </row>
    <row r="651" spans="1:3" x14ac:dyDescent="0.3">
      <c r="A651" t="s">
        <v>650</v>
      </c>
      <c r="B651">
        <f>0*(1-0.8198)</f>
        <v>0</v>
      </c>
      <c r="C651" s="1">
        <v>4</v>
      </c>
    </row>
    <row r="652" spans="1:3" x14ac:dyDescent="0.3">
      <c r="A652" t="s">
        <v>651</v>
      </c>
      <c r="B652">
        <f>0*(1-0.8198)</f>
        <v>0</v>
      </c>
      <c r="C652" s="1">
        <v>4</v>
      </c>
    </row>
    <row r="653" spans="1:3" x14ac:dyDescent="0.3">
      <c r="A653" t="s">
        <v>652</v>
      </c>
      <c r="B653">
        <f>0*(1-0.8198)</f>
        <v>0</v>
      </c>
      <c r="C653" s="1">
        <v>5</v>
      </c>
    </row>
    <row r="654" spans="1:3" x14ac:dyDescent="0.3">
      <c r="A654" t="s">
        <v>653</v>
      </c>
      <c r="B654">
        <f>0*(1-0.8198)</f>
        <v>0</v>
      </c>
      <c r="C654" s="1">
        <v>4</v>
      </c>
    </row>
    <row r="655" spans="1:3" x14ac:dyDescent="0.3">
      <c r="A655" t="s">
        <v>654</v>
      </c>
      <c r="B655">
        <f>0*(1-0.8198)</f>
        <v>0</v>
      </c>
      <c r="C655" s="1">
        <v>5</v>
      </c>
    </row>
    <row r="656" spans="1:3" x14ac:dyDescent="0.3">
      <c r="A656" t="s">
        <v>655</v>
      </c>
      <c r="B656">
        <f>0*(1-0.8198)</f>
        <v>0</v>
      </c>
      <c r="C656" s="1">
        <v>4</v>
      </c>
    </row>
    <row r="657" spans="1:3" x14ac:dyDescent="0.3">
      <c r="A657" t="s">
        <v>656</v>
      </c>
      <c r="B657">
        <f>0*(1-0.8198)</f>
        <v>0</v>
      </c>
      <c r="C657" s="1">
        <v>4</v>
      </c>
    </row>
    <row r="658" spans="1:3" x14ac:dyDescent="0.3">
      <c r="A658" t="s">
        <v>657</v>
      </c>
      <c r="B658">
        <f>6.62411529285714*(1-0.8198)</f>
        <v>1.1936655757728574</v>
      </c>
      <c r="C658" s="1">
        <v>4</v>
      </c>
    </row>
    <row r="659" spans="1:3" x14ac:dyDescent="0.3">
      <c r="A659" t="s">
        <v>658</v>
      </c>
      <c r="B659">
        <f>12.0782482542857*(1-0.8198)</f>
        <v>2.1765003354222863</v>
      </c>
      <c r="C659" s="1">
        <v>5</v>
      </c>
    </row>
    <row r="660" spans="1:3" x14ac:dyDescent="0.3">
      <c r="A660" t="s">
        <v>659</v>
      </c>
      <c r="B660">
        <f>25.2306236085714*(1-0.8198)</f>
        <v>4.5465583742645723</v>
      </c>
      <c r="C660" s="1">
        <v>4</v>
      </c>
    </row>
    <row r="661" spans="1:3" x14ac:dyDescent="0.3">
      <c r="A661" t="s">
        <v>660</v>
      </c>
      <c r="B661">
        <f>35.0238266157143*(1-0.8198)</f>
        <v>6.3112935561517149</v>
      </c>
      <c r="C661" s="1">
        <v>4</v>
      </c>
    </row>
    <row r="662" spans="1:3" x14ac:dyDescent="0.3">
      <c r="A662" t="s">
        <v>661</v>
      </c>
      <c r="B662">
        <f>30.3136627614286*(1-0.8198)</f>
        <v>5.4625220296094295</v>
      </c>
      <c r="C662" s="1">
        <v>5</v>
      </c>
    </row>
    <row r="663" spans="1:3" x14ac:dyDescent="0.3">
      <c r="A663" t="s">
        <v>662</v>
      </c>
      <c r="B663">
        <f>28.3260541042857*(1-0.8198)</f>
        <v>5.1043549495922864</v>
      </c>
      <c r="C663" s="1">
        <v>4</v>
      </c>
    </row>
    <row r="664" spans="1:3" x14ac:dyDescent="0.3">
      <c r="A664" t="s">
        <v>663</v>
      </c>
      <c r="B664">
        <f>13.0432631614286*(1-0.8198)</f>
        <v>2.3503960216894293</v>
      </c>
      <c r="C664" s="1">
        <v>4</v>
      </c>
    </row>
    <row r="665" spans="1:3" x14ac:dyDescent="0.3">
      <c r="A665" t="s">
        <v>664</v>
      </c>
      <c r="B665">
        <f>7.31486575714286*(1-0.8198)</f>
        <v>1.3181388094371429</v>
      </c>
      <c r="C665" s="1">
        <v>5</v>
      </c>
    </row>
    <row r="666" spans="1:3" x14ac:dyDescent="0.3">
      <c r="A666" t="s">
        <v>665</v>
      </c>
      <c r="B666">
        <f>2.02725250714286*(1-0.8198)</f>
        <v>0.36531090178714293</v>
      </c>
      <c r="C666" s="1">
        <v>4</v>
      </c>
    </row>
    <row r="667" spans="1:3" x14ac:dyDescent="0.3">
      <c r="A667" t="s">
        <v>666</v>
      </c>
      <c r="B667">
        <f>0*(1-0.8198)</f>
        <v>0</v>
      </c>
      <c r="C667" s="1">
        <v>4</v>
      </c>
    </row>
    <row r="668" spans="1:3" x14ac:dyDescent="0.3">
      <c r="A668" t="s">
        <v>667</v>
      </c>
      <c r="B668">
        <f>0*(1-0.8198)</f>
        <v>0</v>
      </c>
      <c r="C668" s="1">
        <v>4</v>
      </c>
    </row>
    <row r="669" spans="1:3" x14ac:dyDescent="0.3">
      <c r="A669" t="s">
        <v>668</v>
      </c>
      <c r="B669">
        <f>0*(1-0.8198)</f>
        <v>0</v>
      </c>
      <c r="C669" s="1">
        <v>5</v>
      </c>
    </row>
    <row r="670" spans="1:3" x14ac:dyDescent="0.3">
      <c r="A670" t="s">
        <v>669</v>
      </c>
      <c r="B670">
        <f>0*(1-0.8198)</f>
        <v>0</v>
      </c>
      <c r="C670" s="1">
        <v>4</v>
      </c>
    </row>
    <row r="671" spans="1:3" x14ac:dyDescent="0.3">
      <c r="A671" t="s">
        <v>670</v>
      </c>
      <c r="B671">
        <f>0*(1-0.8198)</f>
        <v>0</v>
      </c>
      <c r="C671" s="1">
        <v>4</v>
      </c>
    </row>
    <row r="672" spans="1:3" x14ac:dyDescent="0.3">
      <c r="A672" t="s">
        <v>671</v>
      </c>
      <c r="B672">
        <f>0*(1-0.8198)</f>
        <v>0</v>
      </c>
      <c r="C672" s="1">
        <v>4</v>
      </c>
    </row>
    <row r="673" spans="1:3" x14ac:dyDescent="0.3">
      <c r="A673" t="s">
        <v>672</v>
      </c>
      <c r="B673">
        <f>0*(1-0.8198)</f>
        <v>0</v>
      </c>
      <c r="C673" s="1">
        <v>4</v>
      </c>
    </row>
    <row r="674" spans="1:3" x14ac:dyDescent="0.3">
      <c r="A674" t="s">
        <v>673</v>
      </c>
      <c r="B674">
        <f>0*(1-0.8198)</f>
        <v>0</v>
      </c>
      <c r="C674" s="1">
        <v>5</v>
      </c>
    </row>
    <row r="675" spans="1:3" x14ac:dyDescent="0.3">
      <c r="A675" t="s">
        <v>674</v>
      </c>
      <c r="B675">
        <f>0*(1-0.8198)</f>
        <v>0</v>
      </c>
      <c r="C675" s="1">
        <v>4</v>
      </c>
    </row>
    <row r="676" spans="1:3" x14ac:dyDescent="0.3">
      <c r="A676" t="s">
        <v>675</v>
      </c>
      <c r="B676">
        <f>0*(1-0.8198)</f>
        <v>0</v>
      </c>
      <c r="C676" s="1">
        <v>5</v>
      </c>
    </row>
    <row r="677" spans="1:3" x14ac:dyDescent="0.3">
      <c r="A677" t="s">
        <v>676</v>
      </c>
      <c r="B677">
        <f>0*(1-0.8198)</f>
        <v>0</v>
      </c>
      <c r="C677" s="1">
        <v>4</v>
      </c>
    </row>
    <row r="678" spans="1:3" x14ac:dyDescent="0.3">
      <c r="A678" t="s">
        <v>677</v>
      </c>
      <c r="B678">
        <f>0*(1-0.8198)</f>
        <v>0</v>
      </c>
      <c r="C678" s="1">
        <v>5</v>
      </c>
    </row>
    <row r="679" spans="1:3" x14ac:dyDescent="0.3">
      <c r="A679" t="s">
        <v>678</v>
      </c>
      <c r="B679">
        <f>0*(1-0.8198)</f>
        <v>0</v>
      </c>
      <c r="C679" s="1">
        <v>4</v>
      </c>
    </row>
    <row r="680" spans="1:3" x14ac:dyDescent="0.3">
      <c r="A680" t="s">
        <v>679</v>
      </c>
      <c r="B680">
        <f>0*(1-0.8198)</f>
        <v>0</v>
      </c>
      <c r="C680" s="1">
        <v>4</v>
      </c>
    </row>
    <row r="681" spans="1:3" x14ac:dyDescent="0.3">
      <c r="A681" t="s">
        <v>680</v>
      </c>
      <c r="B681">
        <f>0*(1-0.8198)</f>
        <v>0</v>
      </c>
      <c r="C681" s="1">
        <v>13</v>
      </c>
    </row>
    <row r="682" spans="1:3" x14ac:dyDescent="0.3">
      <c r="A682" t="s">
        <v>681</v>
      </c>
      <c r="B682">
        <f>8.39018573857143*(1-0.8198)</f>
        <v>1.511911470090572</v>
      </c>
      <c r="C682" s="1">
        <v>14</v>
      </c>
    </row>
    <row r="683" spans="1:3" x14ac:dyDescent="0.3">
      <c r="A683" t="s">
        <v>682</v>
      </c>
      <c r="B683">
        <f>23.0194196814286*(1-0.8198)</f>
        <v>4.1480994265934292</v>
      </c>
      <c r="C683" s="1">
        <v>16</v>
      </c>
    </row>
    <row r="684" spans="1:3" x14ac:dyDescent="0.3">
      <c r="A684" t="s">
        <v>683</v>
      </c>
      <c r="B684">
        <f>31.0314034657143*(1-0.8198)</f>
        <v>5.5918589045217137</v>
      </c>
      <c r="C684" s="1">
        <v>15</v>
      </c>
    </row>
    <row r="685" spans="1:3" x14ac:dyDescent="0.3">
      <c r="A685" t="s">
        <v>684</v>
      </c>
      <c r="B685">
        <f>38.5024099014286*(1-0.8198)</f>
        <v>6.93813426423743</v>
      </c>
      <c r="C685" s="1">
        <v>15</v>
      </c>
    </row>
    <row r="686" spans="1:3" x14ac:dyDescent="0.3">
      <c r="A686" t="s">
        <v>685</v>
      </c>
      <c r="B686">
        <f>39.1485603357143*(1-0.8198)</f>
        <v>7.0545705724957166</v>
      </c>
      <c r="C686" s="1">
        <v>17</v>
      </c>
    </row>
    <row r="687" spans="1:3" x14ac:dyDescent="0.3">
      <c r="A687" t="s">
        <v>686</v>
      </c>
      <c r="B687">
        <f>36.0508048914286*(1-0.8198)</f>
        <v>6.4963550414354305</v>
      </c>
      <c r="C687" s="1">
        <v>19</v>
      </c>
    </row>
    <row r="688" spans="1:3" x14ac:dyDescent="0.3">
      <c r="A688" t="s">
        <v>687</v>
      </c>
      <c r="B688">
        <f>28.49818593*(1-0.8198)</f>
        <v>5.1353731045860007</v>
      </c>
      <c r="C688" s="1">
        <v>16</v>
      </c>
    </row>
    <row r="689" spans="1:3" x14ac:dyDescent="0.3">
      <c r="A689" t="s">
        <v>688</v>
      </c>
      <c r="B689">
        <f>17.2628081342857*(1-0.8198)</f>
        <v>3.1107580257982868</v>
      </c>
      <c r="C689" s="1">
        <v>14</v>
      </c>
    </row>
    <row r="690" spans="1:3" x14ac:dyDescent="0.3">
      <c r="A690" t="s">
        <v>689</v>
      </c>
      <c r="B690">
        <f>5.14349801285714*(1-0.8198)</f>
        <v>0.92685834191685734</v>
      </c>
      <c r="C690" s="1">
        <v>11</v>
      </c>
    </row>
    <row r="691" spans="1:3" x14ac:dyDescent="0.3">
      <c r="A691" t="s">
        <v>690</v>
      </c>
      <c r="B691">
        <f>0*(1-0.8198)</f>
        <v>0</v>
      </c>
      <c r="C691" s="1">
        <v>10</v>
      </c>
    </row>
    <row r="692" spans="1:3" x14ac:dyDescent="0.3">
      <c r="A692" t="s">
        <v>691</v>
      </c>
      <c r="B692">
        <f>0*(1-0.8198)</f>
        <v>0</v>
      </c>
      <c r="C692" s="1">
        <v>9</v>
      </c>
    </row>
    <row r="693" spans="1:3" x14ac:dyDescent="0.3">
      <c r="A693" t="s">
        <v>692</v>
      </c>
      <c r="B693">
        <f>0*(1-0.8198)</f>
        <v>0</v>
      </c>
      <c r="C693" s="1">
        <v>11</v>
      </c>
    </row>
    <row r="694" spans="1:3" x14ac:dyDescent="0.3">
      <c r="A694" t="s">
        <v>693</v>
      </c>
      <c r="B694">
        <f>0*(1-0.8198)</f>
        <v>0</v>
      </c>
      <c r="C694" s="1">
        <v>10</v>
      </c>
    </row>
    <row r="695" spans="1:3" x14ac:dyDescent="0.3">
      <c r="A695" t="s">
        <v>694</v>
      </c>
      <c r="B695">
        <f>0*(1-0.8198)</f>
        <v>0</v>
      </c>
      <c r="C695" s="1">
        <v>7</v>
      </c>
    </row>
    <row r="696" spans="1:3" x14ac:dyDescent="0.3">
      <c r="A696" t="s">
        <v>695</v>
      </c>
      <c r="B696">
        <f>0*(1-0.8198)</f>
        <v>0</v>
      </c>
      <c r="C696" s="1">
        <v>7</v>
      </c>
    </row>
    <row r="697" spans="1:3" x14ac:dyDescent="0.3">
      <c r="A697" t="s">
        <v>696</v>
      </c>
      <c r="B697">
        <f>0*(1-0.8198)</f>
        <v>0</v>
      </c>
      <c r="C697" s="1">
        <v>6</v>
      </c>
    </row>
    <row r="698" spans="1:3" x14ac:dyDescent="0.3">
      <c r="A698" t="s">
        <v>697</v>
      </c>
      <c r="B698">
        <f>0*(1-0.8198)</f>
        <v>0</v>
      </c>
      <c r="C698" s="1">
        <v>4</v>
      </c>
    </row>
    <row r="699" spans="1:3" x14ac:dyDescent="0.3">
      <c r="A699" t="s">
        <v>698</v>
      </c>
      <c r="B699">
        <f>0*(1-0.8198)</f>
        <v>0</v>
      </c>
      <c r="C699" s="1">
        <v>5</v>
      </c>
    </row>
    <row r="700" spans="1:3" x14ac:dyDescent="0.3">
      <c r="A700" t="s">
        <v>699</v>
      </c>
      <c r="B700">
        <f>0*(1-0.8198)</f>
        <v>0</v>
      </c>
      <c r="C700" s="1">
        <v>4</v>
      </c>
    </row>
    <row r="701" spans="1:3" x14ac:dyDescent="0.3">
      <c r="A701" t="s">
        <v>700</v>
      </c>
      <c r="B701">
        <f>0*(1-0.8198)</f>
        <v>0</v>
      </c>
      <c r="C701" s="1">
        <v>4</v>
      </c>
    </row>
    <row r="702" spans="1:3" x14ac:dyDescent="0.3">
      <c r="A702" t="s">
        <v>701</v>
      </c>
      <c r="B702">
        <f>0*(1-0.8198)</f>
        <v>0</v>
      </c>
      <c r="C702" s="1">
        <v>5</v>
      </c>
    </row>
    <row r="703" spans="1:3" x14ac:dyDescent="0.3">
      <c r="A703" t="s">
        <v>702</v>
      </c>
      <c r="B703">
        <f>0*(1-0.8198)</f>
        <v>0</v>
      </c>
      <c r="C703" s="1">
        <v>4</v>
      </c>
    </row>
    <row r="704" spans="1:3" x14ac:dyDescent="0.3">
      <c r="A704" t="s">
        <v>703</v>
      </c>
      <c r="B704">
        <f>0*(1-0.8198)</f>
        <v>0</v>
      </c>
      <c r="C704" s="1">
        <v>5</v>
      </c>
    </row>
    <row r="705" spans="1:3" x14ac:dyDescent="0.3">
      <c r="A705" t="s">
        <v>704</v>
      </c>
      <c r="B705">
        <f>0*(1-0.8198)</f>
        <v>0</v>
      </c>
      <c r="C705" s="1">
        <v>12</v>
      </c>
    </row>
    <row r="706" spans="1:3" x14ac:dyDescent="0.3">
      <c r="A706" t="s">
        <v>705</v>
      </c>
      <c r="B706">
        <f>11.6427462814286*(1-0.8198)</f>
        <v>2.0980228799134291</v>
      </c>
      <c r="C706" s="1">
        <v>14</v>
      </c>
    </row>
    <row r="707" spans="1:3" x14ac:dyDescent="0.3">
      <c r="A707" t="s">
        <v>706</v>
      </c>
      <c r="B707">
        <f>23.9056084014286*(1-0.8198)</f>
        <v>4.3077906339374286</v>
      </c>
      <c r="C707" s="1">
        <v>18</v>
      </c>
    </row>
    <row r="708" spans="1:3" x14ac:dyDescent="0.3">
      <c r="A708" t="s">
        <v>707</v>
      </c>
      <c r="B708">
        <f>33.4586960914286*(1-0.8198)</f>
        <v>6.0292570356754309</v>
      </c>
      <c r="C708" s="1">
        <v>14</v>
      </c>
    </row>
    <row r="709" spans="1:3" x14ac:dyDescent="0.3">
      <c r="A709" t="s">
        <v>708</v>
      </c>
      <c r="B709">
        <f>39.6654054085714*(1-0.8198)</f>
        <v>7.1477060546245728</v>
      </c>
      <c r="C709" s="1">
        <v>14</v>
      </c>
    </row>
    <row r="710" spans="1:3" x14ac:dyDescent="0.3">
      <c r="A710" t="s">
        <v>709</v>
      </c>
      <c r="B710">
        <f>40.7778024471429*(1-0.8198)</f>
        <v>7.3481600009751444</v>
      </c>
      <c r="C710" s="1">
        <v>16</v>
      </c>
    </row>
    <row r="711" spans="1:3" x14ac:dyDescent="0.3">
      <c r="A711" t="s">
        <v>710</v>
      </c>
      <c r="B711">
        <f>37.6109792357143*(1-0.8198)</f>
        <v>6.7774984582757156</v>
      </c>
      <c r="C711" s="1">
        <v>15</v>
      </c>
    </row>
    <row r="712" spans="1:3" x14ac:dyDescent="0.3">
      <c r="A712" t="s">
        <v>711</v>
      </c>
      <c r="B712">
        <f>29.4911877557143*(1-0.8198)</f>
        <v>5.3143120335797152</v>
      </c>
      <c r="C712" s="1">
        <v>13</v>
      </c>
    </row>
    <row r="713" spans="1:3" x14ac:dyDescent="0.3">
      <c r="A713" t="s">
        <v>712</v>
      </c>
      <c r="B713">
        <f>15.3276121157143*(1-0.8198)</f>
        <v>2.7620357032517147</v>
      </c>
      <c r="C713" s="1">
        <v>11</v>
      </c>
    </row>
    <row r="714" spans="1:3" x14ac:dyDescent="0.3">
      <c r="A714" t="s">
        <v>713</v>
      </c>
      <c r="B714">
        <f>5.57390860142857*(1-0.8198)</f>
        <v>1.0044183299774287</v>
      </c>
      <c r="C714" s="1">
        <v>11</v>
      </c>
    </row>
    <row r="715" spans="1:3" x14ac:dyDescent="0.3">
      <c r="A715" t="s">
        <v>714</v>
      </c>
      <c r="B715">
        <f>0*(1-0.8198)</f>
        <v>0</v>
      </c>
      <c r="C715" s="1">
        <v>9</v>
      </c>
    </row>
    <row r="716" spans="1:3" x14ac:dyDescent="0.3">
      <c r="A716" t="s">
        <v>715</v>
      </c>
      <c r="B716">
        <f>0*(1-0.8198)</f>
        <v>0</v>
      </c>
      <c r="C716" s="1">
        <v>8</v>
      </c>
    </row>
    <row r="717" spans="1:3" x14ac:dyDescent="0.3">
      <c r="A717" t="s">
        <v>716</v>
      </c>
      <c r="B717">
        <f>0*(1-0.8198)</f>
        <v>0</v>
      </c>
      <c r="C717" s="1">
        <v>10</v>
      </c>
    </row>
    <row r="718" spans="1:3" x14ac:dyDescent="0.3">
      <c r="A718" t="s">
        <v>717</v>
      </c>
      <c r="B718">
        <f>0*(1-0.8198)</f>
        <v>0</v>
      </c>
      <c r="C718" s="1">
        <v>8</v>
      </c>
    </row>
    <row r="719" spans="1:3" x14ac:dyDescent="0.3">
      <c r="A719" t="s">
        <v>718</v>
      </c>
      <c r="B719">
        <f>0*(1-0.8198)</f>
        <v>0</v>
      </c>
      <c r="C719" s="1">
        <v>7</v>
      </c>
    </row>
    <row r="720" spans="1:3" x14ac:dyDescent="0.3">
      <c r="A720" t="s">
        <v>719</v>
      </c>
      <c r="B720">
        <f>0*(1-0.8198)</f>
        <v>0</v>
      </c>
      <c r="C720" s="1">
        <v>6</v>
      </c>
    </row>
    <row r="721" spans="1:3" x14ac:dyDescent="0.3">
      <c r="A721" t="s">
        <v>720</v>
      </c>
      <c r="B721">
        <f>0*(1-0.8198)</f>
        <v>0</v>
      </c>
      <c r="C721" s="1">
        <v>6</v>
      </c>
    </row>
    <row r="722" spans="1:3" x14ac:dyDescent="0.3">
      <c r="A722" t="s">
        <v>721</v>
      </c>
      <c r="B722">
        <f>0*(1-0.8198)</f>
        <v>0</v>
      </c>
      <c r="C722" s="1">
        <v>4</v>
      </c>
    </row>
    <row r="723" spans="1:3" x14ac:dyDescent="0.3">
      <c r="A723" t="s">
        <v>722</v>
      </c>
      <c r="B723">
        <f>0*(1-0.8198)</f>
        <v>0</v>
      </c>
      <c r="C723" s="1">
        <v>5</v>
      </c>
    </row>
    <row r="724" spans="1:3" x14ac:dyDescent="0.3">
      <c r="A724" t="s">
        <v>723</v>
      </c>
      <c r="B724">
        <f>0*(1-0.8198)</f>
        <v>0</v>
      </c>
      <c r="C724" s="1">
        <v>4</v>
      </c>
    </row>
    <row r="725" spans="1:3" x14ac:dyDescent="0.3">
      <c r="A725" t="s">
        <v>724</v>
      </c>
      <c r="B725">
        <f>0*(1-0.8198)</f>
        <v>0</v>
      </c>
      <c r="C725" s="1">
        <v>4</v>
      </c>
    </row>
    <row r="726" spans="1:3" x14ac:dyDescent="0.3">
      <c r="A726" t="s">
        <v>725</v>
      </c>
      <c r="B726">
        <f>0*(1-0.8198)</f>
        <v>0</v>
      </c>
      <c r="C726" s="1">
        <v>4</v>
      </c>
    </row>
    <row r="727" spans="1:3" x14ac:dyDescent="0.3">
      <c r="A727" t="s">
        <v>726</v>
      </c>
      <c r="B727">
        <f>0*(1-0.8198)</f>
        <v>0</v>
      </c>
      <c r="C727" s="1">
        <v>5</v>
      </c>
    </row>
    <row r="728" spans="1:3" x14ac:dyDescent="0.3">
      <c r="A728" t="s">
        <v>727</v>
      </c>
      <c r="B728">
        <f>0*(1-0.8198)</f>
        <v>0</v>
      </c>
      <c r="C728" s="1">
        <v>4</v>
      </c>
    </row>
    <row r="729" spans="1:3" x14ac:dyDescent="0.3">
      <c r="A729" t="s">
        <v>728</v>
      </c>
      <c r="B729">
        <f>0*(1-0.8198)</f>
        <v>0</v>
      </c>
      <c r="C729" s="1">
        <v>12</v>
      </c>
    </row>
    <row r="730" spans="1:3" x14ac:dyDescent="0.3">
      <c r="A730" t="s">
        <v>729</v>
      </c>
      <c r="B730">
        <f>11.7120292942857*(1-0.8198)</f>
        <v>2.1105076788302863</v>
      </c>
      <c r="C730" s="1">
        <v>17</v>
      </c>
    </row>
    <row r="731" spans="1:3" x14ac:dyDescent="0.3">
      <c r="A731" t="s">
        <v>730</v>
      </c>
      <c r="B731">
        <f>24.1075516971429*(1-0.8198)</f>
        <v>4.344180815825144</v>
      </c>
      <c r="C731" s="1">
        <v>21</v>
      </c>
    </row>
    <row r="732" spans="1:3" x14ac:dyDescent="0.3">
      <c r="A732" t="s">
        <v>731</v>
      </c>
      <c r="B732">
        <f>33.5145518628571*(1-0.8198)</f>
        <v>6.0393222456868587</v>
      </c>
      <c r="C732" s="1">
        <v>21</v>
      </c>
    </row>
    <row r="733" spans="1:3" x14ac:dyDescent="0.3">
      <c r="A733" t="s">
        <v>732</v>
      </c>
      <c r="B733">
        <f>38.5828148642857*(1-0.8198)</f>
        <v>6.9526232385442883</v>
      </c>
      <c r="C733" s="1">
        <v>23</v>
      </c>
    </row>
    <row r="734" spans="1:3" x14ac:dyDescent="0.3">
      <c r="A734" t="s">
        <v>733</v>
      </c>
      <c r="B734">
        <f>39.4220117714286*(1-0.8198)</f>
        <v>7.1038465212114286</v>
      </c>
      <c r="C734" s="1">
        <v>18</v>
      </c>
    </row>
    <row r="735" spans="1:3" x14ac:dyDescent="0.3">
      <c r="A735" t="s">
        <v>734</v>
      </c>
      <c r="B735">
        <f>36.6970923728571*(1-0.8198)</f>
        <v>6.6128160455888594</v>
      </c>
      <c r="C735" s="1">
        <v>16</v>
      </c>
    </row>
    <row r="736" spans="1:3" x14ac:dyDescent="0.3">
      <c r="A736" t="s">
        <v>735</v>
      </c>
      <c r="B736">
        <f>29.3026270428571*(1-0.8198)</f>
        <v>5.2803333931228584</v>
      </c>
      <c r="C736" s="1">
        <v>15</v>
      </c>
    </row>
    <row r="737" spans="1:3" x14ac:dyDescent="0.3">
      <c r="A737" t="s">
        <v>736</v>
      </c>
      <c r="B737">
        <f>18.0022363185714*(1-0.8198)</f>
        <v>3.2440029846065723</v>
      </c>
      <c r="C737" s="1">
        <v>10</v>
      </c>
    </row>
    <row r="738" spans="1:3" x14ac:dyDescent="0.3">
      <c r="A738" t="s">
        <v>737</v>
      </c>
      <c r="B738">
        <f>5.72000208428571*(1-0.8198)</f>
        <v>1.0307443755882859</v>
      </c>
      <c r="C738" s="1">
        <v>10</v>
      </c>
    </row>
    <row r="739" spans="1:3" x14ac:dyDescent="0.3">
      <c r="A739" t="s">
        <v>738</v>
      </c>
      <c r="B739">
        <f>0*(1-0.8198)</f>
        <v>0</v>
      </c>
      <c r="C739" s="1">
        <v>9</v>
      </c>
    </row>
    <row r="740" spans="1:3" x14ac:dyDescent="0.3">
      <c r="A740" t="s">
        <v>739</v>
      </c>
      <c r="B740">
        <f>0*(1-0.8198)</f>
        <v>0</v>
      </c>
      <c r="C740" s="1">
        <v>8</v>
      </c>
    </row>
    <row r="741" spans="1:3" x14ac:dyDescent="0.3">
      <c r="A741" t="s">
        <v>740</v>
      </c>
      <c r="B741">
        <f>0*(1-0.8198)</f>
        <v>0</v>
      </c>
      <c r="C741" s="1">
        <v>10</v>
      </c>
    </row>
    <row r="742" spans="1:3" x14ac:dyDescent="0.3">
      <c r="A742" t="s">
        <v>741</v>
      </c>
      <c r="B742">
        <f>0*(1-0.8198)</f>
        <v>0</v>
      </c>
      <c r="C742" s="1">
        <v>10</v>
      </c>
    </row>
    <row r="743" spans="1:3" x14ac:dyDescent="0.3">
      <c r="A743" t="s">
        <v>742</v>
      </c>
      <c r="B743">
        <f>0*(1-0.8198)</f>
        <v>0</v>
      </c>
      <c r="C743" s="1">
        <v>6</v>
      </c>
    </row>
    <row r="744" spans="1:3" x14ac:dyDescent="0.3">
      <c r="A744" t="s">
        <v>743</v>
      </c>
      <c r="B744">
        <f>0*(1-0.8198)</f>
        <v>0</v>
      </c>
      <c r="C744" s="1">
        <v>7</v>
      </c>
    </row>
    <row r="745" spans="1:3" x14ac:dyDescent="0.3">
      <c r="A745" t="s">
        <v>744</v>
      </c>
      <c r="B745">
        <f>0*(1-0.8198)</f>
        <v>0</v>
      </c>
      <c r="C745" s="1">
        <v>6</v>
      </c>
    </row>
    <row r="746" spans="1:3" x14ac:dyDescent="0.3">
      <c r="A746" t="s">
        <v>745</v>
      </c>
      <c r="B746">
        <f>0*(1-0.8198)</f>
        <v>0</v>
      </c>
      <c r="C746" s="1">
        <v>4</v>
      </c>
    </row>
    <row r="747" spans="1:3" x14ac:dyDescent="0.3">
      <c r="A747" t="s">
        <v>746</v>
      </c>
      <c r="B747">
        <f>0*(1-0.8198)</f>
        <v>0</v>
      </c>
      <c r="C747" s="1">
        <v>4</v>
      </c>
    </row>
    <row r="748" spans="1:3" x14ac:dyDescent="0.3">
      <c r="A748" t="s">
        <v>747</v>
      </c>
      <c r="B748">
        <f>0*(1-0.8198)</f>
        <v>0</v>
      </c>
      <c r="C748" s="1">
        <v>5</v>
      </c>
    </row>
    <row r="749" spans="1:3" x14ac:dyDescent="0.3">
      <c r="A749" t="s">
        <v>748</v>
      </c>
      <c r="B749">
        <f>0*(1-0.8198)</f>
        <v>0</v>
      </c>
      <c r="C749" s="1">
        <v>4</v>
      </c>
    </row>
    <row r="750" spans="1:3" x14ac:dyDescent="0.3">
      <c r="A750" t="s">
        <v>749</v>
      </c>
      <c r="B750">
        <f>0*(1-0.8198)</f>
        <v>0</v>
      </c>
      <c r="C750" s="1">
        <v>4</v>
      </c>
    </row>
    <row r="751" spans="1:3" x14ac:dyDescent="0.3">
      <c r="A751" t="s">
        <v>750</v>
      </c>
      <c r="B751">
        <f>0*(1-0.8198)</f>
        <v>0</v>
      </c>
      <c r="C751" s="1">
        <v>4</v>
      </c>
    </row>
    <row r="752" spans="1:3" x14ac:dyDescent="0.3">
      <c r="A752" t="s">
        <v>751</v>
      </c>
      <c r="B752">
        <f>0*(1-0.8198)</f>
        <v>0</v>
      </c>
      <c r="C752" s="1">
        <v>5</v>
      </c>
    </row>
    <row r="753" spans="1:3" x14ac:dyDescent="0.3">
      <c r="A753" t="s">
        <v>752</v>
      </c>
      <c r="B753">
        <f>0*(1-0.8198)</f>
        <v>0</v>
      </c>
      <c r="C753" s="1">
        <v>9</v>
      </c>
    </row>
    <row r="754" spans="1:3" x14ac:dyDescent="0.3">
      <c r="A754" t="s">
        <v>753</v>
      </c>
      <c r="B754">
        <f>11.2045752985714*(1-0.8198)</f>
        <v>2.0190644688025716</v>
      </c>
      <c r="C754" s="1">
        <v>16</v>
      </c>
    </row>
    <row r="755" spans="1:3" x14ac:dyDescent="0.3">
      <c r="A755" t="s">
        <v>754</v>
      </c>
      <c r="B755">
        <f>23.46240777*(1-0.8198)</f>
        <v>4.2279258801540021</v>
      </c>
      <c r="C755" s="1">
        <v>18</v>
      </c>
    </row>
    <row r="756" spans="1:3" x14ac:dyDescent="0.3">
      <c r="A756" t="s">
        <v>755</v>
      </c>
      <c r="B756">
        <f>32.6957069171429*(1-0.8198)</f>
        <v>5.8917663864691434</v>
      </c>
      <c r="C756" s="1">
        <v>18</v>
      </c>
    </row>
    <row r="757" spans="1:3" x14ac:dyDescent="0.3">
      <c r="A757" t="s">
        <v>756</v>
      </c>
      <c r="B757">
        <f>37.9118224085714*(1-0.8198)</f>
        <v>6.8317103980245717</v>
      </c>
      <c r="C757" s="1">
        <v>20</v>
      </c>
    </row>
    <row r="758" spans="1:3" x14ac:dyDescent="0.3">
      <c r="A758" t="s">
        <v>757</v>
      </c>
      <c r="B758">
        <f>38.7973149585714*(1-0.8198)</f>
        <v>6.9912761555345719</v>
      </c>
      <c r="C758" s="1">
        <v>15</v>
      </c>
    </row>
    <row r="759" spans="1:3" x14ac:dyDescent="0.3">
      <c r="A759" t="s">
        <v>758</v>
      </c>
      <c r="B759">
        <f>36.0244997642857*(1-0.8198)</f>
        <v>6.4916148575242865</v>
      </c>
      <c r="C759" s="1">
        <v>16</v>
      </c>
    </row>
    <row r="760" spans="1:3" x14ac:dyDescent="0.3">
      <c r="A760" t="s">
        <v>759</v>
      </c>
      <c r="B760">
        <f>28.6563648085714*(1-0.8198)</f>
        <v>5.1638769385045729</v>
      </c>
      <c r="C760" s="1">
        <v>14</v>
      </c>
    </row>
    <row r="761" spans="1:3" x14ac:dyDescent="0.3">
      <c r="A761" t="s">
        <v>760</v>
      </c>
      <c r="B761">
        <f>17.9943743828571*(1-0.8198)</f>
        <v>3.2425862637908582</v>
      </c>
      <c r="C761" s="1">
        <v>11</v>
      </c>
    </row>
    <row r="762" spans="1:3" x14ac:dyDescent="0.3">
      <c r="A762" t="s">
        <v>761</v>
      </c>
      <c r="B762">
        <f>5.82265985428571*(1-0.8198)</f>
        <v>1.0492433057422859</v>
      </c>
      <c r="C762" s="1">
        <v>11</v>
      </c>
    </row>
    <row r="763" spans="1:3" x14ac:dyDescent="0.3">
      <c r="A763" t="s">
        <v>762</v>
      </c>
      <c r="B763">
        <f>0*(1-0.8198)</f>
        <v>0</v>
      </c>
      <c r="C763" s="1">
        <v>9</v>
      </c>
    </row>
    <row r="764" spans="1:3" x14ac:dyDescent="0.3">
      <c r="A764" t="s">
        <v>763</v>
      </c>
      <c r="B764">
        <f>0*(1-0.8198)</f>
        <v>0</v>
      </c>
      <c r="C764" s="1">
        <v>8</v>
      </c>
    </row>
    <row r="765" spans="1:3" x14ac:dyDescent="0.3">
      <c r="A765" t="s">
        <v>764</v>
      </c>
      <c r="B765">
        <f>0*(1-0.8198)</f>
        <v>0</v>
      </c>
      <c r="C765" s="1">
        <v>11</v>
      </c>
    </row>
    <row r="766" spans="1:3" x14ac:dyDescent="0.3">
      <c r="A766" t="s">
        <v>765</v>
      </c>
      <c r="B766">
        <f>0*(1-0.8198)</f>
        <v>0</v>
      </c>
      <c r="C766" s="1">
        <v>8</v>
      </c>
    </row>
    <row r="767" spans="1:3" x14ac:dyDescent="0.3">
      <c r="A767" t="s">
        <v>766</v>
      </c>
      <c r="B767">
        <f>0*(1-0.8198)</f>
        <v>0</v>
      </c>
      <c r="C767" s="1">
        <v>8</v>
      </c>
    </row>
    <row r="768" spans="1:3" x14ac:dyDescent="0.3">
      <c r="A768" t="s">
        <v>767</v>
      </c>
      <c r="B768">
        <f>0*(1-0.8198)</f>
        <v>0</v>
      </c>
      <c r="C768" s="1">
        <v>7</v>
      </c>
    </row>
    <row r="769" spans="1:3" x14ac:dyDescent="0.3">
      <c r="A769" t="s">
        <v>768</v>
      </c>
      <c r="B769">
        <f>0*(1-0.8198)</f>
        <v>0</v>
      </c>
      <c r="C769" s="1">
        <v>6</v>
      </c>
    </row>
    <row r="770" spans="1:3" x14ac:dyDescent="0.3">
      <c r="A770" t="s">
        <v>769</v>
      </c>
      <c r="B770">
        <f>0*(1-0.8198)</f>
        <v>0</v>
      </c>
      <c r="C770" s="1">
        <v>4</v>
      </c>
    </row>
    <row r="771" spans="1:3" x14ac:dyDescent="0.3">
      <c r="A771" t="s">
        <v>770</v>
      </c>
      <c r="B771">
        <f>0*(1-0.8198)</f>
        <v>0</v>
      </c>
      <c r="C771" s="1">
        <v>5</v>
      </c>
    </row>
    <row r="772" spans="1:3" x14ac:dyDescent="0.3">
      <c r="A772" t="s">
        <v>771</v>
      </c>
      <c r="B772">
        <f>0*(1-0.8198)</f>
        <v>0</v>
      </c>
      <c r="C772" s="1">
        <v>4</v>
      </c>
    </row>
    <row r="773" spans="1:3" x14ac:dyDescent="0.3">
      <c r="A773" t="s">
        <v>772</v>
      </c>
      <c r="B773">
        <f>0*(1-0.8198)</f>
        <v>0</v>
      </c>
      <c r="C773" s="1">
        <v>4</v>
      </c>
    </row>
    <row r="774" spans="1:3" x14ac:dyDescent="0.3">
      <c r="A774" t="s">
        <v>773</v>
      </c>
      <c r="B774">
        <f>0*(1-0.8198)</f>
        <v>0</v>
      </c>
      <c r="C774" s="1">
        <v>5</v>
      </c>
    </row>
    <row r="775" spans="1:3" x14ac:dyDescent="0.3">
      <c r="A775" t="s">
        <v>774</v>
      </c>
      <c r="B775">
        <f>0*(1-0.8198)</f>
        <v>0</v>
      </c>
      <c r="C775" s="1">
        <v>4</v>
      </c>
    </row>
    <row r="776" spans="1:3" x14ac:dyDescent="0.3">
      <c r="A776" t="s">
        <v>775</v>
      </c>
      <c r="B776">
        <f>0*(1-0.8198)</f>
        <v>0</v>
      </c>
      <c r="C776" s="1">
        <v>4</v>
      </c>
    </row>
    <row r="777" spans="1:3" x14ac:dyDescent="0.3">
      <c r="A777" t="s">
        <v>776</v>
      </c>
      <c r="B777">
        <f>0*(1-0.8198)</f>
        <v>0</v>
      </c>
      <c r="C777" s="1">
        <v>14</v>
      </c>
    </row>
    <row r="778" spans="1:3" x14ac:dyDescent="0.3">
      <c r="A778" t="s">
        <v>777</v>
      </c>
      <c r="B778">
        <f>11.7701939814286*(1-0.8198)</f>
        <v>2.1209889554534294</v>
      </c>
      <c r="C778" s="1">
        <v>14</v>
      </c>
    </row>
    <row r="779" spans="1:3" x14ac:dyDescent="0.3">
      <c r="A779" t="s">
        <v>778</v>
      </c>
      <c r="B779">
        <f>24.0367032385714*(1-0.8198)</f>
        <v>4.3314139235905724</v>
      </c>
      <c r="C779" s="1">
        <v>20</v>
      </c>
    </row>
    <row r="780" spans="1:3" x14ac:dyDescent="0.3">
      <c r="A780" t="s">
        <v>779</v>
      </c>
      <c r="B780">
        <f>33.7950881014286*(1-0.8198)</f>
        <v>6.0898748758774293</v>
      </c>
      <c r="C780" s="1">
        <v>20</v>
      </c>
    </row>
    <row r="781" spans="1:3" x14ac:dyDescent="0.3">
      <c r="A781" t="s">
        <v>780</v>
      </c>
      <c r="B781">
        <f>39.2483086642857*(1-0.8198)</f>
        <v>7.0725452213042859</v>
      </c>
      <c r="C781" s="1">
        <v>21</v>
      </c>
    </row>
    <row r="782" spans="1:3" x14ac:dyDescent="0.3">
      <c r="A782" t="s">
        <v>781</v>
      </c>
      <c r="B782">
        <f>39.9594547657143*(1-0.8198)</f>
        <v>7.2006937487817151</v>
      </c>
      <c r="C782" s="1">
        <v>16</v>
      </c>
    </row>
    <row r="783" spans="1:3" x14ac:dyDescent="0.3">
      <c r="A783" t="s">
        <v>782</v>
      </c>
      <c r="B783">
        <f>36.3554605671429*(1-0.8198)</f>
        <v>6.5512539941991434</v>
      </c>
      <c r="C783" s="1">
        <v>14</v>
      </c>
    </row>
    <row r="784" spans="1:3" x14ac:dyDescent="0.3">
      <c r="A784" t="s">
        <v>783</v>
      </c>
      <c r="B784">
        <f>29.2029137285714*(1-0.8198)</f>
        <v>5.2623650538885727</v>
      </c>
      <c r="C784" s="1">
        <v>14</v>
      </c>
    </row>
    <row r="785" spans="1:3" x14ac:dyDescent="0.3">
      <c r="A785" t="s">
        <v>784</v>
      </c>
      <c r="B785">
        <f>18.3110024257143*(1-0.8198)</f>
        <v>3.2996426371137146</v>
      </c>
      <c r="C785" s="1">
        <v>11</v>
      </c>
    </row>
    <row r="786" spans="1:3" x14ac:dyDescent="0.3">
      <c r="A786" t="s">
        <v>785</v>
      </c>
      <c r="B786">
        <f>6.07727569285714*(1-0.8198)</f>
        <v>1.0951250798528573</v>
      </c>
      <c r="C786" s="1">
        <v>10</v>
      </c>
    </row>
    <row r="787" spans="1:3" x14ac:dyDescent="0.3">
      <c r="A787" t="s">
        <v>786</v>
      </c>
      <c r="B787">
        <f>0*(1-0.8198)</f>
        <v>0</v>
      </c>
      <c r="C787" s="1">
        <v>8</v>
      </c>
    </row>
    <row r="788" spans="1:3" x14ac:dyDescent="0.3">
      <c r="A788" t="s">
        <v>787</v>
      </c>
      <c r="B788">
        <f>0*(1-0.8198)</f>
        <v>0</v>
      </c>
      <c r="C788" s="1">
        <v>8</v>
      </c>
    </row>
    <row r="789" spans="1:3" x14ac:dyDescent="0.3">
      <c r="A789" t="s">
        <v>788</v>
      </c>
      <c r="B789">
        <f>0*(1-0.8198)</f>
        <v>0</v>
      </c>
      <c r="C789" s="1">
        <v>8</v>
      </c>
    </row>
    <row r="790" spans="1:3" x14ac:dyDescent="0.3">
      <c r="A790" t="s">
        <v>789</v>
      </c>
      <c r="B790">
        <f>0*(1-0.8198)</f>
        <v>0</v>
      </c>
      <c r="C790" s="1">
        <v>7</v>
      </c>
    </row>
    <row r="791" spans="1:3" x14ac:dyDescent="0.3">
      <c r="A791" t="s">
        <v>790</v>
      </c>
      <c r="B791">
        <f>0*(1-0.8198)</f>
        <v>0</v>
      </c>
      <c r="C791" s="1">
        <v>7</v>
      </c>
    </row>
    <row r="792" spans="1:3" x14ac:dyDescent="0.3">
      <c r="A792" t="s">
        <v>791</v>
      </c>
      <c r="B792">
        <f>0*(1-0.8198)</f>
        <v>0</v>
      </c>
      <c r="C792" s="1">
        <v>6</v>
      </c>
    </row>
    <row r="793" spans="1:3" x14ac:dyDescent="0.3">
      <c r="A793" t="s">
        <v>792</v>
      </c>
      <c r="B793">
        <f>0*(1-0.8198)</f>
        <v>0</v>
      </c>
      <c r="C793" s="1">
        <v>6</v>
      </c>
    </row>
    <row r="794" spans="1:3" x14ac:dyDescent="0.3">
      <c r="A794" t="s">
        <v>793</v>
      </c>
      <c r="B794">
        <f>0*(1-0.8198)</f>
        <v>0</v>
      </c>
      <c r="C794" s="1">
        <v>5</v>
      </c>
    </row>
    <row r="795" spans="1:3" x14ac:dyDescent="0.3">
      <c r="A795" t="s">
        <v>794</v>
      </c>
      <c r="B795">
        <f>0*(1-0.8198)</f>
        <v>0</v>
      </c>
      <c r="C795" s="1">
        <v>4</v>
      </c>
    </row>
    <row r="796" spans="1:3" x14ac:dyDescent="0.3">
      <c r="A796" t="s">
        <v>795</v>
      </c>
      <c r="B796">
        <f>0*(1-0.8198)</f>
        <v>0</v>
      </c>
      <c r="C796" s="1">
        <v>4</v>
      </c>
    </row>
    <row r="797" spans="1:3" x14ac:dyDescent="0.3">
      <c r="A797" t="s">
        <v>796</v>
      </c>
      <c r="B797">
        <f>0*(1-0.8198)</f>
        <v>0</v>
      </c>
      <c r="C797" s="1">
        <v>4</v>
      </c>
    </row>
    <row r="798" spans="1:3" x14ac:dyDescent="0.3">
      <c r="A798" t="s">
        <v>797</v>
      </c>
      <c r="B798">
        <f>0*(1-0.8198)</f>
        <v>0</v>
      </c>
      <c r="C798" s="1">
        <v>4</v>
      </c>
    </row>
    <row r="799" spans="1:3" x14ac:dyDescent="0.3">
      <c r="A799" t="s">
        <v>798</v>
      </c>
      <c r="B799">
        <f>0*(1-0.8198)</f>
        <v>0</v>
      </c>
      <c r="C799" s="1">
        <v>5</v>
      </c>
    </row>
    <row r="800" spans="1:3" x14ac:dyDescent="0.3">
      <c r="A800" t="s">
        <v>799</v>
      </c>
      <c r="B800">
        <f>0*(1-0.8198)</f>
        <v>0</v>
      </c>
      <c r="C800" s="1">
        <v>4</v>
      </c>
    </row>
    <row r="801" spans="1:3" x14ac:dyDescent="0.3">
      <c r="A801" t="s">
        <v>800</v>
      </c>
      <c r="B801">
        <f>0*(1-0.8198)</f>
        <v>0</v>
      </c>
      <c r="C801" s="1">
        <v>4</v>
      </c>
    </row>
    <row r="802" spans="1:3" x14ac:dyDescent="0.3">
      <c r="A802" t="s">
        <v>801</v>
      </c>
      <c r="B802">
        <f>11.9451225271429*(1-0.8198)</f>
        <v>2.1525110793911439</v>
      </c>
      <c r="C802" s="1">
        <v>4</v>
      </c>
    </row>
    <row r="803" spans="1:3" x14ac:dyDescent="0.3">
      <c r="A803" t="s">
        <v>802</v>
      </c>
      <c r="B803">
        <f>24.0249990685714*(1-0.8198)</f>
        <v>4.3293048321565726</v>
      </c>
      <c r="C803" s="1">
        <v>4</v>
      </c>
    </row>
    <row r="804" spans="1:3" x14ac:dyDescent="0.3">
      <c r="A804" t="s">
        <v>803</v>
      </c>
      <c r="B804">
        <f>33.38870407*(1-0.8198)</f>
        <v>6.0166444734140017</v>
      </c>
      <c r="C804" s="1">
        <v>5</v>
      </c>
    </row>
    <row r="805" spans="1:3" x14ac:dyDescent="0.3">
      <c r="A805" t="s">
        <v>804</v>
      </c>
      <c r="B805">
        <f>38.8871981657143*(1-0.8198)</f>
        <v>7.0074731094617171</v>
      </c>
      <c r="C805" s="1">
        <v>4</v>
      </c>
    </row>
    <row r="806" spans="1:3" x14ac:dyDescent="0.3">
      <c r="A806" t="s">
        <v>805</v>
      </c>
      <c r="B806">
        <f>39.24812229*(1-0.8198)</f>
        <v>7.0725116366580023</v>
      </c>
      <c r="C806" s="1">
        <v>4</v>
      </c>
    </row>
    <row r="807" spans="1:3" x14ac:dyDescent="0.3">
      <c r="A807" t="s">
        <v>806</v>
      </c>
      <c r="B807">
        <f>37.0649840328571*(1-0.8198)</f>
        <v>6.6791101227208589</v>
      </c>
      <c r="C807" s="1">
        <v>5</v>
      </c>
    </row>
    <row r="808" spans="1:3" x14ac:dyDescent="0.3">
      <c r="A808" t="s">
        <v>807</v>
      </c>
      <c r="B808">
        <f>29.7932290928571*(1-0.8198)</f>
        <v>5.3687398825328589</v>
      </c>
      <c r="C808" s="1">
        <v>4</v>
      </c>
    </row>
    <row r="809" spans="1:3" x14ac:dyDescent="0.3">
      <c r="A809" t="s">
        <v>808</v>
      </c>
      <c r="B809">
        <f>18.7810629457143*(1-0.8198)</f>
        <v>3.3843475428177157</v>
      </c>
      <c r="C809" s="1">
        <v>4</v>
      </c>
    </row>
    <row r="810" spans="1:3" x14ac:dyDescent="0.3">
      <c r="A810" t="s">
        <v>809</v>
      </c>
      <c r="B810">
        <f>6.46253751*(1-0.8198)</f>
        <v>1.1645492593020002</v>
      </c>
      <c r="C810" s="1">
        <v>4</v>
      </c>
    </row>
    <row r="811" spans="1:3" x14ac:dyDescent="0.3">
      <c r="A811" t="s">
        <v>810</v>
      </c>
      <c r="B811">
        <f>0*(1-0.8198)</f>
        <v>0</v>
      </c>
      <c r="C811" s="1">
        <v>4</v>
      </c>
    </row>
    <row r="812" spans="1:3" x14ac:dyDescent="0.3">
      <c r="A812" t="s">
        <v>811</v>
      </c>
      <c r="B812">
        <f>0*(1-0.8198)</f>
        <v>0</v>
      </c>
      <c r="C812" s="1">
        <v>4</v>
      </c>
    </row>
    <row r="813" spans="1:3" x14ac:dyDescent="0.3">
      <c r="A813" t="s">
        <v>812</v>
      </c>
      <c r="B813">
        <f>0*(1-0.8198)</f>
        <v>0</v>
      </c>
      <c r="C813" s="1">
        <v>5</v>
      </c>
    </row>
    <row r="814" spans="1:3" x14ac:dyDescent="0.3">
      <c r="A814" t="s">
        <v>813</v>
      </c>
      <c r="B814">
        <f>0*(1-0.8198)</f>
        <v>0</v>
      </c>
      <c r="C814" s="1">
        <v>4</v>
      </c>
    </row>
    <row r="815" spans="1:3" x14ac:dyDescent="0.3">
      <c r="A815" t="s">
        <v>814</v>
      </c>
      <c r="B815">
        <f>0*(1-0.8198)</f>
        <v>0</v>
      </c>
      <c r="C815" s="1">
        <v>4</v>
      </c>
    </row>
    <row r="816" spans="1:3" x14ac:dyDescent="0.3">
      <c r="A816" t="s">
        <v>815</v>
      </c>
      <c r="B816">
        <f>0*(1-0.8198)</f>
        <v>0</v>
      </c>
      <c r="C816" s="1">
        <v>4</v>
      </c>
    </row>
    <row r="817" spans="1:3" x14ac:dyDescent="0.3">
      <c r="A817" t="s">
        <v>816</v>
      </c>
      <c r="B817">
        <f>0*(1-0.8198)</f>
        <v>0</v>
      </c>
      <c r="C817" s="1">
        <v>4</v>
      </c>
    </row>
    <row r="818" spans="1:3" x14ac:dyDescent="0.3">
      <c r="A818" t="s">
        <v>817</v>
      </c>
      <c r="B818">
        <f>0*(1-0.8198)</f>
        <v>0</v>
      </c>
      <c r="C818" s="1">
        <v>4</v>
      </c>
    </row>
    <row r="819" spans="1:3" x14ac:dyDescent="0.3">
      <c r="A819" t="s">
        <v>818</v>
      </c>
      <c r="B819">
        <f>0*(1-0.8198)</f>
        <v>0</v>
      </c>
      <c r="C819" s="1">
        <v>5</v>
      </c>
    </row>
    <row r="820" spans="1:3" x14ac:dyDescent="0.3">
      <c r="A820" t="s">
        <v>819</v>
      </c>
      <c r="B820">
        <f>0*(1-0.8198)</f>
        <v>0</v>
      </c>
      <c r="C820" s="1">
        <v>4</v>
      </c>
    </row>
    <row r="821" spans="1:3" x14ac:dyDescent="0.3">
      <c r="A821" t="s">
        <v>820</v>
      </c>
      <c r="B821">
        <f>0*(1-0.8198)</f>
        <v>0</v>
      </c>
      <c r="C821" s="1">
        <v>4</v>
      </c>
    </row>
    <row r="822" spans="1:3" x14ac:dyDescent="0.3">
      <c r="A822" t="s">
        <v>821</v>
      </c>
      <c r="B822">
        <f>0*(1-0.8198)</f>
        <v>0</v>
      </c>
      <c r="C822" s="1">
        <v>4</v>
      </c>
    </row>
    <row r="823" spans="1:3" x14ac:dyDescent="0.3">
      <c r="A823" t="s">
        <v>822</v>
      </c>
      <c r="B823">
        <f>0*(1-0.8198)</f>
        <v>0</v>
      </c>
      <c r="C823" s="1">
        <v>5</v>
      </c>
    </row>
    <row r="824" spans="1:3" x14ac:dyDescent="0.3">
      <c r="A824" t="s">
        <v>823</v>
      </c>
      <c r="B824">
        <f>0*(1-0.8198)</f>
        <v>0</v>
      </c>
      <c r="C824" s="1">
        <v>4</v>
      </c>
    </row>
    <row r="825" spans="1:3" x14ac:dyDescent="0.3">
      <c r="A825" t="s">
        <v>824</v>
      </c>
      <c r="B825">
        <f>0*(1-0.8198)</f>
        <v>0</v>
      </c>
      <c r="C825" s="1">
        <v>4</v>
      </c>
    </row>
    <row r="826" spans="1:3" x14ac:dyDescent="0.3">
      <c r="A826" t="s">
        <v>825</v>
      </c>
      <c r="B826">
        <f>11.9447228728571*(1-0.8198)</f>
        <v>2.1524390616888573</v>
      </c>
      <c r="C826" s="1">
        <v>4</v>
      </c>
    </row>
    <row r="827" spans="1:3" x14ac:dyDescent="0.3">
      <c r="A827" t="s">
        <v>826</v>
      </c>
      <c r="B827">
        <f>23.7641938714286*(1-0.8198)</f>
        <v>4.282307735631429</v>
      </c>
      <c r="C827" s="1">
        <v>5</v>
      </c>
    </row>
    <row r="828" spans="1:3" x14ac:dyDescent="0.3">
      <c r="A828" t="s">
        <v>827</v>
      </c>
      <c r="B828">
        <f>31.61207608*(1-0.8198)</f>
        <v>5.6964961096160023</v>
      </c>
      <c r="C828" s="1">
        <v>4</v>
      </c>
    </row>
    <row r="829" spans="1:3" x14ac:dyDescent="0.3">
      <c r="A829" t="s">
        <v>828</v>
      </c>
      <c r="B829">
        <f>37.8276046357143*(1-0.8198)</f>
        <v>6.8165343553557145</v>
      </c>
      <c r="C829" s="1">
        <v>4</v>
      </c>
    </row>
    <row r="830" spans="1:3" x14ac:dyDescent="0.3">
      <c r="A830" t="s">
        <v>829</v>
      </c>
      <c r="B830">
        <f>39.5947193671429*(1-0.8198)</f>
        <v>7.1349684299591445</v>
      </c>
      <c r="C830" s="1">
        <v>4</v>
      </c>
    </row>
    <row r="831" spans="1:3" x14ac:dyDescent="0.3">
      <c r="A831" t="s">
        <v>830</v>
      </c>
      <c r="B831">
        <f>35.2565558842857*(1-0.8198)</f>
        <v>6.3532313703482872</v>
      </c>
      <c r="C831" s="1">
        <v>5</v>
      </c>
    </row>
    <row r="832" spans="1:3" x14ac:dyDescent="0.3">
      <c r="A832" t="s">
        <v>831</v>
      </c>
      <c r="B832">
        <f>29.6804533*(1-0.8198)</f>
        <v>5.3484176846600011</v>
      </c>
      <c r="C832" s="1">
        <v>4</v>
      </c>
    </row>
    <row r="833" spans="1:3" x14ac:dyDescent="0.3">
      <c r="A833" t="s">
        <v>832</v>
      </c>
      <c r="B833">
        <f>18.9162656342857*(1-0.8198)</f>
        <v>3.4087110672982863</v>
      </c>
      <c r="C833" s="1">
        <v>4</v>
      </c>
    </row>
    <row r="834" spans="1:3" x14ac:dyDescent="0.3">
      <c r="A834" t="s">
        <v>833</v>
      </c>
      <c r="B834">
        <f>6.65710440142857*(1-0.8198)</f>
        <v>1.1996102131374289</v>
      </c>
      <c r="C834" s="1">
        <v>4</v>
      </c>
    </row>
    <row r="835" spans="1:3" x14ac:dyDescent="0.3">
      <c r="A835" t="s">
        <v>834</v>
      </c>
      <c r="B835">
        <f>0*(1-0.8198)</f>
        <v>0</v>
      </c>
      <c r="C835" s="1">
        <v>4</v>
      </c>
    </row>
    <row r="836" spans="1:3" x14ac:dyDescent="0.3">
      <c r="A836" t="s">
        <v>835</v>
      </c>
      <c r="B836">
        <f>0*(1-0.8198)</f>
        <v>0</v>
      </c>
      <c r="C836" s="1">
        <v>5</v>
      </c>
    </row>
    <row r="837" spans="1:3" x14ac:dyDescent="0.3">
      <c r="A837" t="s">
        <v>836</v>
      </c>
      <c r="B837">
        <f>0*(1-0.8198)</f>
        <v>0</v>
      </c>
      <c r="C837" s="1">
        <v>4</v>
      </c>
    </row>
    <row r="838" spans="1:3" x14ac:dyDescent="0.3">
      <c r="A838" t="s">
        <v>837</v>
      </c>
      <c r="B838">
        <f>0*(1-0.8198)</f>
        <v>0</v>
      </c>
      <c r="C838" s="1">
        <v>4</v>
      </c>
    </row>
    <row r="839" spans="1:3" x14ac:dyDescent="0.3">
      <c r="A839" t="s">
        <v>838</v>
      </c>
      <c r="B839">
        <f>0*(1-0.8198)</f>
        <v>0</v>
      </c>
      <c r="C839" s="1">
        <v>4</v>
      </c>
    </row>
    <row r="840" spans="1:3" x14ac:dyDescent="0.3">
      <c r="A840" t="s">
        <v>839</v>
      </c>
      <c r="B840">
        <f>0*(1-0.8198)</f>
        <v>0</v>
      </c>
      <c r="C840" s="1">
        <v>4</v>
      </c>
    </row>
    <row r="841" spans="1:3" x14ac:dyDescent="0.3">
      <c r="A841" t="s">
        <v>840</v>
      </c>
      <c r="B841">
        <f>0*(1-0.8198)</f>
        <v>0</v>
      </c>
      <c r="C841" s="1">
        <v>4</v>
      </c>
    </row>
    <row r="842" spans="1:3" x14ac:dyDescent="0.3">
      <c r="A842" t="s">
        <v>841</v>
      </c>
      <c r="B842">
        <f>0*(1-0.8198)</f>
        <v>0</v>
      </c>
      <c r="C842" s="1">
        <v>5</v>
      </c>
    </row>
    <row r="843" spans="1:3" x14ac:dyDescent="0.3">
      <c r="A843" t="s">
        <v>842</v>
      </c>
      <c r="B843">
        <f>0*(1-0.8198)</f>
        <v>0</v>
      </c>
      <c r="C843" s="1">
        <v>4</v>
      </c>
    </row>
    <row r="844" spans="1:3" x14ac:dyDescent="0.3">
      <c r="A844" t="s">
        <v>843</v>
      </c>
      <c r="B844">
        <f>0*(1-0.8198)</f>
        <v>0</v>
      </c>
      <c r="C844" s="1">
        <v>4</v>
      </c>
    </row>
    <row r="845" spans="1:3" x14ac:dyDescent="0.3">
      <c r="A845" t="s">
        <v>844</v>
      </c>
      <c r="B845">
        <f>0*(1-0.8198)</f>
        <v>0</v>
      </c>
      <c r="C845" s="1">
        <v>5</v>
      </c>
    </row>
    <row r="846" spans="1:3" x14ac:dyDescent="0.3">
      <c r="A846" t="s">
        <v>845</v>
      </c>
      <c r="B846">
        <f>0*(1-0.8198)</f>
        <v>0</v>
      </c>
      <c r="C846" s="1">
        <v>4</v>
      </c>
    </row>
    <row r="847" spans="1:3" x14ac:dyDescent="0.3">
      <c r="A847" t="s">
        <v>846</v>
      </c>
      <c r="B847">
        <f>0*(1-0.8198)</f>
        <v>0</v>
      </c>
      <c r="C847" s="1">
        <v>4</v>
      </c>
    </row>
    <row r="848" spans="1:3" x14ac:dyDescent="0.3">
      <c r="A848" t="s">
        <v>847</v>
      </c>
      <c r="B848">
        <f>0*(1-0.8198)</f>
        <v>0</v>
      </c>
      <c r="C848" s="1">
        <v>4</v>
      </c>
    </row>
    <row r="849" spans="1:3" x14ac:dyDescent="0.3">
      <c r="A849" t="s">
        <v>848</v>
      </c>
      <c r="B849">
        <f>0*(1-0.8198)</f>
        <v>0</v>
      </c>
      <c r="C849" s="1">
        <v>12</v>
      </c>
    </row>
    <row r="850" spans="1:3" x14ac:dyDescent="0.3">
      <c r="A850" t="s">
        <v>849</v>
      </c>
      <c r="B850">
        <f>12.59658125*(1-0.8198)</f>
        <v>2.2699039412500008</v>
      </c>
      <c r="C850" s="1">
        <v>14</v>
      </c>
    </row>
    <row r="851" spans="1:3" x14ac:dyDescent="0.3">
      <c r="A851" t="s">
        <v>850</v>
      </c>
      <c r="B851">
        <f>25.2407756014286*(1-0.8198)</f>
        <v>4.5483877633774306</v>
      </c>
      <c r="C851" s="1">
        <v>20</v>
      </c>
    </row>
    <row r="852" spans="1:3" x14ac:dyDescent="0.3">
      <c r="A852" t="s">
        <v>851</v>
      </c>
      <c r="B852">
        <f>34.6193304071429*(1-0.8198)</f>
        <v>6.238403339367145</v>
      </c>
      <c r="C852" s="1">
        <v>21</v>
      </c>
    </row>
    <row r="853" spans="1:3" x14ac:dyDescent="0.3">
      <c r="A853" t="s">
        <v>852</v>
      </c>
      <c r="B853">
        <f>39.7628015142857*(1-0.8198)</f>
        <v>7.1652568328742881</v>
      </c>
      <c r="C853" s="1">
        <v>16</v>
      </c>
    </row>
    <row r="854" spans="1:3" x14ac:dyDescent="0.3">
      <c r="A854" t="s">
        <v>853</v>
      </c>
      <c r="B854">
        <f>40.8983779485714*(1-0.8198)</f>
        <v>7.3698877063325741</v>
      </c>
      <c r="C854" s="1">
        <v>16</v>
      </c>
    </row>
    <row r="855" spans="1:3" x14ac:dyDescent="0.3">
      <c r="A855" t="s">
        <v>854</v>
      </c>
      <c r="B855">
        <f>38.0725008157143*(1-0.8198)</f>
        <v>6.8606646469917161</v>
      </c>
      <c r="C855" s="1">
        <v>16</v>
      </c>
    </row>
    <row r="856" spans="1:3" x14ac:dyDescent="0.3">
      <c r="A856" t="s">
        <v>855</v>
      </c>
      <c r="B856">
        <f>30.8970774242857*(1-0.8198)</f>
        <v>5.5676533518562881</v>
      </c>
      <c r="C856" s="1">
        <v>16</v>
      </c>
    </row>
    <row r="857" spans="1:3" x14ac:dyDescent="0.3">
      <c r="A857" t="s">
        <v>856</v>
      </c>
      <c r="B857">
        <f>19.5170668557143*(1-0.8198)</f>
        <v>3.516975447399715</v>
      </c>
      <c r="C857" s="1">
        <v>12</v>
      </c>
    </row>
    <row r="858" spans="1:3" x14ac:dyDescent="0.3">
      <c r="A858" t="s">
        <v>857</v>
      </c>
      <c r="B858">
        <f>7.01099507714286*(1-0.8198)</f>
        <v>1.2633813129011431</v>
      </c>
      <c r="C858" s="1">
        <v>11</v>
      </c>
    </row>
    <row r="859" spans="1:3" x14ac:dyDescent="0.3">
      <c r="A859" t="s">
        <v>858</v>
      </c>
      <c r="B859">
        <f>0*(1-0.8198)</f>
        <v>0</v>
      </c>
      <c r="C859" s="1">
        <v>8</v>
      </c>
    </row>
    <row r="860" spans="1:3" x14ac:dyDescent="0.3">
      <c r="A860" t="s">
        <v>859</v>
      </c>
      <c r="B860">
        <f>0*(1-0.8198)</f>
        <v>0</v>
      </c>
      <c r="C860" s="1">
        <v>8</v>
      </c>
    </row>
    <row r="861" spans="1:3" x14ac:dyDescent="0.3">
      <c r="A861" t="s">
        <v>860</v>
      </c>
      <c r="B861">
        <f>0*(1-0.8198)</f>
        <v>0</v>
      </c>
      <c r="C861" s="1">
        <v>10</v>
      </c>
    </row>
    <row r="862" spans="1:3" x14ac:dyDescent="0.3">
      <c r="A862" t="s">
        <v>861</v>
      </c>
      <c r="B862">
        <f>0*(1-0.8198)</f>
        <v>0</v>
      </c>
      <c r="C862" s="1">
        <v>10</v>
      </c>
    </row>
    <row r="863" spans="1:3" x14ac:dyDescent="0.3">
      <c r="A863" t="s">
        <v>862</v>
      </c>
      <c r="B863">
        <f>0*(1-0.8198)</f>
        <v>0</v>
      </c>
      <c r="C863" s="1">
        <v>7</v>
      </c>
    </row>
    <row r="864" spans="1:3" x14ac:dyDescent="0.3">
      <c r="A864" t="s">
        <v>863</v>
      </c>
      <c r="B864">
        <f>0*(1-0.8198)</f>
        <v>0</v>
      </c>
      <c r="C864" s="1">
        <v>7</v>
      </c>
    </row>
    <row r="865" spans="1:3" x14ac:dyDescent="0.3">
      <c r="A865" t="s">
        <v>864</v>
      </c>
      <c r="B865">
        <f>0*(1-0.8198)</f>
        <v>0</v>
      </c>
      <c r="C865" s="1">
        <v>6</v>
      </c>
    </row>
    <row r="866" spans="1:3" x14ac:dyDescent="0.3">
      <c r="A866" t="s">
        <v>865</v>
      </c>
      <c r="B866">
        <f>0*(1-0.8198)</f>
        <v>0</v>
      </c>
      <c r="C866" s="1">
        <v>5</v>
      </c>
    </row>
    <row r="867" spans="1:3" x14ac:dyDescent="0.3">
      <c r="A867" t="s">
        <v>866</v>
      </c>
      <c r="B867">
        <f>0*(1-0.8198)</f>
        <v>0</v>
      </c>
      <c r="C867" s="1">
        <v>4</v>
      </c>
    </row>
    <row r="868" spans="1:3" x14ac:dyDescent="0.3">
      <c r="A868" t="s">
        <v>867</v>
      </c>
      <c r="B868">
        <f>0*(1-0.8198)</f>
        <v>0</v>
      </c>
      <c r="C868" s="1">
        <v>5</v>
      </c>
    </row>
    <row r="869" spans="1:3" x14ac:dyDescent="0.3">
      <c r="A869" t="s">
        <v>868</v>
      </c>
      <c r="B869">
        <f>0*(1-0.8198)</f>
        <v>0</v>
      </c>
      <c r="C869" s="1">
        <v>4</v>
      </c>
    </row>
    <row r="870" spans="1:3" x14ac:dyDescent="0.3">
      <c r="A870" t="s">
        <v>869</v>
      </c>
      <c r="B870">
        <f>0*(1-0.8198)</f>
        <v>0</v>
      </c>
      <c r="C870" s="1">
        <v>4</v>
      </c>
    </row>
    <row r="871" spans="1:3" x14ac:dyDescent="0.3">
      <c r="A871" t="s">
        <v>870</v>
      </c>
      <c r="B871">
        <f>0*(1-0.8198)</f>
        <v>0</v>
      </c>
      <c r="C871" s="1">
        <v>5</v>
      </c>
    </row>
    <row r="872" spans="1:3" x14ac:dyDescent="0.3">
      <c r="A872" t="s">
        <v>871</v>
      </c>
      <c r="B872">
        <f>0*(1-0.8198)</f>
        <v>0</v>
      </c>
      <c r="C872" s="1">
        <v>4</v>
      </c>
    </row>
    <row r="873" spans="1:3" x14ac:dyDescent="0.3">
      <c r="A873" t="s">
        <v>872</v>
      </c>
      <c r="B873">
        <f>0*(1-0.8198)</f>
        <v>0</v>
      </c>
      <c r="C873" s="1">
        <v>11</v>
      </c>
    </row>
    <row r="874" spans="1:3" x14ac:dyDescent="0.3">
      <c r="A874" t="s">
        <v>873</v>
      </c>
      <c r="B874">
        <f>12.4135478185714*(1-0.8198)</f>
        <v>2.2369213169065718</v>
      </c>
      <c r="C874" s="1">
        <v>16</v>
      </c>
    </row>
    <row r="875" spans="1:3" x14ac:dyDescent="0.3">
      <c r="A875" t="s">
        <v>874</v>
      </c>
      <c r="B875">
        <f>18.6724040957143*(1-0.8198)</f>
        <v>3.3647672180477151</v>
      </c>
      <c r="C875" s="1">
        <v>18</v>
      </c>
    </row>
    <row r="876" spans="1:3" x14ac:dyDescent="0.3">
      <c r="A876" t="s">
        <v>875</v>
      </c>
      <c r="B876">
        <f>18.19293794*(1-0.8198)</f>
        <v>3.2783674167880004</v>
      </c>
      <c r="C876" s="1">
        <v>15</v>
      </c>
    </row>
    <row r="877" spans="1:3" x14ac:dyDescent="0.3">
      <c r="A877" t="s">
        <v>876</v>
      </c>
      <c r="B877">
        <f>17.3354494471429*(1-0.8198)</f>
        <v>3.1238479903751433</v>
      </c>
      <c r="C877" s="1">
        <v>19</v>
      </c>
    </row>
    <row r="878" spans="1:3" x14ac:dyDescent="0.3">
      <c r="A878" t="s">
        <v>877</v>
      </c>
      <c r="B878">
        <f>24.8987193242857*(1-0.8198)</f>
        <v>4.4867492222362868</v>
      </c>
      <c r="C878" s="1">
        <v>15</v>
      </c>
    </row>
    <row r="879" spans="1:3" x14ac:dyDescent="0.3">
      <c r="A879" t="s">
        <v>878</v>
      </c>
      <c r="B879">
        <f>24.9993022828571*(1-0.8198)</f>
        <v>4.5048742713708583</v>
      </c>
      <c r="C879" s="1">
        <v>15</v>
      </c>
    </row>
    <row r="880" spans="1:3" x14ac:dyDescent="0.3">
      <c r="A880" t="s">
        <v>879</v>
      </c>
      <c r="B880">
        <f>17.1527046685714*(1-0.8198)</f>
        <v>3.0909173812765722</v>
      </c>
      <c r="C880" s="1">
        <v>16</v>
      </c>
    </row>
    <row r="881" spans="1:3" x14ac:dyDescent="0.3">
      <c r="A881" t="s">
        <v>880</v>
      </c>
      <c r="B881">
        <f>15.80863954*(1-0.8198)</f>
        <v>2.8487168451080009</v>
      </c>
      <c r="C881" s="1">
        <v>13</v>
      </c>
    </row>
    <row r="882" spans="1:3" x14ac:dyDescent="0.3">
      <c r="A882" t="s">
        <v>881</v>
      </c>
      <c r="B882">
        <f>6.21914608428571*(1-0.8198)</f>
        <v>1.1206901243882859</v>
      </c>
      <c r="C882" s="1">
        <v>11</v>
      </c>
    </row>
    <row r="883" spans="1:3" x14ac:dyDescent="0.3">
      <c r="A883" t="s">
        <v>882</v>
      </c>
      <c r="B883">
        <f>0*(1-0.8198)</f>
        <v>0</v>
      </c>
      <c r="C883" s="1">
        <v>8</v>
      </c>
    </row>
    <row r="884" spans="1:3" x14ac:dyDescent="0.3">
      <c r="A884" t="s">
        <v>883</v>
      </c>
      <c r="B884">
        <f>0*(1-0.8198)</f>
        <v>0</v>
      </c>
      <c r="C884" s="1">
        <v>9</v>
      </c>
    </row>
    <row r="885" spans="1:3" x14ac:dyDescent="0.3">
      <c r="A885" t="s">
        <v>884</v>
      </c>
      <c r="B885">
        <f>0*(1-0.8198)</f>
        <v>0</v>
      </c>
      <c r="C885" s="1">
        <v>11</v>
      </c>
    </row>
    <row r="886" spans="1:3" x14ac:dyDescent="0.3">
      <c r="A886" t="s">
        <v>885</v>
      </c>
      <c r="B886">
        <f>0*(1-0.8198)</f>
        <v>0</v>
      </c>
      <c r="C886" s="1">
        <v>8</v>
      </c>
    </row>
    <row r="887" spans="1:3" x14ac:dyDescent="0.3">
      <c r="A887" t="s">
        <v>886</v>
      </c>
      <c r="B887">
        <f>0*(1-0.8198)</f>
        <v>0</v>
      </c>
      <c r="C887" s="1">
        <v>7</v>
      </c>
    </row>
    <row r="888" spans="1:3" x14ac:dyDescent="0.3">
      <c r="A888" t="s">
        <v>887</v>
      </c>
      <c r="B888">
        <f>0*(1-0.8198)</f>
        <v>0</v>
      </c>
      <c r="C888" s="1">
        <v>7</v>
      </c>
    </row>
    <row r="889" spans="1:3" x14ac:dyDescent="0.3">
      <c r="A889" t="s">
        <v>888</v>
      </c>
      <c r="B889">
        <f>0*(1-0.8198)</f>
        <v>0</v>
      </c>
      <c r="C889" s="1">
        <v>7</v>
      </c>
    </row>
    <row r="890" spans="1:3" x14ac:dyDescent="0.3">
      <c r="A890" t="s">
        <v>889</v>
      </c>
      <c r="B890">
        <f>0*(1-0.8198)</f>
        <v>0</v>
      </c>
      <c r="C890" s="1">
        <v>5</v>
      </c>
    </row>
    <row r="891" spans="1:3" x14ac:dyDescent="0.3">
      <c r="A891" t="s">
        <v>890</v>
      </c>
      <c r="B891">
        <f>0*(1-0.8198)</f>
        <v>0</v>
      </c>
      <c r="C891" s="1">
        <v>4</v>
      </c>
    </row>
    <row r="892" spans="1:3" x14ac:dyDescent="0.3">
      <c r="A892" t="s">
        <v>891</v>
      </c>
      <c r="B892">
        <f>0*(1-0.8198)</f>
        <v>0</v>
      </c>
      <c r="C892" s="1">
        <v>5</v>
      </c>
    </row>
    <row r="893" spans="1:3" x14ac:dyDescent="0.3">
      <c r="A893" t="s">
        <v>892</v>
      </c>
      <c r="B893">
        <f>0*(1-0.8198)</f>
        <v>0</v>
      </c>
      <c r="C893" s="1">
        <v>5</v>
      </c>
    </row>
    <row r="894" spans="1:3" x14ac:dyDescent="0.3">
      <c r="A894" t="s">
        <v>893</v>
      </c>
      <c r="B894">
        <f>0*(1-0.8198)</f>
        <v>0</v>
      </c>
      <c r="C894" s="1">
        <v>4</v>
      </c>
    </row>
    <row r="895" spans="1:3" x14ac:dyDescent="0.3">
      <c r="A895" t="s">
        <v>894</v>
      </c>
      <c r="B895">
        <f>0*(1-0.8198)</f>
        <v>0</v>
      </c>
      <c r="C895" s="1">
        <v>5</v>
      </c>
    </row>
    <row r="896" spans="1:3" x14ac:dyDescent="0.3">
      <c r="A896" t="s">
        <v>895</v>
      </c>
      <c r="B896">
        <f>0*(1-0.8198)</f>
        <v>0</v>
      </c>
      <c r="C896" s="1">
        <v>4</v>
      </c>
    </row>
    <row r="897" spans="1:3" x14ac:dyDescent="0.3">
      <c r="A897" t="s">
        <v>896</v>
      </c>
      <c r="B897">
        <f>0*(1-0.8198)</f>
        <v>0</v>
      </c>
      <c r="C897" s="1">
        <v>12</v>
      </c>
    </row>
    <row r="898" spans="1:3" x14ac:dyDescent="0.3">
      <c r="A898" t="s">
        <v>897</v>
      </c>
      <c r="B898">
        <f>5.28267359428572*(1-0.8198)</f>
        <v>0.95193778169028609</v>
      </c>
      <c r="C898" s="1">
        <v>17</v>
      </c>
    </row>
    <row r="899" spans="1:3" x14ac:dyDescent="0.3">
      <c r="A899" t="s">
        <v>898</v>
      </c>
      <c r="B899">
        <f>6.74383226857143*(1-0.8198)</f>
        <v>1.2152385747965719</v>
      </c>
      <c r="C899" s="1">
        <v>18</v>
      </c>
    </row>
    <row r="900" spans="1:3" x14ac:dyDescent="0.3">
      <c r="A900" t="s">
        <v>899</v>
      </c>
      <c r="B900">
        <f>11.5516582757143*(1-0.8198)</f>
        <v>2.0816088212837145</v>
      </c>
      <c r="C900" s="1">
        <v>17</v>
      </c>
    </row>
    <row r="901" spans="1:3" x14ac:dyDescent="0.3">
      <c r="A901" t="s">
        <v>900</v>
      </c>
      <c r="B901">
        <f>7.95328*(1-0.8198)</f>
        <v>1.4331810560000007</v>
      </c>
      <c r="C901" s="1">
        <v>17</v>
      </c>
    </row>
    <row r="902" spans="1:3" x14ac:dyDescent="0.3">
      <c r="A902" t="s">
        <v>901</v>
      </c>
      <c r="B902">
        <f>4.8719*(1-0.8198)</f>
        <v>0.87791638000000016</v>
      </c>
      <c r="C902" s="1">
        <v>17</v>
      </c>
    </row>
    <row r="903" spans="1:3" x14ac:dyDescent="0.3">
      <c r="A903" t="s">
        <v>902</v>
      </c>
      <c r="B903">
        <f>4.70678*(1-0.8198)</f>
        <v>0.84816175600000021</v>
      </c>
      <c r="C903" s="1">
        <v>17</v>
      </c>
    </row>
    <row r="904" spans="1:3" x14ac:dyDescent="0.3">
      <c r="A904" t="s">
        <v>903</v>
      </c>
      <c r="B904">
        <f>4.4118*(1-0.8198)</f>
        <v>0.79500636000000013</v>
      </c>
      <c r="C904" s="1">
        <v>15</v>
      </c>
    </row>
    <row r="905" spans="1:3" x14ac:dyDescent="0.3">
      <c r="A905" t="s">
        <v>904</v>
      </c>
      <c r="B905">
        <f>1.07758*(1-0.8198)</f>
        <v>0.19417991600000004</v>
      </c>
      <c r="C905" s="1">
        <v>12</v>
      </c>
    </row>
    <row r="906" spans="1:3" x14ac:dyDescent="0.3">
      <c r="A906" t="s">
        <v>905</v>
      </c>
      <c r="B906">
        <f>2.76527440714286*(1-0.8198)</f>
        <v>0.49830244816714298</v>
      </c>
      <c r="C906" s="1">
        <v>10</v>
      </c>
    </row>
    <row r="907" spans="1:3" x14ac:dyDescent="0.3">
      <c r="A907" t="s">
        <v>906</v>
      </c>
      <c r="B907">
        <f>0*(1-0.8198)</f>
        <v>0</v>
      </c>
      <c r="C907" s="1">
        <v>9</v>
      </c>
    </row>
    <row r="908" spans="1:3" x14ac:dyDescent="0.3">
      <c r="A908" t="s">
        <v>907</v>
      </c>
      <c r="B908">
        <f>0*(1-0.8198)</f>
        <v>0</v>
      </c>
      <c r="C908" s="1">
        <v>8</v>
      </c>
    </row>
    <row r="909" spans="1:3" x14ac:dyDescent="0.3">
      <c r="A909" t="s">
        <v>908</v>
      </c>
      <c r="B909">
        <f>0*(1-0.8198)</f>
        <v>0</v>
      </c>
      <c r="C909" s="1">
        <v>11</v>
      </c>
    </row>
    <row r="910" spans="1:3" x14ac:dyDescent="0.3">
      <c r="A910" t="s">
        <v>909</v>
      </c>
      <c r="B910">
        <f>0*(1-0.8198)</f>
        <v>0</v>
      </c>
      <c r="C910" s="1">
        <v>10</v>
      </c>
    </row>
    <row r="911" spans="1:3" x14ac:dyDescent="0.3">
      <c r="A911" t="s">
        <v>910</v>
      </c>
      <c r="B911">
        <f>0*(1-0.8198)</f>
        <v>0</v>
      </c>
      <c r="C911" s="1">
        <v>7</v>
      </c>
    </row>
    <row r="912" spans="1:3" x14ac:dyDescent="0.3">
      <c r="A912" t="s">
        <v>911</v>
      </c>
      <c r="B912">
        <f>0*(1-0.8198)</f>
        <v>0</v>
      </c>
      <c r="C912" s="1">
        <v>7</v>
      </c>
    </row>
    <row r="913" spans="1:3" x14ac:dyDescent="0.3">
      <c r="A913" t="s">
        <v>912</v>
      </c>
      <c r="B913">
        <f>0*(1-0.8198)</f>
        <v>0</v>
      </c>
      <c r="C913" s="1">
        <v>6</v>
      </c>
    </row>
    <row r="914" spans="1:3" x14ac:dyDescent="0.3">
      <c r="A914" t="s">
        <v>913</v>
      </c>
      <c r="B914">
        <f>0*(1-0.8198)</f>
        <v>0</v>
      </c>
      <c r="C914" s="1">
        <v>5</v>
      </c>
    </row>
    <row r="915" spans="1:3" x14ac:dyDescent="0.3">
      <c r="A915" t="s">
        <v>914</v>
      </c>
      <c r="B915">
        <f>0*(1-0.8198)</f>
        <v>0</v>
      </c>
      <c r="C915" s="1">
        <v>4</v>
      </c>
    </row>
    <row r="916" spans="1:3" x14ac:dyDescent="0.3">
      <c r="A916" t="s">
        <v>915</v>
      </c>
      <c r="B916">
        <f>0*(1-0.8198)</f>
        <v>0</v>
      </c>
      <c r="C916" s="1">
        <v>5</v>
      </c>
    </row>
    <row r="917" spans="1:3" x14ac:dyDescent="0.3">
      <c r="A917" t="s">
        <v>916</v>
      </c>
      <c r="B917">
        <f>0*(1-0.8198)</f>
        <v>0</v>
      </c>
      <c r="C917" s="1">
        <v>4</v>
      </c>
    </row>
    <row r="918" spans="1:3" x14ac:dyDescent="0.3">
      <c r="A918" t="s">
        <v>917</v>
      </c>
      <c r="B918">
        <f>0*(1-0.8198)</f>
        <v>0</v>
      </c>
      <c r="C918" s="1">
        <v>5</v>
      </c>
    </row>
    <row r="919" spans="1:3" x14ac:dyDescent="0.3">
      <c r="A919" t="s">
        <v>918</v>
      </c>
      <c r="B919">
        <f>0*(1-0.8198)</f>
        <v>0</v>
      </c>
      <c r="C919" s="1">
        <v>4</v>
      </c>
    </row>
    <row r="920" spans="1:3" x14ac:dyDescent="0.3">
      <c r="A920" t="s">
        <v>919</v>
      </c>
      <c r="B920">
        <f>0*(1-0.8198)</f>
        <v>0</v>
      </c>
      <c r="C920" s="1">
        <v>5</v>
      </c>
    </row>
    <row r="921" spans="1:3" x14ac:dyDescent="0.3">
      <c r="A921" t="s">
        <v>920</v>
      </c>
      <c r="B921">
        <f>0*(1-0.8198)</f>
        <v>0</v>
      </c>
      <c r="C921" s="1">
        <v>11</v>
      </c>
    </row>
    <row r="922" spans="1:3" x14ac:dyDescent="0.3">
      <c r="A922" t="s">
        <v>921</v>
      </c>
      <c r="B922">
        <f>13.0667751928571*(1-0.8198)</f>
        <v>2.3546328897528581</v>
      </c>
      <c r="C922" s="1">
        <v>16</v>
      </c>
    </row>
    <row r="923" spans="1:3" x14ac:dyDescent="0.3">
      <c r="A923" t="s">
        <v>922</v>
      </c>
      <c r="B923">
        <f>13.8713319142857*(1-0.8198)</f>
        <v>2.4996140109542861</v>
      </c>
      <c r="C923" s="1">
        <v>18</v>
      </c>
    </row>
    <row r="924" spans="1:3" x14ac:dyDescent="0.3">
      <c r="A924" t="s">
        <v>923</v>
      </c>
      <c r="B924">
        <f>33.9748823428571*(1-0.8198)</f>
        <v>6.1222737981828566</v>
      </c>
      <c r="C924" s="1">
        <v>18</v>
      </c>
    </row>
    <row r="925" spans="1:3" x14ac:dyDescent="0.3">
      <c r="A925" t="s">
        <v>924</v>
      </c>
      <c r="B925">
        <f>37.57966553*(1-0.8198)</f>
        <v>6.7718557285060026</v>
      </c>
      <c r="C925" s="1">
        <v>19</v>
      </c>
    </row>
    <row r="926" spans="1:3" x14ac:dyDescent="0.3">
      <c r="A926" t="s">
        <v>925</v>
      </c>
      <c r="B926">
        <f>31.7640982185714*(1-0.8198)</f>
        <v>5.7238904989865729</v>
      </c>
      <c r="C926" s="1">
        <v>16</v>
      </c>
    </row>
    <row r="927" spans="1:3" x14ac:dyDescent="0.3">
      <c r="A927" t="s">
        <v>926</v>
      </c>
      <c r="B927">
        <f>8.07024*(1-0.8198)</f>
        <v>1.4542572480000004</v>
      </c>
      <c r="C927" s="1">
        <v>15</v>
      </c>
    </row>
    <row r="928" spans="1:3" x14ac:dyDescent="0.3">
      <c r="A928" t="s">
        <v>927</v>
      </c>
      <c r="B928">
        <f>15.2692448985714*(1-0.8198)</f>
        <v>2.7515179307225721</v>
      </c>
      <c r="C928" s="1">
        <v>14</v>
      </c>
    </row>
    <row r="929" spans="1:3" x14ac:dyDescent="0.3">
      <c r="A929" t="s">
        <v>928</v>
      </c>
      <c r="B929">
        <f>14.75350296*(1-0.8198)</f>
        <v>2.6585812333920007</v>
      </c>
      <c r="C929" s="1">
        <v>12</v>
      </c>
    </row>
    <row r="930" spans="1:3" x14ac:dyDescent="0.3">
      <c r="A930" t="s">
        <v>929</v>
      </c>
      <c r="B930">
        <f>6.92669824571429*(1-0.8198)</f>
        <v>1.2481910238777147</v>
      </c>
      <c r="C930" s="1">
        <v>11</v>
      </c>
    </row>
    <row r="931" spans="1:3" x14ac:dyDescent="0.3">
      <c r="A931" t="s">
        <v>930</v>
      </c>
      <c r="B931">
        <f>0*(1-0.8198)</f>
        <v>0</v>
      </c>
      <c r="C931" s="1">
        <v>8</v>
      </c>
    </row>
    <row r="932" spans="1:3" x14ac:dyDescent="0.3">
      <c r="A932" t="s">
        <v>931</v>
      </c>
      <c r="B932">
        <f>0*(1-0.8198)</f>
        <v>0</v>
      </c>
      <c r="C932" s="1">
        <v>8</v>
      </c>
    </row>
    <row r="933" spans="1:3" x14ac:dyDescent="0.3">
      <c r="A933" t="s">
        <v>932</v>
      </c>
      <c r="B933">
        <f>0*(1-0.8198)</f>
        <v>0</v>
      </c>
      <c r="C933" s="1">
        <v>11</v>
      </c>
    </row>
    <row r="934" spans="1:3" x14ac:dyDescent="0.3">
      <c r="A934" t="s">
        <v>933</v>
      </c>
      <c r="B934">
        <f>0*(1-0.8198)</f>
        <v>0</v>
      </c>
      <c r="C934" s="1">
        <v>7</v>
      </c>
    </row>
    <row r="935" spans="1:3" x14ac:dyDescent="0.3">
      <c r="A935" t="s">
        <v>934</v>
      </c>
      <c r="B935">
        <f>0*(1-0.8198)</f>
        <v>0</v>
      </c>
      <c r="C935" s="1">
        <v>7</v>
      </c>
    </row>
    <row r="936" spans="1:3" x14ac:dyDescent="0.3">
      <c r="A936" t="s">
        <v>935</v>
      </c>
      <c r="B936">
        <f>0*(1-0.8198)</f>
        <v>0</v>
      </c>
      <c r="C936" s="1">
        <v>6</v>
      </c>
    </row>
    <row r="937" spans="1:3" x14ac:dyDescent="0.3">
      <c r="A937" t="s">
        <v>936</v>
      </c>
      <c r="B937">
        <f>0*(1-0.8198)</f>
        <v>0</v>
      </c>
      <c r="C937" s="1">
        <v>7</v>
      </c>
    </row>
    <row r="938" spans="1:3" x14ac:dyDescent="0.3">
      <c r="A938" t="s">
        <v>937</v>
      </c>
      <c r="B938">
        <f>0*(1-0.8198)</f>
        <v>0</v>
      </c>
      <c r="C938" s="1">
        <v>4</v>
      </c>
    </row>
    <row r="939" spans="1:3" x14ac:dyDescent="0.3">
      <c r="A939" t="s">
        <v>938</v>
      </c>
      <c r="B939">
        <f>0*(1-0.8198)</f>
        <v>0</v>
      </c>
      <c r="C939" s="1">
        <v>5</v>
      </c>
    </row>
    <row r="940" spans="1:3" x14ac:dyDescent="0.3">
      <c r="A940" t="s">
        <v>939</v>
      </c>
      <c r="B940">
        <f>0*(1-0.8198)</f>
        <v>0</v>
      </c>
      <c r="C940" s="1">
        <v>4</v>
      </c>
    </row>
    <row r="941" spans="1:3" x14ac:dyDescent="0.3">
      <c r="A941" t="s">
        <v>940</v>
      </c>
      <c r="B941">
        <f>0*(1-0.8198)</f>
        <v>0</v>
      </c>
      <c r="C941" s="1">
        <v>5</v>
      </c>
    </row>
    <row r="942" spans="1:3" x14ac:dyDescent="0.3">
      <c r="A942" t="s">
        <v>941</v>
      </c>
      <c r="B942">
        <f>0*(1-0.8198)</f>
        <v>0</v>
      </c>
      <c r="C942" s="1">
        <v>4</v>
      </c>
    </row>
    <row r="943" spans="1:3" x14ac:dyDescent="0.3">
      <c r="A943" t="s">
        <v>942</v>
      </c>
      <c r="B943">
        <f>0*(1-0.8198)</f>
        <v>0</v>
      </c>
      <c r="C943" s="1">
        <v>5</v>
      </c>
    </row>
    <row r="944" spans="1:3" x14ac:dyDescent="0.3">
      <c r="A944" t="s">
        <v>943</v>
      </c>
      <c r="B944">
        <f>0*(1-0.8198)</f>
        <v>0</v>
      </c>
      <c r="C944" s="1">
        <v>4</v>
      </c>
    </row>
    <row r="945" spans="1:3" x14ac:dyDescent="0.3">
      <c r="A945" t="s">
        <v>944</v>
      </c>
      <c r="B945">
        <f>0.01118*(1-0.8198)</f>
        <v>2.0146360000000006E-3</v>
      </c>
      <c r="C945" s="1">
        <v>12</v>
      </c>
    </row>
    <row r="946" spans="1:3" x14ac:dyDescent="0.3">
      <c r="A946" t="s">
        <v>945</v>
      </c>
      <c r="B946">
        <f>12.7274839385714*(1-0.8198)</f>
        <v>2.293492605730572</v>
      </c>
      <c r="C946" s="1">
        <v>16</v>
      </c>
    </row>
    <row r="947" spans="1:3" x14ac:dyDescent="0.3">
      <c r="A947" t="s">
        <v>946</v>
      </c>
      <c r="B947">
        <f>26.2050512771429*(1-0.8198)</f>
        <v>4.7221502401411444</v>
      </c>
      <c r="C947" s="1">
        <v>22</v>
      </c>
    </row>
    <row r="948" spans="1:3" x14ac:dyDescent="0.3">
      <c r="A948" t="s">
        <v>947</v>
      </c>
      <c r="B948">
        <f>29.8624351971429*(1-0.8198)</f>
        <v>5.3812108225251443</v>
      </c>
      <c r="C948" s="1">
        <v>21</v>
      </c>
    </row>
    <row r="949" spans="1:3" x14ac:dyDescent="0.3">
      <c r="A949" t="s">
        <v>948</v>
      </c>
      <c r="B949">
        <f>31.8824245128571*(1-0.8198)</f>
        <v>5.7452128972168586</v>
      </c>
      <c r="C949" s="1">
        <v>20</v>
      </c>
    </row>
    <row r="950" spans="1:3" x14ac:dyDescent="0.3">
      <c r="A950" t="s">
        <v>949</v>
      </c>
      <c r="B950">
        <f>35.31523909*(1-0.8198)</f>
        <v>6.3638060840180009</v>
      </c>
      <c r="C950" s="1">
        <v>16</v>
      </c>
    </row>
    <row r="951" spans="1:3" x14ac:dyDescent="0.3">
      <c r="A951" t="s">
        <v>950</v>
      </c>
      <c r="B951">
        <f>4.53134*(1-0.8198)</f>
        <v>0.81654746800000033</v>
      </c>
      <c r="C951" s="1">
        <v>16</v>
      </c>
    </row>
    <row r="952" spans="1:3" x14ac:dyDescent="0.3">
      <c r="A952" t="s">
        <v>951</v>
      </c>
      <c r="B952">
        <f>8.12872*(1-0.8198)</f>
        <v>1.4647953440000006</v>
      </c>
      <c r="C952" s="1">
        <v>15</v>
      </c>
    </row>
    <row r="953" spans="1:3" x14ac:dyDescent="0.3">
      <c r="A953" t="s">
        <v>952</v>
      </c>
      <c r="B953">
        <f>3.53546*(1-0.8198)</f>
        <v>0.63708989200000021</v>
      </c>
      <c r="C953" s="1">
        <v>12</v>
      </c>
    </row>
    <row r="954" spans="1:3" x14ac:dyDescent="0.3">
      <c r="A954" t="s">
        <v>953</v>
      </c>
      <c r="B954">
        <f>3.55367609*(1-0.8198)</f>
        <v>0.64037243141800004</v>
      </c>
      <c r="C954" s="1">
        <v>11</v>
      </c>
    </row>
    <row r="955" spans="1:3" x14ac:dyDescent="0.3">
      <c r="A955" t="s">
        <v>954</v>
      </c>
      <c r="B955">
        <f>0*(1-0.8198)</f>
        <v>0</v>
      </c>
      <c r="C955" s="1">
        <v>10</v>
      </c>
    </row>
    <row r="956" spans="1:3" x14ac:dyDescent="0.3">
      <c r="A956" t="s">
        <v>955</v>
      </c>
      <c r="B956">
        <f>0*(1-0.8198)</f>
        <v>0</v>
      </c>
      <c r="C956" s="1">
        <v>9</v>
      </c>
    </row>
    <row r="957" spans="1:3" x14ac:dyDescent="0.3">
      <c r="A957" t="s">
        <v>956</v>
      </c>
      <c r="B957">
        <f>0*(1-0.8198)</f>
        <v>0</v>
      </c>
      <c r="C957" s="1">
        <v>9</v>
      </c>
    </row>
    <row r="958" spans="1:3" x14ac:dyDescent="0.3">
      <c r="A958" t="s">
        <v>957</v>
      </c>
      <c r="B958">
        <f>0*(1-0.8198)</f>
        <v>0</v>
      </c>
      <c r="C958" s="1">
        <v>8</v>
      </c>
    </row>
    <row r="959" spans="1:3" x14ac:dyDescent="0.3">
      <c r="A959" t="s">
        <v>958</v>
      </c>
      <c r="B959">
        <f>0*(1-0.8198)</f>
        <v>0</v>
      </c>
      <c r="C959" s="1">
        <v>7</v>
      </c>
    </row>
    <row r="960" spans="1:3" x14ac:dyDescent="0.3">
      <c r="A960" t="s">
        <v>959</v>
      </c>
      <c r="B960">
        <f>0*(1-0.8198)</f>
        <v>0</v>
      </c>
      <c r="C960" s="1">
        <v>8</v>
      </c>
    </row>
    <row r="961" spans="1:3" x14ac:dyDescent="0.3">
      <c r="A961" t="s">
        <v>960</v>
      </c>
      <c r="B961">
        <f>0*(1-0.8198)</f>
        <v>0</v>
      </c>
      <c r="C961" s="1">
        <v>6</v>
      </c>
    </row>
    <row r="962" spans="1:3" x14ac:dyDescent="0.3">
      <c r="A962" t="s">
        <v>961</v>
      </c>
      <c r="B962">
        <f>0*(1-0.8198)</f>
        <v>0</v>
      </c>
      <c r="C962" s="1">
        <v>4</v>
      </c>
    </row>
    <row r="963" spans="1:3" x14ac:dyDescent="0.3">
      <c r="A963" t="s">
        <v>962</v>
      </c>
      <c r="B963">
        <f>0*(1-0.8198)</f>
        <v>0</v>
      </c>
      <c r="C963" s="1">
        <v>5</v>
      </c>
    </row>
    <row r="964" spans="1:3" x14ac:dyDescent="0.3">
      <c r="A964" t="s">
        <v>963</v>
      </c>
      <c r="B964">
        <f>0*(1-0.8198)</f>
        <v>0</v>
      </c>
      <c r="C964" s="1">
        <v>5</v>
      </c>
    </row>
    <row r="965" spans="1:3" x14ac:dyDescent="0.3">
      <c r="A965" t="s">
        <v>964</v>
      </c>
      <c r="B965">
        <f>0*(1-0.8198)</f>
        <v>0</v>
      </c>
      <c r="C965" s="1">
        <v>4</v>
      </c>
    </row>
    <row r="966" spans="1:3" x14ac:dyDescent="0.3">
      <c r="A966" t="s">
        <v>965</v>
      </c>
      <c r="B966">
        <f>0*(1-0.8198)</f>
        <v>0</v>
      </c>
      <c r="C966" s="1">
        <v>5</v>
      </c>
    </row>
    <row r="967" spans="1:3" x14ac:dyDescent="0.3">
      <c r="A967" t="s">
        <v>966</v>
      </c>
      <c r="B967">
        <f>0*(1-0.8198)</f>
        <v>0</v>
      </c>
      <c r="C967" s="1">
        <v>4</v>
      </c>
    </row>
    <row r="968" spans="1:3" x14ac:dyDescent="0.3">
      <c r="A968" t="s">
        <v>967</v>
      </c>
      <c r="B968">
        <f>0*(1-0.8198)</f>
        <v>0</v>
      </c>
      <c r="C968" s="1">
        <v>5</v>
      </c>
    </row>
    <row r="969" spans="1:3" x14ac:dyDescent="0.3">
      <c r="A969" t="s">
        <v>968</v>
      </c>
      <c r="B969">
        <f>0.04558*(1-0.8198)</f>
        <v>8.213516000000004E-3</v>
      </c>
      <c r="C969" s="1">
        <v>4</v>
      </c>
    </row>
    <row r="970" spans="1:3" x14ac:dyDescent="0.3">
      <c r="A970" t="s">
        <v>969</v>
      </c>
      <c r="B970">
        <f>13.2414258971429*(1-0.8198)</f>
        <v>2.3861049466651436</v>
      </c>
      <c r="C970" s="1">
        <v>5</v>
      </c>
    </row>
    <row r="971" spans="1:3" x14ac:dyDescent="0.3">
      <c r="A971" t="s">
        <v>970</v>
      </c>
      <c r="B971">
        <f>26.3362642414286*(1-0.8198)</f>
        <v>4.7457948163054295</v>
      </c>
      <c r="C971" s="1">
        <v>4</v>
      </c>
    </row>
    <row r="972" spans="1:3" x14ac:dyDescent="0.3">
      <c r="A972" t="s">
        <v>971</v>
      </c>
      <c r="B972">
        <f>36.6037527642857*(1-0.8198)</f>
        <v>6.5959962481242869</v>
      </c>
      <c r="C972" s="1">
        <v>5</v>
      </c>
    </row>
    <row r="973" spans="1:3" x14ac:dyDescent="0.3">
      <c r="A973" t="s">
        <v>972</v>
      </c>
      <c r="B973">
        <f>41.7914365942857*(1-0.8198)</f>
        <v>7.5308168742902852</v>
      </c>
      <c r="C973" s="1">
        <v>5</v>
      </c>
    </row>
    <row r="974" spans="1:3" x14ac:dyDescent="0.3">
      <c r="A974" t="s">
        <v>973</v>
      </c>
      <c r="B974">
        <f>42.8552900728571*(1-0.8198)</f>
        <v>7.7225232711288587</v>
      </c>
      <c r="C974" s="1">
        <v>4</v>
      </c>
    </row>
    <row r="975" spans="1:3" x14ac:dyDescent="0.3">
      <c r="A975" t="s">
        <v>974</v>
      </c>
      <c r="B975">
        <f>35.4506170342857*(1-0.8198)</f>
        <v>6.3882011895782878</v>
      </c>
      <c r="C975" s="1">
        <v>5</v>
      </c>
    </row>
    <row r="976" spans="1:3" x14ac:dyDescent="0.3">
      <c r="A976" t="s">
        <v>975</v>
      </c>
      <c r="B976">
        <f>27.3188092042857*(1-0.8198)</f>
        <v>4.9228494186122873</v>
      </c>
      <c r="C976" s="1">
        <v>4</v>
      </c>
    </row>
    <row r="977" spans="1:3" x14ac:dyDescent="0.3">
      <c r="A977" t="s">
        <v>976</v>
      </c>
      <c r="B977">
        <f>21.4047965871429*(1-0.8198)</f>
        <v>3.8571443450031442</v>
      </c>
      <c r="C977" s="1">
        <v>5</v>
      </c>
    </row>
    <row r="978" spans="1:3" x14ac:dyDescent="0.3">
      <c r="A978" t="s">
        <v>977</v>
      </c>
      <c r="B978">
        <f>8.30404549714286*(1-0.8198)</f>
        <v>1.4963889985851433</v>
      </c>
      <c r="C978" s="1">
        <v>4</v>
      </c>
    </row>
    <row r="979" spans="1:3" x14ac:dyDescent="0.3">
      <c r="A979" t="s">
        <v>978</v>
      </c>
      <c r="B979">
        <f>0*(1-0.8198)</f>
        <v>0</v>
      </c>
      <c r="C979" s="1">
        <v>5</v>
      </c>
    </row>
    <row r="980" spans="1:3" x14ac:dyDescent="0.3">
      <c r="A980" t="s">
        <v>979</v>
      </c>
      <c r="B980">
        <f>0*(1-0.8198)</f>
        <v>0</v>
      </c>
      <c r="C980" s="1">
        <v>4</v>
      </c>
    </row>
    <row r="981" spans="1:3" x14ac:dyDescent="0.3">
      <c r="A981" t="s">
        <v>980</v>
      </c>
      <c r="B981">
        <f>0*(1-0.8198)</f>
        <v>0</v>
      </c>
      <c r="C981" s="1">
        <v>5</v>
      </c>
    </row>
    <row r="982" spans="1:3" x14ac:dyDescent="0.3">
      <c r="A982" t="s">
        <v>981</v>
      </c>
      <c r="B982">
        <f>0*(1-0.8198)</f>
        <v>0</v>
      </c>
      <c r="C982" s="1">
        <v>4</v>
      </c>
    </row>
    <row r="983" spans="1:3" x14ac:dyDescent="0.3">
      <c r="A983" t="s">
        <v>982</v>
      </c>
      <c r="B983">
        <f>0*(1-0.8198)</f>
        <v>0</v>
      </c>
      <c r="C983" s="1">
        <v>5</v>
      </c>
    </row>
    <row r="984" spans="1:3" x14ac:dyDescent="0.3">
      <c r="A984" t="s">
        <v>983</v>
      </c>
      <c r="B984">
        <f>0*(1-0.8198)</f>
        <v>0</v>
      </c>
      <c r="C984" s="1">
        <v>5</v>
      </c>
    </row>
    <row r="985" spans="1:3" x14ac:dyDescent="0.3">
      <c r="A985" t="s">
        <v>984</v>
      </c>
      <c r="B985">
        <f>0*(1-0.8198)</f>
        <v>0</v>
      </c>
      <c r="C985" s="1">
        <v>4</v>
      </c>
    </row>
    <row r="986" spans="1:3" x14ac:dyDescent="0.3">
      <c r="A986" t="s">
        <v>985</v>
      </c>
      <c r="B986">
        <f>0*(1-0.8198)</f>
        <v>0</v>
      </c>
      <c r="C986" s="1">
        <v>5</v>
      </c>
    </row>
    <row r="987" spans="1:3" x14ac:dyDescent="0.3">
      <c r="A987" t="s">
        <v>986</v>
      </c>
      <c r="B987">
        <f>0*(1-0.8198)</f>
        <v>0</v>
      </c>
      <c r="C987" s="1">
        <v>4</v>
      </c>
    </row>
    <row r="988" spans="1:3" x14ac:dyDescent="0.3">
      <c r="A988" t="s">
        <v>987</v>
      </c>
      <c r="B988">
        <f>0*(1-0.8198)</f>
        <v>0</v>
      </c>
      <c r="C988" s="1">
        <v>5</v>
      </c>
    </row>
    <row r="989" spans="1:3" x14ac:dyDescent="0.3">
      <c r="A989" t="s">
        <v>988</v>
      </c>
      <c r="B989">
        <f>0*(1-0.8198)</f>
        <v>0</v>
      </c>
      <c r="C989" s="1">
        <v>4</v>
      </c>
    </row>
    <row r="990" spans="1:3" x14ac:dyDescent="0.3">
      <c r="A990" t="s">
        <v>989</v>
      </c>
      <c r="B990">
        <f>0*(1-0.8198)</f>
        <v>0</v>
      </c>
      <c r="C990" s="1">
        <v>5</v>
      </c>
    </row>
    <row r="991" spans="1:3" x14ac:dyDescent="0.3">
      <c r="A991" t="s">
        <v>990</v>
      </c>
      <c r="B991">
        <f>0*(1-0.8198)</f>
        <v>0</v>
      </c>
      <c r="C991" s="1">
        <v>4</v>
      </c>
    </row>
    <row r="992" spans="1:3" x14ac:dyDescent="0.3">
      <c r="A992" t="s">
        <v>991</v>
      </c>
      <c r="B992">
        <f>0*(1-0.8198)</f>
        <v>0</v>
      </c>
      <c r="C992" s="1">
        <v>5</v>
      </c>
    </row>
    <row r="993" spans="1:3" x14ac:dyDescent="0.3">
      <c r="A993" t="s">
        <v>992</v>
      </c>
      <c r="B993">
        <f>0.12642*(1-0.8198)</f>
        <v>2.2780884000000005E-2</v>
      </c>
      <c r="C993" s="1">
        <v>4</v>
      </c>
    </row>
    <row r="994" spans="1:3" x14ac:dyDescent="0.3">
      <c r="A994" t="s">
        <v>993</v>
      </c>
      <c r="B994">
        <f>14.0813488285714*(1-0.8198)</f>
        <v>2.5374590589085719</v>
      </c>
      <c r="C994" s="1">
        <v>5</v>
      </c>
    </row>
    <row r="995" spans="1:3" x14ac:dyDescent="0.3">
      <c r="A995" t="s">
        <v>994</v>
      </c>
      <c r="B995">
        <f>26.5192551642857*(1-0.8198)</f>
        <v>4.7787697806042875</v>
      </c>
      <c r="C995" s="1">
        <v>4</v>
      </c>
    </row>
    <row r="996" spans="1:3" x14ac:dyDescent="0.3">
      <c r="A996" t="s">
        <v>995</v>
      </c>
      <c r="B996">
        <f>35.0222592042857*(1-0.8198)</f>
        <v>6.3110111086122869</v>
      </c>
      <c r="C996" s="1">
        <v>5</v>
      </c>
    </row>
    <row r="997" spans="1:3" x14ac:dyDescent="0.3">
      <c r="A997" t="s">
        <v>996</v>
      </c>
      <c r="B997">
        <f>40.6493027214286*(1-0.8198)</f>
        <v>7.3250043504014304</v>
      </c>
      <c r="C997" s="1">
        <v>4</v>
      </c>
    </row>
    <row r="998" spans="1:3" x14ac:dyDescent="0.3">
      <c r="A998" t="s">
        <v>997</v>
      </c>
      <c r="B998">
        <f>41.6700034271429*(1-0.8198)</f>
        <v>7.5089346175711444</v>
      </c>
      <c r="C998" s="1">
        <v>5</v>
      </c>
    </row>
    <row r="999" spans="1:3" x14ac:dyDescent="0.3">
      <c r="A999" t="s">
        <v>998</v>
      </c>
      <c r="B999">
        <f>40.1296930557143*(1-0.8198)</f>
        <v>7.231370688639716</v>
      </c>
      <c r="C999" s="1">
        <v>4</v>
      </c>
    </row>
    <row r="1000" spans="1:3" x14ac:dyDescent="0.3">
      <c r="A1000" t="s">
        <v>999</v>
      </c>
      <c r="B1000">
        <f>32.5761288314286*(1-0.8198)</f>
        <v>5.8702184154234303</v>
      </c>
      <c r="C1000" s="1">
        <v>5</v>
      </c>
    </row>
    <row r="1001" spans="1:3" x14ac:dyDescent="0.3">
      <c r="A1001" t="s">
        <v>1000</v>
      </c>
      <c r="B1001">
        <f>21.7398067*(1-0.8198)</f>
        <v>3.9175131673400005</v>
      </c>
      <c r="C1001" s="1">
        <v>5</v>
      </c>
    </row>
    <row r="1002" spans="1:3" x14ac:dyDescent="0.3">
      <c r="A1002" t="s">
        <v>1001</v>
      </c>
      <c r="B1002">
        <f>8.71097452285714*(1-0.8198)</f>
        <v>1.5697176090188576</v>
      </c>
      <c r="C1002" s="1">
        <v>4</v>
      </c>
    </row>
    <row r="1003" spans="1:3" x14ac:dyDescent="0.3">
      <c r="A1003" t="s">
        <v>1002</v>
      </c>
      <c r="B1003">
        <f>0*(1-0.8198)</f>
        <v>0</v>
      </c>
      <c r="C1003" s="1">
        <v>5</v>
      </c>
    </row>
    <row r="1004" spans="1:3" x14ac:dyDescent="0.3">
      <c r="A1004" t="s">
        <v>1003</v>
      </c>
      <c r="B1004">
        <f>0*(1-0.8198)</f>
        <v>0</v>
      </c>
      <c r="C1004" s="1">
        <v>4</v>
      </c>
    </row>
    <row r="1005" spans="1:3" x14ac:dyDescent="0.3">
      <c r="A1005" t="s">
        <v>1004</v>
      </c>
      <c r="B1005">
        <f>0*(1-0.8198)</f>
        <v>0</v>
      </c>
      <c r="C1005" s="1">
        <v>5</v>
      </c>
    </row>
    <row r="1006" spans="1:3" x14ac:dyDescent="0.3">
      <c r="A1006" t="s">
        <v>1005</v>
      </c>
      <c r="B1006">
        <f>0*(1-0.8198)</f>
        <v>0</v>
      </c>
      <c r="C1006" s="1">
        <v>4</v>
      </c>
    </row>
    <row r="1007" spans="1:3" x14ac:dyDescent="0.3">
      <c r="A1007" t="s">
        <v>1006</v>
      </c>
      <c r="B1007">
        <f>0*(1-0.8198)</f>
        <v>0</v>
      </c>
      <c r="C1007" s="1">
        <v>4</v>
      </c>
    </row>
    <row r="1008" spans="1:3" x14ac:dyDescent="0.3">
      <c r="A1008" t="s">
        <v>1007</v>
      </c>
      <c r="B1008">
        <f>0*(1-0.8198)</f>
        <v>0</v>
      </c>
      <c r="C1008" s="1">
        <v>5</v>
      </c>
    </row>
    <row r="1009" spans="1:3" x14ac:dyDescent="0.3">
      <c r="A1009" t="s">
        <v>1008</v>
      </c>
      <c r="B1009">
        <f>0*(1-0.8198)</f>
        <v>0</v>
      </c>
      <c r="C1009" s="1">
        <v>4</v>
      </c>
    </row>
    <row r="1010" spans="1:3" x14ac:dyDescent="0.3">
      <c r="A1010" t="s">
        <v>1009</v>
      </c>
      <c r="B1010">
        <f>0*(1-0.8198)</f>
        <v>0</v>
      </c>
      <c r="C1010" s="1">
        <v>5</v>
      </c>
    </row>
    <row r="1011" spans="1:3" x14ac:dyDescent="0.3">
      <c r="A1011" t="s">
        <v>1010</v>
      </c>
      <c r="B1011">
        <f>0*(1-0.8198)</f>
        <v>0</v>
      </c>
      <c r="C1011" s="1">
        <v>4</v>
      </c>
    </row>
    <row r="1012" spans="1:3" x14ac:dyDescent="0.3">
      <c r="A1012" t="s">
        <v>1011</v>
      </c>
      <c r="B1012">
        <f>0*(1-0.8198)</f>
        <v>0</v>
      </c>
      <c r="C1012" s="1">
        <v>4</v>
      </c>
    </row>
    <row r="1013" spans="1:3" x14ac:dyDescent="0.3">
      <c r="A1013" t="s">
        <v>1012</v>
      </c>
      <c r="B1013">
        <f>0*(1-0.8198)</f>
        <v>0</v>
      </c>
      <c r="C1013" s="1">
        <v>5</v>
      </c>
    </row>
    <row r="1014" spans="1:3" x14ac:dyDescent="0.3">
      <c r="A1014" t="s">
        <v>1013</v>
      </c>
      <c r="B1014">
        <f>0*(1-0.8198)</f>
        <v>0</v>
      </c>
      <c r="C1014" s="1">
        <v>4</v>
      </c>
    </row>
    <row r="1015" spans="1:3" x14ac:dyDescent="0.3">
      <c r="A1015" t="s">
        <v>1014</v>
      </c>
      <c r="B1015">
        <f>0*(1-0.8198)</f>
        <v>0</v>
      </c>
      <c r="C1015" s="1">
        <v>5</v>
      </c>
    </row>
    <row r="1016" spans="1:3" x14ac:dyDescent="0.3">
      <c r="A1016" t="s">
        <v>1015</v>
      </c>
      <c r="B1016">
        <f>0*(1-0.8198)</f>
        <v>0</v>
      </c>
      <c r="C1016" s="1">
        <v>4</v>
      </c>
    </row>
    <row r="1017" spans="1:3" x14ac:dyDescent="0.3">
      <c r="A1017" t="s">
        <v>1016</v>
      </c>
      <c r="B1017">
        <f>0.17114*(1-0.8198)</f>
        <v>3.0839428000000006E-2</v>
      </c>
      <c r="C1017" s="1">
        <v>5</v>
      </c>
    </row>
    <row r="1018" spans="1:3" x14ac:dyDescent="0.3">
      <c r="A1018" t="s">
        <v>1017</v>
      </c>
      <c r="B1018">
        <f>14.5090166928571*(1-0.8198)</f>
        <v>2.6145248080528578</v>
      </c>
      <c r="C1018" s="1">
        <v>4</v>
      </c>
    </row>
    <row r="1019" spans="1:3" x14ac:dyDescent="0.3">
      <c r="A1019" t="s">
        <v>1018</v>
      </c>
      <c r="B1019">
        <f>27.6427583657143*(1-0.8198)</f>
        <v>4.9812250575017165</v>
      </c>
      <c r="C1019" s="1">
        <v>4</v>
      </c>
    </row>
    <row r="1020" spans="1:3" x14ac:dyDescent="0.3">
      <c r="A1020" t="s">
        <v>1019</v>
      </c>
      <c r="B1020">
        <f>37.55619097*(1-0.8198)</f>
        <v>6.7676256127940011</v>
      </c>
      <c r="C1020" s="1">
        <v>5</v>
      </c>
    </row>
    <row r="1021" spans="1:3" x14ac:dyDescent="0.3">
      <c r="A1021" t="s">
        <v>1020</v>
      </c>
      <c r="B1021">
        <f>43.3608840728571*(1-0.8198)</f>
        <v>7.8136313099288586</v>
      </c>
      <c r="C1021" s="1">
        <v>5</v>
      </c>
    </row>
    <row r="1022" spans="1:3" x14ac:dyDescent="0.3">
      <c r="A1022" t="s">
        <v>1021</v>
      </c>
      <c r="B1022">
        <f>44.6632755671428*(1-0.8198)</f>
        <v>8.0483222571991426</v>
      </c>
      <c r="C1022" s="1">
        <v>4</v>
      </c>
    </row>
    <row r="1023" spans="1:3" x14ac:dyDescent="0.3">
      <c r="A1023" t="s">
        <v>1022</v>
      </c>
      <c r="B1023">
        <f>41.7138675428571*(1-0.8198)</f>
        <v>7.516838931222857</v>
      </c>
      <c r="C1023" s="1">
        <v>5</v>
      </c>
    </row>
    <row r="1024" spans="1:3" x14ac:dyDescent="0.3">
      <c r="A1024" t="s">
        <v>1023</v>
      </c>
      <c r="B1024">
        <f>34.3248484085714*(1-0.8198)</f>
        <v>6.1853376832245717</v>
      </c>
      <c r="C1024" s="1">
        <v>4</v>
      </c>
    </row>
    <row r="1025" spans="1:3" x14ac:dyDescent="0.3">
      <c r="A1025" t="s">
        <v>1024</v>
      </c>
      <c r="B1025">
        <f>22.5218606614286*(1-0.8198)</f>
        <v>4.0584392911894298</v>
      </c>
      <c r="C1025" s="1">
        <v>5</v>
      </c>
    </row>
    <row r="1026" spans="1:3" x14ac:dyDescent="0.3">
      <c r="A1026" t="s">
        <v>1025</v>
      </c>
      <c r="B1026">
        <f>9.01691215142857*(1-0.8198)</f>
        <v>1.6248475696874294</v>
      </c>
      <c r="C1026" s="1">
        <v>6</v>
      </c>
    </row>
    <row r="1027" spans="1:3" x14ac:dyDescent="0.3">
      <c r="A1027" t="s">
        <v>1026</v>
      </c>
      <c r="B1027">
        <f>0*(1-0.8198)</f>
        <v>0</v>
      </c>
      <c r="C1027" s="1">
        <v>6</v>
      </c>
    </row>
    <row r="1028" spans="1:3" x14ac:dyDescent="0.3">
      <c r="A1028" t="s">
        <v>1027</v>
      </c>
      <c r="B1028">
        <f>0*(1-0.8198)</f>
        <v>0</v>
      </c>
      <c r="C1028" s="1">
        <v>7</v>
      </c>
    </row>
    <row r="1029" spans="1:3" x14ac:dyDescent="0.3">
      <c r="A1029" t="s">
        <v>1028</v>
      </c>
      <c r="B1029">
        <f>0*(1-0.8198)</f>
        <v>0</v>
      </c>
      <c r="C1029" s="1">
        <v>9</v>
      </c>
    </row>
    <row r="1030" spans="1:3" x14ac:dyDescent="0.3">
      <c r="A1030" t="s">
        <v>1029</v>
      </c>
      <c r="B1030">
        <f>0*(1-0.8198)</f>
        <v>0</v>
      </c>
      <c r="C1030" s="1">
        <v>10</v>
      </c>
    </row>
    <row r="1031" spans="1:3" x14ac:dyDescent="0.3">
      <c r="A1031" t="s">
        <v>1030</v>
      </c>
      <c r="B1031">
        <f>0*(1-0.8198)</f>
        <v>0</v>
      </c>
      <c r="C1031" s="1">
        <v>6</v>
      </c>
    </row>
    <row r="1032" spans="1:3" x14ac:dyDescent="0.3">
      <c r="A1032" t="s">
        <v>1031</v>
      </c>
      <c r="B1032">
        <f>0*(1-0.8198)</f>
        <v>0</v>
      </c>
      <c r="C1032" s="1">
        <v>7</v>
      </c>
    </row>
    <row r="1033" spans="1:3" x14ac:dyDescent="0.3">
      <c r="A1033" t="s">
        <v>1032</v>
      </c>
      <c r="B1033">
        <f>0*(1-0.8198)</f>
        <v>0</v>
      </c>
      <c r="C1033" s="1">
        <v>6</v>
      </c>
    </row>
    <row r="1034" spans="1:3" x14ac:dyDescent="0.3">
      <c r="A1034" t="s">
        <v>1033</v>
      </c>
      <c r="B1034">
        <f>0*(1-0.8198)</f>
        <v>0</v>
      </c>
      <c r="C1034" s="1">
        <v>5</v>
      </c>
    </row>
    <row r="1035" spans="1:3" x14ac:dyDescent="0.3">
      <c r="A1035" t="s">
        <v>1034</v>
      </c>
      <c r="B1035">
        <f>0*(1-0.8198)</f>
        <v>0</v>
      </c>
      <c r="C1035" s="1">
        <v>4</v>
      </c>
    </row>
    <row r="1036" spans="1:3" x14ac:dyDescent="0.3">
      <c r="A1036" t="s">
        <v>1035</v>
      </c>
      <c r="B1036">
        <f>0*(1-0.8198)</f>
        <v>0</v>
      </c>
      <c r="C1036" s="1">
        <v>5</v>
      </c>
    </row>
    <row r="1037" spans="1:3" x14ac:dyDescent="0.3">
      <c r="A1037" t="s">
        <v>1036</v>
      </c>
      <c r="B1037">
        <f>0*(1-0.8198)</f>
        <v>0</v>
      </c>
      <c r="C1037" s="1">
        <v>4</v>
      </c>
    </row>
    <row r="1038" spans="1:3" x14ac:dyDescent="0.3">
      <c r="A1038" t="s">
        <v>1037</v>
      </c>
      <c r="B1038">
        <f>0*(1-0.8198)</f>
        <v>0</v>
      </c>
      <c r="C1038" s="1">
        <v>5</v>
      </c>
    </row>
    <row r="1039" spans="1:3" x14ac:dyDescent="0.3">
      <c r="A1039" t="s">
        <v>1038</v>
      </c>
      <c r="B1039">
        <f>0*(1-0.8198)</f>
        <v>0</v>
      </c>
      <c r="C1039" s="1">
        <v>4</v>
      </c>
    </row>
    <row r="1040" spans="1:3" x14ac:dyDescent="0.3">
      <c r="A1040" t="s">
        <v>1039</v>
      </c>
      <c r="B1040">
        <f>0*(1-0.8198)</f>
        <v>0</v>
      </c>
      <c r="C1040" s="1">
        <v>5</v>
      </c>
    </row>
    <row r="1041" spans="1:3" x14ac:dyDescent="0.3">
      <c r="A1041" t="s">
        <v>1040</v>
      </c>
      <c r="B1041">
        <f>0.26316*(1-0.8198)</f>
        <v>4.7421432000000006E-2</v>
      </c>
      <c r="C1041" s="1">
        <v>12</v>
      </c>
    </row>
    <row r="1042" spans="1:3" x14ac:dyDescent="0.3">
      <c r="A1042" t="s">
        <v>1041</v>
      </c>
      <c r="B1042">
        <f>14.8499776985714*(1-0.8198)</f>
        <v>2.6759659812825722</v>
      </c>
      <c r="C1042" s="1">
        <v>13</v>
      </c>
    </row>
    <row r="1043" spans="1:3" x14ac:dyDescent="0.3">
      <c r="A1043" t="s">
        <v>1042</v>
      </c>
      <c r="B1043">
        <f>28.0034870857143*(1-0.8198)</f>
        <v>5.0462283728457162</v>
      </c>
      <c r="C1043" s="1">
        <v>15</v>
      </c>
    </row>
    <row r="1044" spans="1:3" x14ac:dyDescent="0.3">
      <c r="A1044" t="s">
        <v>1043</v>
      </c>
      <c r="B1044">
        <f>37.4087937271429*(1-0.8198)</f>
        <v>6.7410646296311443</v>
      </c>
      <c r="C1044" s="1">
        <v>19</v>
      </c>
    </row>
    <row r="1045" spans="1:3" x14ac:dyDescent="0.3">
      <c r="A1045" t="s">
        <v>1044</v>
      </c>
      <c r="B1045">
        <f>43.46460425*(1-0.8198)</f>
        <v>7.8323216858500029</v>
      </c>
      <c r="C1045" s="1">
        <v>17</v>
      </c>
    </row>
    <row r="1046" spans="1:3" x14ac:dyDescent="0.3">
      <c r="A1046" t="s">
        <v>1045</v>
      </c>
      <c r="B1046">
        <f>45.0993731514286*(1-0.8198)</f>
        <v>8.1269070418874332</v>
      </c>
      <c r="C1046" s="1">
        <v>15</v>
      </c>
    </row>
    <row r="1047" spans="1:3" x14ac:dyDescent="0.3">
      <c r="A1047" t="s">
        <v>1046</v>
      </c>
      <c r="B1047">
        <f>41.8632824071429*(1-0.8198)</f>
        <v>7.5437634897671462</v>
      </c>
      <c r="C1047" s="1">
        <v>17</v>
      </c>
    </row>
    <row r="1048" spans="1:3" x14ac:dyDescent="0.3">
      <c r="A1048" t="s">
        <v>1047</v>
      </c>
      <c r="B1048">
        <f>34.2639745985714*(1-0.8198)</f>
        <v>6.174368222662574</v>
      </c>
      <c r="C1048" s="1">
        <v>14</v>
      </c>
    </row>
    <row r="1049" spans="1:3" x14ac:dyDescent="0.3">
      <c r="A1049" t="s">
        <v>1048</v>
      </c>
      <c r="B1049">
        <f>22.57482671*(1-0.8198)</f>
        <v>4.067983773142001</v>
      </c>
      <c r="C1049" s="1">
        <v>12</v>
      </c>
    </row>
    <row r="1050" spans="1:3" x14ac:dyDescent="0.3">
      <c r="A1050" t="s">
        <v>1049</v>
      </c>
      <c r="B1050">
        <f>9.19720814142857*(1-0.8198)</f>
        <v>1.6573369070854289</v>
      </c>
      <c r="C1050" s="1">
        <v>10</v>
      </c>
    </row>
    <row r="1051" spans="1:3" x14ac:dyDescent="0.3">
      <c r="A1051" t="s">
        <v>1050</v>
      </c>
      <c r="B1051">
        <f>0*(1-0.8198)</f>
        <v>0</v>
      </c>
      <c r="C1051" s="1">
        <v>9</v>
      </c>
    </row>
    <row r="1052" spans="1:3" x14ac:dyDescent="0.3">
      <c r="A1052" t="s">
        <v>1051</v>
      </c>
      <c r="B1052">
        <f>0*(1-0.8198)</f>
        <v>0</v>
      </c>
      <c r="C1052" s="1">
        <v>8</v>
      </c>
    </row>
    <row r="1053" spans="1:3" x14ac:dyDescent="0.3">
      <c r="A1053" t="s">
        <v>1052</v>
      </c>
      <c r="B1053">
        <f>0*(1-0.8198)</f>
        <v>0</v>
      </c>
      <c r="C1053" s="1">
        <v>12</v>
      </c>
    </row>
    <row r="1054" spans="1:3" x14ac:dyDescent="0.3">
      <c r="A1054" t="s">
        <v>1053</v>
      </c>
      <c r="B1054">
        <f>0*(1-0.8198)</f>
        <v>0</v>
      </c>
      <c r="C1054" s="1">
        <v>8</v>
      </c>
    </row>
    <row r="1055" spans="1:3" x14ac:dyDescent="0.3">
      <c r="A1055" t="s">
        <v>1054</v>
      </c>
      <c r="B1055">
        <f>0*(1-0.8198)</f>
        <v>0</v>
      </c>
      <c r="C1055" s="1">
        <v>7</v>
      </c>
    </row>
    <row r="1056" spans="1:3" x14ac:dyDescent="0.3">
      <c r="A1056" t="s">
        <v>1055</v>
      </c>
      <c r="B1056">
        <f>0*(1-0.8198)</f>
        <v>0</v>
      </c>
      <c r="C1056" s="1">
        <v>6</v>
      </c>
    </row>
    <row r="1057" spans="1:3" x14ac:dyDescent="0.3">
      <c r="A1057" t="s">
        <v>1056</v>
      </c>
      <c r="B1057">
        <f>0*(1-0.8198)</f>
        <v>0</v>
      </c>
      <c r="C1057" s="1">
        <v>6</v>
      </c>
    </row>
    <row r="1058" spans="1:3" x14ac:dyDescent="0.3">
      <c r="A1058" t="s">
        <v>1057</v>
      </c>
      <c r="B1058">
        <f>0*(1-0.8198)</f>
        <v>0</v>
      </c>
      <c r="C1058" s="1">
        <v>5</v>
      </c>
    </row>
    <row r="1059" spans="1:3" x14ac:dyDescent="0.3">
      <c r="A1059" t="s">
        <v>1058</v>
      </c>
      <c r="B1059">
        <f>0*(1-0.8198)</f>
        <v>0</v>
      </c>
      <c r="C1059" s="1">
        <v>5</v>
      </c>
    </row>
    <row r="1060" spans="1:3" x14ac:dyDescent="0.3">
      <c r="A1060" t="s">
        <v>1059</v>
      </c>
      <c r="B1060">
        <f>0*(1-0.8198)</f>
        <v>0</v>
      </c>
      <c r="C1060" s="1">
        <v>4</v>
      </c>
    </row>
    <row r="1061" spans="1:3" x14ac:dyDescent="0.3">
      <c r="A1061" t="s">
        <v>1060</v>
      </c>
      <c r="B1061">
        <f>0*(1-0.8198)</f>
        <v>0</v>
      </c>
      <c r="C1061" s="1">
        <v>5</v>
      </c>
    </row>
    <row r="1062" spans="1:3" x14ac:dyDescent="0.3">
      <c r="A1062" t="s">
        <v>1061</v>
      </c>
      <c r="B1062">
        <f>0*(1-0.8198)</f>
        <v>0</v>
      </c>
      <c r="C1062" s="1">
        <v>4</v>
      </c>
    </row>
    <row r="1063" spans="1:3" x14ac:dyDescent="0.3">
      <c r="A1063" t="s">
        <v>1062</v>
      </c>
      <c r="B1063">
        <f>0*(1-0.8198)</f>
        <v>0</v>
      </c>
      <c r="C1063" s="1">
        <v>4</v>
      </c>
    </row>
    <row r="1064" spans="1:3" x14ac:dyDescent="0.3">
      <c r="A1064" t="s">
        <v>1063</v>
      </c>
      <c r="B1064">
        <f>0*(1-0.8198)</f>
        <v>0</v>
      </c>
      <c r="C1064" s="1">
        <v>5</v>
      </c>
    </row>
    <row r="1065" spans="1:3" x14ac:dyDescent="0.3">
      <c r="A1065" t="s">
        <v>1064</v>
      </c>
      <c r="B1065">
        <f>0.35862*(1-0.8198)</f>
        <v>6.462332400000001E-2</v>
      </c>
      <c r="C1065" s="1">
        <v>10</v>
      </c>
    </row>
    <row r="1066" spans="1:3" x14ac:dyDescent="0.3">
      <c r="A1066" t="s">
        <v>1065</v>
      </c>
      <c r="B1066">
        <f>14.9368168128571*(1-0.8198)</f>
        <v>2.6916143896768583</v>
      </c>
      <c r="C1066" s="1">
        <v>14</v>
      </c>
    </row>
    <row r="1067" spans="1:3" x14ac:dyDescent="0.3">
      <c r="A1067" t="s">
        <v>1066</v>
      </c>
      <c r="B1067">
        <f>27.8113433671429*(1-0.8198)</f>
        <v>5.0116040747591439</v>
      </c>
      <c r="C1067" s="1">
        <v>16</v>
      </c>
    </row>
    <row r="1068" spans="1:3" x14ac:dyDescent="0.3">
      <c r="A1068" t="s">
        <v>1067</v>
      </c>
      <c r="B1068">
        <f>38.1251911114286*(1-0.8198)</f>
        <v>6.8701594382794298</v>
      </c>
      <c r="C1068" s="1">
        <v>16</v>
      </c>
    </row>
    <row r="1069" spans="1:3" x14ac:dyDescent="0.3">
      <c r="A1069" t="s">
        <v>1068</v>
      </c>
      <c r="B1069">
        <f>44.0485504542857*(1-0.8198)</f>
        <v>7.9375487918622891</v>
      </c>
      <c r="C1069" s="1">
        <v>15</v>
      </c>
    </row>
    <row r="1070" spans="1:3" x14ac:dyDescent="0.3">
      <c r="A1070" t="s">
        <v>1069</v>
      </c>
      <c r="B1070">
        <f>43.5514379585714*(1-0.8198)</f>
        <v>7.8479691201345734</v>
      </c>
      <c r="C1070" s="1">
        <v>15</v>
      </c>
    </row>
    <row r="1071" spans="1:3" x14ac:dyDescent="0.3">
      <c r="A1071" t="s">
        <v>1070</v>
      </c>
      <c r="B1071">
        <f>40.7720249057143*(1-0.8198)</f>
        <v>7.3471188880097147</v>
      </c>
      <c r="C1071" s="1">
        <v>15</v>
      </c>
    </row>
    <row r="1072" spans="1:3" x14ac:dyDescent="0.3">
      <c r="A1072" t="s">
        <v>1071</v>
      </c>
      <c r="B1072">
        <f>33.9712007442857*(1-0.8198)</f>
        <v>6.1216103741202881</v>
      </c>
      <c r="C1072" s="1">
        <v>14</v>
      </c>
    </row>
    <row r="1073" spans="1:3" x14ac:dyDescent="0.3">
      <c r="A1073" t="s">
        <v>1072</v>
      </c>
      <c r="B1073">
        <f>22.8289493385714*(1-0.8198)</f>
        <v>4.113776670810573</v>
      </c>
      <c r="C1073" s="1">
        <v>11</v>
      </c>
    </row>
    <row r="1074" spans="1:3" x14ac:dyDescent="0.3">
      <c r="A1074" t="s">
        <v>1073</v>
      </c>
      <c r="B1074">
        <f>9.25536072714286*(1-0.8198)</f>
        <v>1.6678160030311437</v>
      </c>
      <c r="C1074" s="1">
        <v>10</v>
      </c>
    </row>
    <row r="1075" spans="1:3" x14ac:dyDescent="0.3">
      <c r="A1075" t="s">
        <v>1074</v>
      </c>
      <c r="B1075">
        <f>0*(1-0.8198)</f>
        <v>0</v>
      </c>
      <c r="C1075" s="1">
        <v>10</v>
      </c>
    </row>
    <row r="1076" spans="1:3" x14ac:dyDescent="0.3">
      <c r="A1076" t="s">
        <v>1075</v>
      </c>
      <c r="B1076">
        <f>0*(1-0.8198)</f>
        <v>0</v>
      </c>
      <c r="C1076" s="1">
        <v>9</v>
      </c>
    </row>
    <row r="1077" spans="1:3" x14ac:dyDescent="0.3">
      <c r="A1077" t="s">
        <v>1076</v>
      </c>
      <c r="B1077">
        <f>0*(1-0.8198)</f>
        <v>0</v>
      </c>
      <c r="C1077" s="1">
        <v>10</v>
      </c>
    </row>
    <row r="1078" spans="1:3" x14ac:dyDescent="0.3">
      <c r="A1078" t="s">
        <v>1077</v>
      </c>
      <c r="B1078">
        <f>0*(1-0.8198)</f>
        <v>0</v>
      </c>
      <c r="C1078" s="1">
        <v>8</v>
      </c>
    </row>
    <row r="1079" spans="1:3" x14ac:dyDescent="0.3">
      <c r="A1079" t="s">
        <v>1078</v>
      </c>
      <c r="B1079">
        <f>0*(1-0.8198)</f>
        <v>0</v>
      </c>
      <c r="C1079" s="1">
        <v>7</v>
      </c>
    </row>
    <row r="1080" spans="1:3" x14ac:dyDescent="0.3">
      <c r="A1080" t="s">
        <v>1079</v>
      </c>
      <c r="B1080">
        <f>0*(1-0.8198)</f>
        <v>0</v>
      </c>
      <c r="C1080" s="1">
        <v>7</v>
      </c>
    </row>
    <row r="1081" spans="1:3" x14ac:dyDescent="0.3">
      <c r="A1081" t="s">
        <v>1080</v>
      </c>
      <c r="B1081">
        <f>0*(1-0.8198)</f>
        <v>0</v>
      </c>
      <c r="C1081" s="1">
        <v>6</v>
      </c>
    </row>
    <row r="1082" spans="1:3" x14ac:dyDescent="0.3">
      <c r="A1082" t="s">
        <v>1081</v>
      </c>
      <c r="B1082">
        <f>0*(1-0.8198)</f>
        <v>0</v>
      </c>
      <c r="C1082" s="1">
        <v>5</v>
      </c>
    </row>
    <row r="1083" spans="1:3" x14ac:dyDescent="0.3">
      <c r="A1083" t="s">
        <v>1082</v>
      </c>
      <c r="B1083">
        <f>0*(1-0.8198)</f>
        <v>0</v>
      </c>
      <c r="C1083" s="1">
        <v>5</v>
      </c>
    </row>
    <row r="1084" spans="1:3" x14ac:dyDescent="0.3">
      <c r="A1084" t="s">
        <v>1083</v>
      </c>
      <c r="B1084">
        <f>0*(1-0.8198)</f>
        <v>0</v>
      </c>
      <c r="C1084" s="1">
        <v>4</v>
      </c>
    </row>
    <row r="1085" spans="1:3" x14ac:dyDescent="0.3">
      <c r="A1085" t="s">
        <v>1084</v>
      </c>
      <c r="B1085">
        <f>0*(1-0.8198)</f>
        <v>0</v>
      </c>
      <c r="C1085" s="1">
        <v>5</v>
      </c>
    </row>
    <row r="1086" spans="1:3" x14ac:dyDescent="0.3">
      <c r="A1086" t="s">
        <v>1085</v>
      </c>
      <c r="B1086">
        <f>0*(1-0.8198)</f>
        <v>0</v>
      </c>
      <c r="C1086" s="1">
        <v>4</v>
      </c>
    </row>
    <row r="1087" spans="1:3" x14ac:dyDescent="0.3">
      <c r="A1087" t="s">
        <v>1086</v>
      </c>
      <c r="B1087">
        <f>0*(1-0.8198)</f>
        <v>0</v>
      </c>
      <c r="C1087" s="1">
        <v>5</v>
      </c>
    </row>
    <row r="1088" spans="1:3" x14ac:dyDescent="0.3">
      <c r="A1088" t="s">
        <v>1087</v>
      </c>
      <c r="B1088">
        <f>0*(1-0.8198)</f>
        <v>0</v>
      </c>
      <c r="C1088" s="1">
        <v>5</v>
      </c>
    </row>
    <row r="1089" spans="1:3" x14ac:dyDescent="0.3">
      <c r="A1089" t="s">
        <v>1088</v>
      </c>
      <c r="B1089">
        <f>0.04644*(1-0.8198)</f>
        <v>8.3684880000000021E-3</v>
      </c>
      <c r="C1089" s="1">
        <v>6</v>
      </c>
    </row>
    <row r="1090" spans="1:3" x14ac:dyDescent="0.3">
      <c r="A1090" t="s">
        <v>1089</v>
      </c>
      <c r="B1090">
        <f>7.27845434*(1-0.8198)</f>
        <v>1.3115774720680002</v>
      </c>
      <c r="C1090" s="1">
        <v>16</v>
      </c>
    </row>
    <row r="1091" spans="1:3" x14ac:dyDescent="0.3">
      <c r="A1091" t="s">
        <v>1090</v>
      </c>
      <c r="B1091">
        <f>25.4137622671429*(1-0.8198)</f>
        <v>4.5795599605391439</v>
      </c>
      <c r="C1091" s="1">
        <v>19</v>
      </c>
    </row>
    <row r="1092" spans="1:3" x14ac:dyDescent="0.3">
      <c r="A1092" t="s">
        <v>1091</v>
      </c>
      <c r="B1092">
        <f>37.8598448685714*(1-0.8198)</f>
        <v>6.8223440453165729</v>
      </c>
      <c r="C1092" s="1">
        <v>20</v>
      </c>
    </row>
    <row r="1093" spans="1:3" x14ac:dyDescent="0.3">
      <c r="A1093" t="s">
        <v>1092</v>
      </c>
      <c r="B1093">
        <f>43.5353995114286*(1-0.8198)</f>
        <v>7.8450789919594301</v>
      </c>
      <c r="C1093" s="1">
        <v>14</v>
      </c>
    </row>
    <row r="1094" spans="1:3" x14ac:dyDescent="0.3">
      <c r="A1094" t="s">
        <v>1093</v>
      </c>
      <c r="B1094">
        <f>44.2663358714286*(1-0.8198)</f>
        <v>7.9767937240314311</v>
      </c>
      <c r="C1094" s="1">
        <v>14</v>
      </c>
    </row>
    <row r="1095" spans="1:3" x14ac:dyDescent="0.3">
      <c r="A1095" t="s">
        <v>1094</v>
      </c>
      <c r="B1095">
        <f>41.55555346*(1-0.8198)</f>
        <v>7.4883107334920007</v>
      </c>
      <c r="C1095" s="1">
        <v>15</v>
      </c>
    </row>
    <row r="1096" spans="1:3" x14ac:dyDescent="0.3">
      <c r="A1096" t="s">
        <v>1095</v>
      </c>
      <c r="B1096">
        <f>34.71861366*(1-0.8198)</f>
        <v>6.2562941815320015</v>
      </c>
      <c r="C1096" s="1">
        <v>14</v>
      </c>
    </row>
    <row r="1097" spans="1:3" x14ac:dyDescent="0.3">
      <c r="A1097" t="s">
        <v>1096</v>
      </c>
      <c r="B1097">
        <f>22.8136265342857*(1-0.8198)</f>
        <v>4.1110155014782865</v>
      </c>
      <c r="C1097" s="1">
        <v>10</v>
      </c>
    </row>
    <row r="1098" spans="1:3" x14ac:dyDescent="0.3">
      <c r="A1098" t="s">
        <v>1097</v>
      </c>
      <c r="B1098">
        <f>8.72823625857143*(1-0.8198)</f>
        <v>1.5728281737945715</v>
      </c>
      <c r="C1098" s="1">
        <v>10</v>
      </c>
    </row>
    <row r="1099" spans="1:3" x14ac:dyDescent="0.3">
      <c r="A1099" t="s">
        <v>1098</v>
      </c>
      <c r="B1099">
        <f>0*(1-0.8198)</f>
        <v>0</v>
      </c>
      <c r="C1099" s="1">
        <v>9</v>
      </c>
    </row>
    <row r="1100" spans="1:3" x14ac:dyDescent="0.3">
      <c r="A1100" t="s">
        <v>1099</v>
      </c>
      <c r="B1100">
        <f>0*(1-0.8198)</f>
        <v>0</v>
      </c>
      <c r="C1100" s="1">
        <v>10</v>
      </c>
    </row>
    <row r="1101" spans="1:3" x14ac:dyDescent="0.3">
      <c r="A1101" t="s">
        <v>1100</v>
      </c>
      <c r="B1101">
        <f>0*(1-0.8198)</f>
        <v>0</v>
      </c>
      <c r="C1101" s="1">
        <v>11</v>
      </c>
    </row>
    <row r="1102" spans="1:3" x14ac:dyDescent="0.3">
      <c r="A1102" t="s">
        <v>1101</v>
      </c>
      <c r="B1102">
        <f>0*(1-0.8198)</f>
        <v>0</v>
      </c>
      <c r="C1102" s="1">
        <v>8</v>
      </c>
    </row>
    <row r="1103" spans="1:3" x14ac:dyDescent="0.3">
      <c r="A1103" t="s">
        <v>1102</v>
      </c>
      <c r="B1103">
        <f>0*(1-0.8198)</f>
        <v>0</v>
      </c>
      <c r="C1103" s="1">
        <v>7</v>
      </c>
    </row>
    <row r="1104" spans="1:3" x14ac:dyDescent="0.3">
      <c r="A1104" t="s">
        <v>1103</v>
      </c>
      <c r="B1104">
        <f>0*(1-0.8198)</f>
        <v>0</v>
      </c>
      <c r="C1104" s="1">
        <v>7</v>
      </c>
    </row>
    <row r="1105" spans="1:3" x14ac:dyDescent="0.3">
      <c r="A1105" t="s">
        <v>1104</v>
      </c>
      <c r="B1105">
        <f>0*(1-0.8198)</f>
        <v>0</v>
      </c>
      <c r="C1105" s="1">
        <v>6</v>
      </c>
    </row>
    <row r="1106" spans="1:3" x14ac:dyDescent="0.3">
      <c r="A1106" t="s">
        <v>1105</v>
      </c>
      <c r="B1106">
        <f>0*(1-0.8198)</f>
        <v>0</v>
      </c>
      <c r="C1106" s="1">
        <v>5</v>
      </c>
    </row>
    <row r="1107" spans="1:3" x14ac:dyDescent="0.3">
      <c r="A1107" t="s">
        <v>1106</v>
      </c>
      <c r="B1107">
        <f>0*(1-0.8198)</f>
        <v>0</v>
      </c>
      <c r="C1107" s="1">
        <v>4</v>
      </c>
    </row>
    <row r="1108" spans="1:3" x14ac:dyDescent="0.3">
      <c r="A1108" t="s">
        <v>1107</v>
      </c>
      <c r="B1108">
        <f>0*(1-0.8198)</f>
        <v>0</v>
      </c>
      <c r="C1108" s="1">
        <v>5</v>
      </c>
    </row>
    <row r="1109" spans="1:3" x14ac:dyDescent="0.3">
      <c r="A1109" t="s">
        <v>1108</v>
      </c>
      <c r="B1109">
        <f>0*(1-0.8198)</f>
        <v>0</v>
      </c>
      <c r="C1109" s="1">
        <v>4</v>
      </c>
    </row>
    <row r="1110" spans="1:3" x14ac:dyDescent="0.3">
      <c r="A1110" t="s">
        <v>1109</v>
      </c>
      <c r="B1110">
        <f>0*(1-0.8198)</f>
        <v>0</v>
      </c>
      <c r="C1110" s="1">
        <v>5</v>
      </c>
    </row>
    <row r="1111" spans="1:3" x14ac:dyDescent="0.3">
      <c r="A1111" t="s">
        <v>1110</v>
      </c>
      <c r="B1111">
        <f>0*(1-0.8198)</f>
        <v>0</v>
      </c>
      <c r="C1111" s="1">
        <v>4</v>
      </c>
    </row>
    <row r="1112" spans="1:3" x14ac:dyDescent="0.3">
      <c r="A1112" t="s">
        <v>1111</v>
      </c>
      <c r="B1112">
        <f>0*(1-0.8198)</f>
        <v>0</v>
      </c>
      <c r="C1112" s="1">
        <v>5</v>
      </c>
    </row>
    <row r="1113" spans="1:3" x14ac:dyDescent="0.3">
      <c r="A1113" t="s">
        <v>1112</v>
      </c>
      <c r="B1113">
        <f>0.40162*(1-0.8198)</f>
        <v>7.2371924000000018E-2</v>
      </c>
      <c r="C1113" s="1">
        <v>11</v>
      </c>
    </row>
    <row r="1114" spans="1:3" x14ac:dyDescent="0.3">
      <c r="A1114" t="s">
        <v>1113</v>
      </c>
      <c r="B1114">
        <f>8.86560915714286*(1-0.8198)</f>
        <v>1.597582770117143</v>
      </c>
      <c r="C1114" s="1">
        <v>14</v>
      </c>
    </row>
    <row r="1115" spans="1:3" x14ac:dyDescent="0.3">
      <c r="A1115" t="s">
        <v>1114</v>
      </c>
      <c r="B1115">
        <f>8.30148521571429*(1-0.8198)</f>
        <v>1.4959276358717146</v>
      </c>
      <c r="C1115" s="1">
        <v>20</v>
      </c>
    </row>
    <row r="1116" spans="1:3" x14ac:dyDescent="0.3">
      <c r="A1116" t="s">
        <v>1115</v>
      </c>
      <c r="B1116">
        <f>7.25582*(1-0.8198)</f>
        <v>1.3074987640000002</v>
      </c>
      <c r="C1116" s="1">
        <v>18</v>
      </c>
    </row>
    <row r="1117" spans="1:3" x14ac:dyDescent="0.3">
      <c r="A1117" t="s">
        <v>1116</v>
      </c>
      <c r="B1117">
        <f>20.94599187*(1-0.8198)</f>
        <v>3.7744677349740012</v>
      </c>
      <c r="C1117" s="1">
        <v>16</v>
      </c>
    </row>
    <row r="1118" spans="1:3" x14ac:dyDescent="0.3">
      <c r="A1118" t="s">
        <v>1117</v>
      </c>
      <c r="B1118">
        <f>20.14611404*(1-0.8198)</f>
        <v>3.6303297500080007</v>
      </c>
      <c r="C1118" s="1">
        <v>14</v>
      </c>
    </row>
    <row r="1119" spans="1:3" x14ac:dyDescent="0.3">
      <c r="A1119" t="s">
        <v>1118</v>
      </c>
      <c r="B1119">
        <f>32.6876879085714*(1-0.8198)</f>
        <v>5.8903213611245731</v>
      </c>
      <c r="C1119" s="1">
        <v>15</v>
      </c>
    </row>
    <row r="1120" spans="1:3" x14ac:dyDescent="0.3">
      <c r="A1120" t="s">
        <v>1119</v>
      </c>
      <c r="B1120">
        <f>30.1405211114286*(1-0.8198)</f>
        <v>5.4313219042794296</v>
      </c>
      <c r="C1120" s="1">
        <v>13</v>
      </c>
    </row>
    <row r="1121" spans="1:3" x14ac:dyDescent="0.3">
      <c r="A1121" t="s">
        <v>1120</v>
      </c>
      <c r="B1121">
        <f>13.5934240814286*(1-0.8198)</f>
        <v>2.4495350194734291</v>
      </c>
      <c r="C1121" s="1">
        <v>13</v>
      </c>
    </row>
    <row r="1122" spans="1:3" x14ac:dyDescent="0.3">
      <c r="A1122" t="s">
        <v>1121</v>
      </c>
      <c r="B1122">
        <f>7.05958311142857*(1-0.8198)</f>
        <v>1.272136876679429</v>
      </c>
      <c r="C1122" s="1">
        <v>10</v>
      </c>
    </row>
    <row r="1123" spans="1:3" x14ac:dyDescent="0.3">
      <c r="A1123" t="s">
        <v>1122</v>
      </c>
      <c r="B1123">
        <f>0*(1-0.8198)</f>
        <v>0</v>
      </c>
      <c r="C1123" s="1">
        <v>9</v>
      </c>
    </row>
    <row r="1124" spans="1:3" x14ac:dyDescent="0.3">
      <c r="A1124" t="s">
        <v>1123</v>
      </c>
      <c r="B1124">
        <f>0*(1-0.8198)</f>
        <v>0</v>
      </c>
      <c r="C1124" s="1">
        <v>8</v>
      </c>
    </row>
    <row r="1125" spans="1:3" x14ac:dyDescent="0.3">
      <c r="A1125" t="s">
        <v>1124</v>
      </c>
      <c r="B1125">
        <f>0*(1-0.8198)</f>
        <v>0</v>
      </c>
      <c r="C1125" s="1">
        <v>8</v>
      </c>
    </row>
    <row r="1126" spans="1:3" x14ac:dyDescent="0.3">
      <c r="A1126" t="s">
        <v>1125</v>
      </c>
      <c r="B1126">
        <f>0*(1-0.8198)</f>
        <v>0</v>
      </c>
      <c r="C1126" s="1">
        <v>8</v>
      </c>
    </row>
    <row r="1127" spans="1:3" x14ac:dyDescent="0.3">
      <c r="A1127" t="s">
        <v>1126</v>
      </c>
      <c r="B1127">
        <f>0*(1-0.8198)</f>
        <v>0</v>
      </c>
      <c r="C1127" s="1">
        <v>7</v>
      </c>
    </row>
    <row r="1128" spans="1:3" x14ac:dyDescent="0.3">
      <c r="A1128" t="s">
        <v>1127</v>
      </c>
      <c r="B1128">
        <f>0*(1-0.8198)</f>
        <v>0</v>
      </c>
      <c r="C1128" s="1">
        <v>7</v>
      </c>
    </row>
    <row r="1129" spans="1:3" x14ac:dyDescent="0.3">
      <c r="A1129" t="s">
        <v>1128</v>
      </c>
      <c r="B1129">
        <f>0*(1-0.8198)</f>
        <v>0</v>
      </c>
      <c r="C1129" s="1">
        <v>6</v>
      </c>
    </row>
    <row r="1130" spans="1:3" x14ac:dyDescent="0.3">
      <c r="A1130" t="s">
        <v>1129</v>
      </c>
      <c r="B1130">
        <f>0*(1-0.8198)</f>
        <v>0</v>
      </c>
      <c r="C1130" s="1">
        <v>5</v>
      </c>
    </row>
    <row r="1131" spans="1:3" x14ac:dyDescent="0.3">
      <c r="A1131" t="s">
        <v>1130</v>
      </c>
      <c r="B1131">
        <f>0*(1-0.8198)</f>
        <v>0</v>
      </c>
      <c r="C1131" s="1">
        <v>4</v>
      </c>
    </row>
    <row r="1132" spans="1:3" x14ac:dyDescent="0.3">
      <c r="A1132" t="s">
        <v>1131</v>
      </c>
      <c r="B1132">
        <f>0*(1-0.8198)</f>
        <v>0</v>
      </c>
      <c r="C1132" s="1">
        <v>5</v>
      </c>
    </row>
    <row r="1133" spans="1:3" x14ac:dyDescent="0.3">
      <c r="A1133" t="s">
        <v>1132</v>
      </c>
      <c r="B1133">
        <f>0*(1-0.8198)</f>
        <v>0</v>
      </c>
      <c r="C1133" s="1">
        <v>4</v>
      </c>
    </row>
    <row r="1134" spans="1:3" x14ac:dyDescent="0.3">
      <c r="A1134" t="s">
        <v>1133</v>
      </c>
      <c r="B1134">
        <f>0*(1-0.8198)</f>
        <v>0</v>
      </c>
      <c r="C1134" s="1">
        <v>5</v>
      </c>
    </row>
    <row r="1135" spans="1:3" x14ac:dyDescent="0.3">
      <c r="A1135" t="s">
        <v>1134</v>
      </c>
      <c r="B1135">
        <f>0*(1-0.8198)</f>
        <v>0</v>
      </c>
      <c r="C1135" s="1">
        <v>4</v>
      </c>
    </row>
    <row r="1136" spans="1:3" x14ac:dyDescent="0.3">
      <c r="A1136" t="s">
        <v>1135</v>
      </c>
      <c r="B1136">
        <f>0*(1-0.8198)</f>
        <v>0</v>
      </c>
      <c r="C1136" s="1">
        <v>5</v>
      </c>
    </row>
    <row r="1137" spans="1:3" x14ac:dyDescent="0.3">
      <c r="A1137" t="s">
        <v>1136</v>
      </c>
      <c r="B1137">
        <f>1.06849631142857*(1-0.8198)</f>
        <v>0.19254303531942862</v>
      </c>
      <c r="C1137" s="1">
        <v>4</v>
      </c>
    </row>
    <row r="1138" spans="1:3" x14ac:dyDescent="0.3">
      <c r="A1138" t="s">
        <v>1137</v>
      </c>
      <c r="B1138">
        <f>16.1382873071429*(1-0.8198)</f>
        <v>2.9081193727471439</v>
      </c>
      <c r="C1138" s="1">
        <v>5</v>
      </c>
    </row>
    <row r="1139" spans="1:3" x14ac:dyDescent="0.3">
      <c r="A1139" t="s">
        <v>1138</v>
      </c>
      <c r="B1139">
        <f>28.2994359371429*(1-0.8198)</f>
        <v>5.0995583558731434</v>
      </c>
      <c r="C1139" s="1">
        <v>4</v>
      </c>
    </row>
    <row r="1140" spans="1:3" x14ac:dyDescent="0.3">
      <c r="A1140" t="s">
        <v>1139</v>
      </c>
      <c r="B1140">
        <f>37.8677738228571*(1-0.8198)</f>
        <v>6.8237728428788573</v>
      </c>
      <c r="C1140" s="1">
        <v>5</v>
      </c>
    </row>
    <row r="1141" spans="1:3" x14ac:dyDescent="0.3">
      <c r="A1141" t="s">
        <v>1140</v>
      </c>
      <c r="B1141">
        <f>43.4134748542857*(1-0.8198)</f>
        <v>7.8231081687422899</v>
      </c>
      <c r="C1141" s="1">
        <v>4</v>
      </c>
    </row>
    <row r="1142" spans="1:3" x14ac:dyDescent="0.3">
      <c r="A1142" t="s">
        <v>1141</v>
      </c>
      <c r="B1142">
        <f>43.40155722*(1-0.8198)</f>
        <v>7.8209606110440024</v>
      </c>
      <c r="C1142" s="1">
        <v>5</v>
      </c>
    </row>
    <row r="1143" spans="1:3" x14ac:dyDescent="0.3">
      <c r="A1143" t="s">
        <v>1142</v>
      </c>
      <c r="B1143">
        <f>41.49323958*(1-0.8198)</f>
        <v>7.4770817723160015</v>
      </c>
      <c r="C1143" s="1">
        <v>4</v>
      </c>
    </row>
    <row r="1144" spans="1:3" x14ac:dyDescent="0.3">
      <c r="A1144" t="s">
        <v>1143</v>
      </c>
      <c r="B1144">
        <f>34.76558428*(1-0.8198)</f>
        <v>6.2647582872560017</v>
      </c>
      <c r="C1144" s="1">
        <v>5</v>
      </c>
    </row>
    <row r="1145" spans="1:3" x14ac:dyDescent="0.3">
      <c r="A1145" t="s">
        <v>1144</v>
      </c>
      <c r="B1145">
        <f>23.3546884085714*(1-0.8198)</f>
        <v>4.2085148512245727</v>
      </c>
      <c r="C1145" s="1">
        <v>4</v>
      </c>
    </row>
    <row r="1146" spans="1:3" x14ac:dyDescent="0.3">
      <c r="A1146" t="s">
        <v>1145</v>
      </c>
      <c r="B1146">
        <f>10.1901565857143*(1-0.8198)</f>
        <v>1.8362662167457149</v>
      </c>
      <c r="C1146" s="1">
        <v>5</v>
      </c>
    </row>
    <row r="1147" spans="1:3" x14ac:dyDescent="0.3">
      <c r="A1147" t="s">
        <v>1146</v>
      </c>
      <c r="B1147">
        <f>0.03956*(1-0.8198)</f>
        <v>7.1287120000000023E-3</v>
      </c>
      <c r="C1147" s="1">
        <v>4</v>
      </c>
    </row>
    <row r="1148" spans="1:3" x14ac:dyDescent="0.3">
      <c r="A1148" t="s">
        <v>1147</v>
      </c>
      <c r="B1148">
        <f>0*(1-0.8198)</f>
        <v>0</v>
      </c>
      <c r="C1148" s="1">
        <v>4</v>
      </c>
    </row>
    <row r="1149" spans="1:3" x14ac:dyDescent="0.3">
      <c r="A1149" t="s">
        <v>1148</v>
      </c>
      <c r="B1149">
        <f>0*(1-0.8198)</f>
        <v>0</v>
      </c>
      <c r="C1149" s="1">
        <v>5</v>
      </c>
    </row>
    <row r="1150" spans="1:3" x14ac:dyDescent="0.3">
      <c r="A1150" t="s">
        <v>1149</v>
      </c>
      <c r="B1150">
        <f>0*(1-0.8198)</f>
        <v>0</v>
      </c>
      <c r="C1150" s="1">
        <v>4</v>
      </c>
    </row>
    <row r="1151" spans="1:3" x14ac:dyDescent="0.3">
      <c r="A1151" t="s">
        <v>1150</v>
      </c>
      <c r="B1151">
        <f>0*(1-0.8198)</f>
        <v>0</v>
      </c>
      <c r="C1151" s="1">
        <v>5</v>
      </c>
    </row>
    <row r="1152" spans="1:3" x14ac:dyDescent="0.3">
      <c r="A1152" t="s">
        <v>1151</v>
      </c>
      <c r="B1152">
        <f>0*(1-0.8198)</f>
        <v>0</v>
      </c>
      <c r="C1152" s="1">
        <v>4</v>
      </c>
    </row>
    <row r="1153" spans="1:3" x14ac:dyDescent="0.3">
      <c r="A1153" t="s">
        <v>1152</v>
      </c>
      <c r="B1153">
        <f>0*(1-0.8198)</f>
        <v>0</v>
      </c>
      <c r="C1153" s="1">
        <v>4</v>
      </c>
    </row>
    <row r="1154" spans="1:3" x14ac:dyDescent="0.3">
      <c r="A1154" t="s">
        <v>1153</v>
      </c>
      <c r="B1154">
        <f>0*(1-0.8198)</f>
        <v>0</v>
      </c>
      <c r="C1154" s="1">
        <v>5</v>
      </c>
    </row>
    <row r="1155" spans="1:3" x14ac:dyDescent="0.3">
      <c r="A1155" t="s">
        <v>1154</v>
      </c>
      <c r="B1155">
        <f>0*(1-0.8198)</f>
        <v>0</v>
      </c>
      <c r="C1155" s="1">
        <v>4</v>
      </c>
    </row>
    <row r="1156" spans="1:3" x14ac:dyDescent="0.3">
      <c r="A1156" t="s">
        <v>1155</v>
      </c>
      <c r="B1156">
        <f>0*(1-0.8198)</f>
        <v>0</v>
      </c>
      <c r="C1156" s="1">
        <v>5</v>
      </c>
    </row>
    <row r="1157" spans="1:3" x14ac:dyDescent="0.3">
      <c r="A1157" t="s">
        <v>1156</v>
      </c>
      <c r="B1157">
        <f>0*(1-0.8198)</f>
        <v>0</v>
      </c>
      <c r="C1157" s="1">
        <v>4</v>
      </c>
    </row>
    <row r="1158" spans="1:3" x14ac:dyDescent="0.3">
      <c r="A1158" t="s">
        <v>1157</v>
      </c>
      <c r="B1158">
        <f>0*(1-0.8198)</f>
        <v>0</v>
      </c>
      <c r="C1158" s="1">
        <v>5</v>
      </c>
    </row>
    <row r="1159" spans="1:3" x14ac:dyDescent="0.3">
      <c r="A1159" t="s">
        <v>1158</v>
      </c>
      <c r="B1159">
        <f>0*(1-0.8198)</f>
        <v>0</v>
      </c>
      <c r="C1159" s="1">
        <v>4</v>
      </c>
    </row>
    <row r="1160" spans="1:3" x14ac:dyDescent="0.3">
      <c r="A1160" t="s">
        <v>1159</v>
      </c>
      <c r="B1160">
        <f>0*(1-0.8198)</f>
        <v>0</v>
      </c>
      <c r="C1160" s="1">
        <v>5</v>
      </c>
    </row>
    <row r="1161" spans="1:3" x14ac:dyDescent="0.3">
      <c r="A1161" t="s">
        <v>1160</v>
      </c>
      <c r="B1161">
        <f>1.10565316428571*(1-0.8198)</f>
        <v>0.19923870020428572</v>
      </c>
      <c r="C1161" s="1">
        <v>4</v>
      </c>
    </row>
    <row r="1162" spans="1:3" x14ac:dyDescent="0.3">
      <c r="A1162" t="s">
        <v>1161</v>
      </c>
      <c r="B1162">
        <f>16.08895826*(1-0.8198)</f>
        <v>2.8992302784520008</v>
      </c>
      <c r="C1162" s="1">
        <v>5</v>
      </c>
    </row>
    <row r="1163" spans="1:3" x14ac:dyDescent="0.3">
      <c r="A1163" t="s">
        <v>1162</v>
      </c>
      <c r="B1163">
        <f>29.2427741757143*(1-0.8198)</f>
        <v>5.269547906463715</v>
      </c>
      <c r="C1163" s="1">
        <v>4</v>
      </c>
    </row>
    <row r="1164" spans="1:3" x14ac:dyDescent="0.3">
      <c r="A1164" t="s">
        <v>1163</v>
      </c>
      <c r="B1164">
        <f>38.7834357257143*(1-0.8198)</f>
        <v>6.9887751177737165</v>
      </c>
      <c r="C1164" s="1">
        <v>4</v>
      </c>
    </row>
    <row r="1165" spans="1:3" x14ac:dyDescent="0.3">
      <c r="A1165" t="s">
        <v>1164</v>
      </c>
      <c r="B1165">
        <f>44.4368074671429*(1-0.8198)</f>
        <v>8.0075127055791437</v>
      </c>
      <c r="C1165" s="1">
        <v>5</v>
      </c>
    </row>
    <row r="1166" spans="1:3" x14ac:dyDescent="0.3">
      <c r="A1166" t="s">
        <v>1165</v>
      </c>
      <c r="B1166">
        <f>45.24076397*(1-0.8198)</f>
        <v>8.1523856673940038</v>
      </c>
      <c r="C1166" s="1">
        <v>4</v>
      </c>
    </row>
    <row r="1167" spans="1:3" x14ac:dyDescent="0.3">
      <c r="A1167" t="s">
        <v>1166</v>
      </c>
      <c r="B1167">
        <f>42.9316405042857*(1-0.8198)</f>
        <v>7.7362816188722885</v>
      </c>
      <c r="C1167" s="1">
        <v>5</v>
      </c>
    </row>
    <row r="1168" spans="1:3" x14ac:dyDescent="0.3">
      <c r="A1168" t="s">
        <v>1167</v>
      </c>
      <c r="B1168">
        <f>35.6422494828571*(1-0.8198)</f>
        <v>6.4227333568108582</v>
      </c>
      <c r="C1168" s="1">
        <v>4</v>
      </c>
    </row>
    <row r="1169" spans="1:3" x14ac:dyDescent="0.3">
      <c r="A1169" t="s">
        <v>1168</v>
      </c>
      <c r="B1169">
        <f>24.2379823071429*(1-0.8198)</f>
        <v>4.3676844117471445</v>
      </c>
      <c r="C1169" s="1">
        <v>4</v>
      </c>
    </row>
    <row r="1170" spans="1:3" x14ac:dyDescent="0.3">
      <c r="A1170" t="s">
        <v>1169</v>
      </c>
      <c r="B1170">
        <f>10.5161186385714*(1-0.8198)</f>
        <v>1.8950045786705718</v>
      </c>
      <c r="C1170" s="1">
        <v>5</v>
      </c>
    </row>
    <row r="1171" spans="1:3" x14ac:dyDescent="0.3">
      <c r="A1171" t="s">
        <v>1170</v>
      </c>
      <c r="B1171">
        <f>0.152183081428571*(1-0.8198)</f>
        <v>2.7423391273428577E-2</v>
      </c>
      <c r="C1171" s="1">
        <v>4</v>
      </c>
    </row>
    <row r="1172" spans="1:3" x14ac:dyDescent="0.3">
      <c r="A1172" t="s">
        <v>1171</v>
      </c>
      <c r="B1172">
        <f>0*(1-0.8198)</f>
        <v>0</v>
      </c>
      <c r="C1172" s="1">
        <v>5</v>
      </c>
    </row>
    <row r="1173" spans="1:3" x14ac:dyDescent="0.3">
      <c r="A1173" t="s">
        <v>1172</v>
      </c>
      <c r="B1173">
        <f>0*(1-0.8198)</f>
        <v>0</v>
      </c>
      <c r="C1173" s="1">
        <v>4</v>
      </c>
    </row>
    <row r="1174" spans="1:3" x14ac:dyDescent="0.3">
      <c r="A1174" t="s">
        <v>1173</v>
      </c>
      <c r="B1174">
        <f>0*(1-0.8198)</f>
        <v>0</v>
      </c>
      <c r="C1174" s="1">
        <v>5</v>
      </c>
    </row>
    <row r="1175" spans="1:3" x14ac:dyDescent="0.3">
      <c r="A1175" t="s">
        <v>1174</v>
      </c>
      <c r="B1175">
        <f>0*(1-0.8198)</f>
        <v>0</v>
      </c>
      <c r="C1175" s="1">
        <v>4</v>
      </c>
    </row>
    <row r="1176" spans="1:3" x14ac:dyDescent="0.3">
      <c r="A1176" t="s">
        <v>1175</v>
      </c>
      <c r="B1176">
        <f>0*(1-0.8198)</f>
        <v>0</v>
      </c>
      <c r="C1176" s="1">
        <v>5</v>
      </c>
    </row>
    <row r="1177" spans="1:3" x14ac:dyDescent="0.3">
      <c r="A1177" t="s">
        <v>1176</v>
      </c>
      <c r="B1177">
        <f>0*(1-0.8198)</f>
        <v>0</v>
      </c>
      <c r="C1177" s="1">
        <v>4</v>
      </c>
    </row>
    <row r="1178" spans="1:3" x14ac:dyDescent="0.3">
      <c r="A1178" t="s">
        <v>1177</v>
      </c>
      <c r="B1178">
        <f>0*(1-0.8198)</f>
        <v>0</v>
      </c>
      <c r="C1178" s="1">
        <v>4</v>
      </c>
    </row>
    <row r="1179" spans="1:3" x14ac:dyDescent="0.3">
      <c r="A1179" t="s">
        <v>1178</v>
      </c>
      <c r="B1179">
        <f>0*(1-0.8198)</f>
        <v>0</v>
      </c>
      <c r="C1179" s="1">
        <v>5</v>
      </c>
    </row>
    <row r="1180" spans="1:3" x14ac:dyDescent="0.3">
      <c r="A1180" t="s">
        <v>1179</v>
      </c>
      <c r="B1180">
        <f>0*(1-0.8198)</f>
        <v>0</v>
      </c>
      <c r="C1180" s="1">
        <v>4</v>
      </c>
    </row>
    <row r="1181" spans="1:3" x14ac:dyDescent="0.3">
      <c r="A1181" t="s">
        <v>1180</v>
      </c>
      <c r="B1181">
        <f>0*(1-0.8198)</f>
        <v>0</v>
      </c>
      <c r="C1181" s="1">
        <v>5</v>
      </c>
    </row>
    <row r="1182" spans="1:3" x14ac:dyDescent="0.3">
      <c r="A1182" t="s">
        <v>1181</v>
      </c>
      <c r="B1182">
        <f>0*(1-0.8198)</f>
        <v>0</v>
      </c>
      <c r="C1182" s="1">
        <v>4</v>
      </c>
    </row>
    <row r="1183" spans="1:3" x14ac:dyDescent="0.3">
      <c r="A1183" t="s">
        <v>1182</v>
      </c>
      <c r="B1183">
        <f>0*(1-0.8198)</f>
        <v>0</v>
      </c>
      <c r="C1183" s="1">
        <v>5</v>
      </c>
    </row>
    <row r="1184" spans="1:3" x14ac:dyDescent="0.3">
      <c r="A1184" t="s">
        <v>1183</v>
      </c>
      <c r="B1184">
        <f>0*(1-0.8198)</f>
        <v>0</v>
      </c>
      <c r="C1184" s="1">
        <v>5</v>
      </c>
    </row>
    <row r="1185" spans="1:3" x14ac:dyDescent="0.3">
      <c r="A1185" t="s">
        <v>1184</v>
      </c>
      <c r="B1185">
        <f>1.28531951142857*(1-0.8198)</f>
        <v>0.23161457595942864</v>
      </c>
      <c r="C1185" s="1">
        <v>8</v>
      </c>
    </row>
    <row r="1186" spans="1:3" x14ac:dyDescent="0.3">
      <c r="A1186" t="s">
        <v>1185</v>
      </c>
      <c r="B1186">
        <f>16.3252482971429*(1-0.8198)</f>
        <v>2.9418097431451433</v>
      </c>
      <c r="C1186" s="1">
        <v>14</v>
      </c>
    </row>
    <row r="1187" spans="1:3" x14ac:dyDescent="0.3">
      <c r="A1187" t="s">
        <v>1186</v>
      </c>
      <c r="B1187">
        <f>29.20600377*(1-0.8198)</f>
        <v>5.2629218793539998</v>
      </c>
      <c r="C1187" s="1">
        <v>15</v>
      </c>
    </row>
    <row r="1188" spans="1:3" x14ac:dyDescent="0.3">
      <c r="A1188" t="s">
        <v>1187</v>
      </c>
      <c r="B1188">
        <f>38.0177690642857*(1-0.8198)</f>
        <v>6.8508019853842868</v>
      </c>
      <c r="C1188" s="1">
        <v>21</v>
      </c>
    </row>
    <row r="1189" spans="1:3" x14ac:dyDescent="0.3">
      <c r="A1189" t="s">
        <v>1188</v>
      </c>
      <c r="B1189">
        <f>43.8861820857143*(1-0.8198)</f>
        <v>7.9082900118457147</v>
      </c>
      <c r="C1189" s="1">
        <v>18</v>
      </c>
    </row>
    <row r="1190" spans="1:3" x14ac:dyDescent="0.3">
      <c r="A1190" t="s">
        <v>1189</v>
      </c>
      <c r="B1190">
        <f>45.1043906371428*(1-0.8198)</f>
        <v>8.1278111928131427</v>
      </c>
      <c r="C1190" s="1">
        <v>14</v>
      </c>
    </row>
    <row r="1191" spans="1:3" x14ac:dyDescent="0.3">
      <c r="A1191" t="s">
        <v>1190</v>
      </c>
      <c r="B1191">
        <f>42.5747745971429*(1-0.8198)</f>
        <v>7.6719743824051454</v>
      </c>
      <c r="C1191" s="1">
        <v>17</v>
      </c>
    </row>
    <row r="1192" spans="1:3" x14ac:dyDescent="0.3">
      <c r="A1192" t="s">
        <v>1191</v>
      </c>
      <c r="B1192">
        <f>34.6514080385714*(1-0.8198)</f>
        <v>6.2441837285505715</v>
      </c>
      <c r="C1192" s="1">
        <v>15</v>
      </c>
    </row>
    <row r="1193" spans="1:3" x14ac:dyDescent="0.3">
      <c r="A1193" t="s">
        <v>1192</v>
      </c>
      <c r="B1193">
        <f>23.0160596*(1-0.8198)</f>
        <v>4.1474939399200004</v>
      </c>
      <c r="C1193" s="1">
        <v>12</v>
      </c>
    </row>
    <row r="1194" spans="1:3" x14ac:dyDescent="0.3">
      <c r="A1194" t="s">
        <v>1193</v>
      </c>
      <c r="B1194">
        <f>10.2341618028571*(1-0.8198)</f>
        <v>1.8441959568748578</v>
      </c>
      <c r="C1194" s="1">
        <v>11</v>
      </c>
    </row>
    <row r="1195" spans="1:3" x14ac:dyDescent="0.3">
      <c r="A1195" t="s">
        <v>1194</v>
      </c>
      <c r="B1195">
        <f>0.324815488571429*(1-0.8198)</f>
        <v>5.8531751040571442E-2</v>
      </c>
      <c r="C1195" s="1">
        <v>9</v>
      </c>
    </row>
    <row r="1196" spans="1:3" x14ac:dyDescent="0.3">
      <c r="A1196" t="s">
        <v>1195</v>
      </c>
      <c r="B1196">
        <f>0*(1-0.8198)</f>
        <v>0</v>
      </c>
      <c r="C1196" s="1">
        <v>8</v>
      </c>
    </row>
    <row r="1197" spans="1:3" x14ac:dyDescent="0.3">
      <c r="A1197" t="s">
        <v>1196</v>
      </c>
      <c r="B1197">
        <f>0*(1-0.8198)</f>
        <v>0</v>
      </c>
      <c r="C1197" s="1">
        <v>11</v>
      </c>
    </row>
    <row r="1198" spans="1:3" x14ac:dyDescent="0.3">
      <c r="A1198" t="s">
        <v>1197</v>
      </c>
      <c r="B1198">
        <f>0*(1-0.8198)</f>
        <v>0</v>
      </c>
      <c r="C1198" s="1">
        <v>10</v>
      </c>
    </row>
    <row r="1199" spans="1:3" x14ac:dyDescent="0.3">
      <c r="A1199" t="s">
        <v>1198</v>
      </c>
      <c r="B1199">
        <f>0*(1-0.8198)</f>
        <v>0</v>
      </c>
      <c r="C1199" s="1">
        <v>7</v>
      </c>
    </row>
    <row r="1200" spans="1:3" x14ac:dyDescent="0.3">
      <c r="A1200" t="s">
        <v>1199</v>
      </c>
      <c r="B1200">
        <f>0*(1-0.8198)</f>
        <v>0</v>
      </c>
      <c r="C1200" s="1">
        <v>7</v>
      </c>
    </row>
    <row r="1201" spans="1:3" x14ac:dyDescent="0.3">
      <c r="A1201" t="s">
        <v>1200</v>
      </c>
      <c r="B1201">
        <f>0*(1-0.8198)</f>
        <v>0</v>
      </c>
      <c r="C1201" s="1">
        <v>6</v>
      </c>
    </row>
    <row r="1202" spans="1:3" x14ac:dyDescent="0.3">
      <c r="A1202" t="s">
        <v>1201</v>
      </c>
      <c r="B1202">
        <f>0*(1-0.8198)</f>
        <v>0</v>
      </c>
      <c r="C1202" s="1">
        <v>4</v>
      </c>
    </row>
    <row r="1203" spans="1:3" x14ac:dyDescent="0.3">
      <c r="A1203" t="s">
        <v>1202</v>
      </c>
      <c r="B1203">
        <f>0*(1-0.8198)</f>
        <v>0</v>
      </c>
      <c r="C1203" s="1">
        <v>5</v>
      </c>
    </row>
    <row r="1204" spans="1:3" x14ac:dyDescent="0.3">
      <c r="A1204" t="s">
        <v>1203</v>
      </c>
      <c r="B1204">
        <f>0*(1-0.8198)</f>
        <v>0</v>
      </c>
      <c r="C1204" s="1">
        <v>4</v>
      </c>
    </row>
    <row r="1205" spans="1:3" x14ac:dyDescent="0.3">
      <c r="A1205" t="s">
        <v>1204</v>
      </c>
      <c r="B1205">
        <f>0*(1-0.8198)</f>
        <v>0</v>
      </c>
      <c r="C1205" s="1">
        <v>5</v>
      </c>
    </row>
    <row r="1206" spans="1:3" x14ac:dyDescent="0.3">
      <c r="A1206" t="s">
        <v>1205</v>
      </c>
      <c r="B1206">
        <f>0*(1-0.8198)</f>
        <v>0</v>
      </c>
      <c r="C1206" s="1">
        <v>4</v>
      </c>
    </row>
    <row r="1207" spans="1:3" x14ac:dyDescent="0.3">
      <c r="A1207" t="s">
        <v>1206</v>
      </c>
      <c r="B1207">
        <f>0*(1-0.8198)</f>
        <v>0</v>
      </c>
      <c r="C1207" s="1">
        <v>4</v>
      </c>
    </row>
    <row r="1208" spans="1:3" x14ac:dyDescent="0.3">
      <c r="A1208" t="s">
        <v>1207</v>
      </c>
      <c r="B1208">
        <f>0*(1-0.8198)</f>
        <v>0</v>
      </c>
      <c r="C1208" s="1">
        <v>5</v>
      </c>
    </row>
    <row r="1209" spans="1:3" x14ac:dyDescent="0.3">
      <c r="A1209" t="s">
        <v>1208</v>
      </c>
      <c r="B1209">
        <f>1.48901352142857*(1-0.8198)</f>
        <v>0.26832023656142867</v>
      </c>
      <c r="C1209" s="1">
        <v>11</v>
      </c>
    </row>
    <row r="1210" spans="1:3" x14ac:dyDescent="0.3">
      <c r="A1210" t="s">
        <v>1209</v>
      </c>
      <c r="B1210">
        <f>16.6420073057143*(1-0.8198)</f>
        <v>2.9988897164897148</v>
      </c>
      <c r="C1210" s="1">
        <v>14</v>
      </c>
    </row>
    <row r="1211" spans="1:3" x14ac:dyDescent="0.3">
      <c r="A1211" t="s">
        <v>1210</v>
      </c>
      <c r="B1211">
        <f>29.4321067385714*(1-0.8198)</f>
        <v>5.3036656342905717</v>
      </c>
      <c r="C1211" s="1">
        <v>19</v>
      </c>
    </row>
    <row r="1212" spans="1:3" x14ac:dyDescent="0.3">
      <c r="A1212" t="s">
        <v>1211</v>
      </c>
      <c r="B1212">
        <f>38.43281907*(1-0.8198)</f>
        <v>6.9255939964140021</v>
      </c>
      <c r="C1212" s="1">
        <v>18</v>
      </c>
    </row>
    <row r="1213" spans="1:3" x14ac:dyDescent="0.3">
      <c r="A1213" t="s">
        <v>1212</v>
      </c>
      <c r="B1213">
        <f>44.7947733142857*(1-0.8198)</f>
        <v>8.072018151234289</v>
      </c>
      <c r="C1213" s="1">
        <v>14</v>
      </c>
    </row>
    <row r="1214" spans="1:3" x14ac:dyDescent="0.3">
      <c r="A1214" t="s">
        <v>1213</v>
      </c>
      <c r="B1214">
        <f>45.7636905942857*(1-0.8198)</f>
        <v>8.2466170450902876</v>
      </c>
      <c r="C1214" s="1">
        <v>15</v>
      </c>
    </row>
    <row r="1215" spans="1:3" x14ac:dyDescent="0.3">
      <c r="A1215" t="s">
        <v>1214</v>
      </c>
      <c r="B1215">
        <f>43.4306541528571*(1-0.8198)</f>
        <v>7.8262038783448586</v>
      </c>
      <c r="C1215" s="1">
        <v>16</v>
      </c>
    </row>
    <row r="1216" spans="1:3" x14ac:dyDescent="0.3">
      <c r="A1216" t="s">
        <v>1215</v>
      </c>
      <c r="B1216">
        <f>36.3870285257143*(1-0.8198)</f>
        <v>6.5569425403337149</v>
      </c>
      <c r="C1216" s="1">
        <v>15</v>
      </c>
    </row>
    <row r="1217" spans="1:3" x14ac:dyDescent="0.3">
      <c r="A1217" t="s">
        <v>1216</v>
      </c>
      <c r="B1217">
        <f>24.6135815942857*(1-0.8198)</f>
        <v>4.435367403290285</v>
      </c>
      <c r="C1217" s="1">
        <v>13</v>
      </c>
    </row>
    <row r="1218" spans="1:3" x14ac:dyDescent="0.3">
      <c r="A1218" t="s">
        <v>1217</v>
      </c>
      <c r="B1218">
        <f>11.0618379657143*(1-0.8198)</f>
        <v>1.9933432014217149</v>
      </c>
      <c r="C1218" s="1">
        <v>11</v>
      </c>
    </row>
    <row r="1219" spans="1:3" x14ac:dyDescent="0.3">
      <c r="A1219" t="s">
        <v>1218</v>
      </c>
      <c r="B1219">
        <f>0.372046074285714*(1-0.8198)</f>
        <v>6.7042702586285724E-2</v>
      </c>
      <c r="C1219" s="1">
        <v>9</v>
      </c>
    </row>
    <row r="1220" spans="1:3" x14ac:dyDescent="0.3">
      <c r="A1220" t="s">
        <v>1219</v>
      </c>
      <c r="B1220">
        <f>0*(1-0.8198)</f>
        <v>0</v>
      </c>
      <c r="C1220" s="1">
        <v>9</v>
      </c>
    </row>
    <row r="1221" spans="1:3" x14ac:dyDescent="0.3">
      <c r="A1221" t="s">
        <v>1220</v>
      </c>
      <c r="B1221">
        <f>0*(1-0.8198)</f>
        <v>0</v>
      </c>
      <c r="C1221" s="1">
        <v>10</v>
      </c>
    </row>
    <row r="1222" spans="1:3" x14ac:dyDescent="0.3">
      <c r="A1222" t="s">
        <v>1221</v>
      </c>
      <c r="B1222">
        <f>0*(1-0.8198)</f>
        <v>0</v>
      </c>
      <c r="C1222" s="1">
        <v>8</v>
      </c>
    </row>
    <row r="1223" spans="1:3" x14ac:dyDescent="0.3">
      <c r="A1223" t="s">
        <v>1222</v>
      </c>
      <c r="B1223">
        <f>0*(1-0.8198)</f>
        <v>0</v>
      </c>
      <c r="C1223" s="1">
        <v>7</v>
      </c>
    </row>
    <row r="1224" spans="1:3" x14ac:dyDescent="0.3">
      <c r="A1224" t="s">
        <v>1223</v>
      </c>
      <c r="B1224">
        <f>0*(1-0.8198)</f>
        <v>0</v>
      </c>
      <c r="C1224" s="1">
        <v>7</v>
      </c>
    </row>
    <row r="1225" spans="1:3" x14ac:dyDescent="0.3">
      <c r="A1225" t="s">
        <v>1224</v>
      </c>
      <c r="B1225">
        <f>0*(1-0.8198)</f>
        <v>0</v>
      </c>
      <c r="C1225" s="1">
        <v>6</v>
      </c>
    </row>
    <row r="1226" spans="1:3" x14ac:dyDescent="0.3">
      <c r="A1226" t="s">
        <v>1225</v>
      </c>
      <c r="B1226">
        <f>0*(1-0.8198)</f>
        <v>0</v>
      </c>
      <c r="C1226" s="1">
        <v>5</v>
      </c>
    </row>
    <row r="1227" spans="1:3" x14ac:dyDescent="0.3">
      <c r="A1227" t="s">
        <v>1226</v>
      </c>
      <c r="B1227">
        <f>0*(1-0.8198)</f>
        <v>0</v>
      </c>
      <c r="C1227" s="1">
        <v>4</v>
      </c>
    </row>
    <row r="1228" spans="1:3" x14ac:dyDescent="0.3">
      <c r="A1228" t="s">
        <v>1227</v>
      </c>
      <c r="B1228">
        <f>0*(1-0.8198)</f>
        <v>0</v>
      </c>
      <c r="C1228" s="1">
        <v>5</v>
      </c>
    </row>
    <row r="1229" spans="1:3" x14ac:dyDescent="0.3">
      <c r="A1229" t="s">
        <v>1228</v>
      </c>
      <c r="B1229">
        <f>0*(1-0.8198)</f>
        <v>0</v>
      </c>
      <c r="C1229" s="1">
        <v>4</v>
      </c>
    </row>
    <row r="1230" spans="1:3" x14ac:dyDescent="0.3">
      <c r="A1230" t="s">
        <v>1229</v>
      </c>
      <c r="B1230">
        <f>0*(1-0.8198)</f>
        <v>0</v>
      </c>
      <c r="C1230" s="1">
        <v>5</v>
      </c>
    </row>
    <row r="1231" spans="1:3" x14ac:dyDescent="0.3">
      <c r="A1231" t="s">
        <v>1230</v>
      </c>
      <c r="B1231">
        <f>0*(1-0.8198)</f>
        <v>0</v>
      </c>
      <c r="C1231" s="1">
        <v>4</v>
      </c>
    </row>
    <row r="1232" spans="1:3" x14ac:dyDescent="0.3">
      <c r="A1232" t="s">
        <v>1231</v>
      </c>
      <c r="B1232">
        <f>0*(1-0.8198)</f>
        <v>0</v>
      </c>
      <c r="C1232" s="1">
        <v>5</v>
      </c>
    </row>
    <row r="1233" spans="1:3" x14ac:dyDescent="0.3">
      <c r="A1233" t="s">
        <v>1232</v>
      </c>
      <c r="B1233">
        <f>0.874040175714286*(1-0.8198)</f>
        <v>0.15750203966371432</v>
      </c>
      <c r="C1233" s="1">
        <v>7</v>
      </c>
    </row>
    <row r="1234" spans="1:3" x14ac:dyDescent="0.3">
      <c r="A1234" t="s">
        <v>1233</v>
      </c>
      <c r="B1234">
        <f>11.9228063257143*(1-0.8198)</f>
        <v>2.1484896998937151</v>
      </c>
      <c r="C1234" s="1">
        <v>15</v>
      </c>
    </row>
    <row r="1235" spans="1:3" x14ac:dyDescent="0.3">
      <c r="A1235" t="s">
        <v>1234</v>
      </c>
      <c r="B1235">
        <f>15.5957967885714*(1-0.8198)</f>
        <v>2.8103625813005717</v>
      </c>
      <c r="C1235" s="1">
        <v>20</v>
      </c>
    </row>
    <row r="1236" spans="1:3" x14ac:dyDescent="0.3">
      <c r="A1236" t="s">
        <v>1235</v>
      </c>
      <c r="B1236">
        <f>37.3802320828571*(1-0.8198)</f>
        <v>6.7359178213308581</v>
      </c>
      <c r="C1236" s="1">
        <v>19</v>
      </c>
    </row>
    <row r="1237" spans="1:3" x14ac:dyDescent="0.3">
      <c r="A1237" t="s">
        <v>1236</v>
      </c>
      <c r="B1237">
        <f>44.40414694*(1-0.8198)</f>
        <v>8.0016272785879998</v>
      </c>
      <c r="C1237" s="1">
        <v>21</v>
      </c>
    </row>
    <row r="1238" spans="1:3" x14ac:dyDescent="0.3">
      <c r="A1238" t="s">
        <v>1237</v>
      </c>
      <c r="B1238">
        <f>45.9912559314286*(1-0.8198)</f>
        <v>8.2876243188434291</v>
      </c>
      <c r="C1238" s="1">
        <v>16</v>
      </c>
    </row>
    <row r="1239" spans="1:3" x14ac:dyDescent="0.3">
      <c r="A1239" t="s">
        <v>1238</v>
      </c>
      <c r="B1239">
        <f>42.8754011114286*(1-0.8198)</f>
        <v>7.72614728027943</v>
      </c>
      <c r="C1239" s="1">
        <v>17</v>
      </c>
    </row>
    <row r="1240" spans="1:3" x14ac:dyDescent="0.3">
      <c r="A1240" t="s">
        <v>1239</v>
      </c>
      <c r="B1240">
        <f>34.2695756557143*(1-0.8198)</f>
        <v>6.1753775331597147</v>
      </c>
      <c r="C1240" s="1">
        <v>13</v>
      </c>
    </row>
    <row r="1241" spans="1:3" x14ac:dyDescent="0.3">
      <c r="A1241" t="s">
        <v>1240</v>
      </c>
      <c r="B1241">
        <f>23.6289906914286*(1-0.8198)</f>
        <v>4.25794412259543</v>
      </c>
      <c r="C1241" s="1">
        <v>11</v>
      </c>
    </row>
    <row r="1242" spans="1:3" x14ac:dyDescent="0.3">
      <c r="A1242" t="s">
        <v>1241</v>
      </c>
      <c r="B1242">
        <f>9.26763544571429*(1-0.8198)</f>
        <v>1.6700279073177144</v>
      </c>
      <c r="C1242" s="1">
        <v>11</v>
      </c>
    </row>
    <row r="1243" spans="1:3" x14ac:dyDescent="0.3">
      <c r="A1243" t="s">
        <v>1242</v>
      </c>
      <c r="B1243">
        <f>0*(1-0.8198)</f>
        <v>0</v>
      </c>
      <c r="C1243" s="1">
        <v>9</v>
      </c>
    </row>
    <row r="1244" spans="1:3" x14ac:dyDescent="0.3">
      <c r="A1244" t="s">
        <v>1243</v>
      </c>
      <c r="B1244">
        <f>0*(1-0.8198)</f>
        <v>0</v>
      </c>
      <c r="C1244" s="1">
        <v>8</v>
      </c>
    </row>
    <row r="1245" spans="1:3" x14ac:dyDescent="0.3">
      <c r="A1245" t="s">
        <v>1244</v>
      </c>
      <c r="B1245">
        <f>0*(1-0.8198)</f>
        <v>0</v>
      </c>
      <c r="C1245" s="1">
        <v>10</v>
      </c>
    </row>
    <row r="1246" spans="1:3" x14ac:dyDescent="0.3">
      <c r="A1246" t="s">
        <v>1245</v>
      </c>
      <c r="B1246">
        <f>0*(1-0.8198)</f>
        <v>0</v>
      </c>
      <c r="C1246" s="1">
        <v>10</v>
      </c>
    </row>
    <row r="1247" spans="1:3" x14ac:dyDescent="0.3">
      <c r="A1247" t="s">
        <v>1246</v>
      </c>
      <c r="B1247">
        <f>0*(1-0.8198)</f>
        <v>0</v>
      </c>
      <c r="C1247" s="1">
        <v>6</v>
      </c>
    </row>
    <row r="1248" spans="1:3" x14ac:dyDescent="0.3">
      <c r="A1248" t="s">
        <v>1247</v>
      </c>
      <c r="B1248">
        <f>0*(1-0.8198)</f>
        <v>0</v>
      </c>
      <c r="C1248" s="1">
        <v>7</v>
      </c>
    </row>
    <row r="1249" spans="1:3" x14ac:dyDescent="0.3">
      <c r="A1249" t="s">
        <v>1248</v>
      </c>
      <c r="B1249">
        <f>0*(1-0.8198)</f>
        <v>0</v>
      </c>
      <c r="C1249" s="1">
        <v>7</v>
      </c>
    </row>
    <row r="1250" spans="1:3" x14ac:dyDescent="0.3">
      <c r="A1250" t="s">
        <v>1249</v>
      </c>
      <c r="B1250">
        <f>0*(1-0.8198)</f>
        <v>0</v>
      </c>
      <c r="C1250" s="1">
        <v>4</v>
      </c>
    </row>
    <row r="1251" spans="1:3" x14ac:dyDescent="0.3">
      <c r="A1251" t="s">
        <v>1250</v>
      </c>
      <c r="B1251">
        <f>0*(1-0.8198)</f>
        <v>0</v>
      </c>
      <c r="C1251" s="1">
        <v>5</v>
      </c>
    </row>
    <row r="1252" spans="1:3" x14ac:dyDescent="0.3">
      <c r="A1252" t="s">
        <v>1251</v>
      </c>
      <c r="B1252">
        <f>0*(1-0.8198)</f>
        <v>0</v>
      </c>
      <c r="C1252" s="1">
        <v>5</v>
      </c>
    </row>
    <row r="1253" spans="1:3" x14ac:dyDescent="0.3">
      <c r="A1253" t="s">
        <v>1252</v>
      </c>
      <c r="B1253">
        <f>0*(1-0.8198)</f>
        <v>0</v>
      </c>
      <c r="C1253" s="1">
        <v>4</v>
      </c>
    </row>
    <row r="1254" spans="1:3" x14ac:dyDescent="0.3">
      <c r="A1254" t="s">
        <v>1253</v>
      </c>
      <c r="B1254">
        <f>0*(1-0.8198)</f>
        <v>0</v>
      </c>
      <c r="C1254" s="1">
        <v>5</v>
      </c>
    </row>
    <row r="1255" spans="1:3" x14ac:dyDescent="0.3">
      <c r="A1255" t="s">
        <v>1254</v>
      </c>
      <c r="B1255">
        <f>0*(1-0.8198)</f>
        <v>0</v>
      </c>
      <c r="C1255" s="1">
        <v>4</v>
      </c>
    </row>
    <row r="1256" spans="1:3" x14ac:dyDescent="0.3">
      <c r="A1256" t="s">
        <v>1255</v>
      </c>
      <c r="B1256">
        <f>0*(1-0.8198)</f>
        <v>0</v>
      </c>
      <c r="C1256" s="1">
        <v>4</v>
      </c>
    </row>
    <row r="1257" spans="1:3" x14ac:dyDescent="0.3">
      <c r="A1257" t="s">
        <v>1256</v>
      </c>
      <c r="B1257">
        <f>0.809370817142857*(1-0.8198)</f>
        <v>0.14584862124914291</v>
      </c>
      <c r="C1257" s="1">
        <v>11</v>
      </c>
    </row>
    <row r="1258" spans="1:3" x14ac:dyDescent="0.3">
      <c r="A1258" t="s">
        <v>1257</v>
      </c>
      <c r="B1258">
        <f>11.9297143371429*(1-0.8198)</f>
        <v>2.1497345235531435</v>
      </c>
      <c r="C1258" s="1">
        <v>14</v>
      </c>
    </row>
    <row r="1259" spans="1:3" x14ac:dyDescent="0.3">
      <c r="A1259" t="s">
        <v>1258</v>
      </c>
      <c r="B1259">
        <f>15.1158915414286*(1-0.8198)</f>
        <v>2.7238836557654293</v>
      </c>
      <c r="C1259" s="1">
        <v>20</v>
      </c>
    </row>
    <row r="1260" spans="1:3" x14ac:dyDescent="0.3">
      <c r="A1260" t="s">
        <v>1259</v>
      </c>
      <c r="B1260">
        <f>32.6857067142857*(1-0.8198)</f>
        <v>5.8899643499142869</v>
      </c>
      <c r="C1260" s="1">
        <v>16</v>
      </c>
    </row>
    <row r="1261" spans="1:3" x14ac:dyDescent="0.3">
      <c r="A1261" t="s">
        <v>1260</v>
      </c>
      <c r="B1261">
        <f>43.4931077214286*(1-0.8198)</f>
        <v>7.8374580114014298</v>
      </c>
      <c r="C1261" s="1">
        <v>14</v>
      </c>
    </row>
    <row r="1262" spans="1:3" x14ac:dyDescent="0.3">
      <c r="A1262" t="s">
        <v>1261</v>
      </c>
      <c r="B1262">
        <f>44.8568058514286*(1-0.8198)</f>
        <v>8.0831964144274302</v>
      </c>
      <c r="C1262" s="1">
        <v>14</v>
      </c>
    </row>
    <row r="1263" spans="1:3" x14ac:dyDescent="0.3">
      <c r="A1263" t="s">
        <v>1262</v>
      </c>
      <c r="B1263">
        <f>42.1626599557143*(1-0.8198)</f>
        <v>7.5977113240197163</v>
      </c>
      <c r="C1263" s="1">
        <v>16</v>
      </c>
    </row>
    <row r="1264" spans="1:3" x14ac:dyDescent="0.3">
      <c r="A1264" t="s">
        <v>1263</v>
      </c>
      <c r="B1264">
        <f>35.1654589714286*(1-0.8198)</f>
        <v>6.3368157066514303</v>
      </c>
      <c r="C1264" s="1">
        <v>13</v>
      </c>
    </row>
    <row r="1265" spans="1:3" x14ac:dyDescent="0.3">
      <c r="A1265" t="s">
        <v>1264</v>
      </c>
      <c r="B1265">
        <f>23.9338345228571*(1-0.8198)</f>
        <v>4.3128769810188583</v>
      </c>
      <c r="C1265" s="1">
        <v>12</v>
      </c>
    </row>
    <row r="1266" spans="1:3" x14ac:dyDescent="0.3">
      <c r="A1266" t="s">
        <v>1265</v>
      </c>
      <c r="B1266">
        <f>10.38921237*(1-0.8198)</f>
        <v>1.8721360690740001</v>
      </c>
      <c r="C1266" s="1">
        <v>12</v>
      </c>
    </row>
    <row r="1267" spans="1:3" x14ac:dyDescent="0.3">
      <c r="A1267" t="s">
        <v>1266</v>
      </c>
      <c r="B1267">
        <f>0.477696705714286*(1-0.8198)</f>
        <v>8.6080946369714292E-2</v>
      </c>
      <c r="C1267" s="1">
        <v>11</v>
      </c>
    </row>
    <row r="1268" spans="1:3" x14ac:dyDescent="0.3">
      <c r="A1268" t="s">
        <v>1267</v>
      </c>
      <c r="B1268">
        <f>0*(1-0.8198)</f>
        <v>0</v>
      </c>
      <c r="C1268" s="1">
        <v>8</v>
      </c>
    </row>
    <row r="1269" spans="1:3" x14ac:dyDescent="0.3">
      <c r="A1269" t="s">
        <v>1268</v>
      </c>
      <c r="B1269">
        <f>0*(1-0.8198)</f>
        <v>0</v>
      </c>
      <c r="C1269" s="1">
        <v>11</v>
      </c>
    </row>
    <row r="1270" spans="1:3" x14ac:dyDescent="0.3">
      <c r="A1270" t="s">
        <v>1269</v>
      </c>
      <c r="B1270">
        <f>0*(1-0.8198)</f>
        <v>0</v>
      </c>
      <c r="C1270" s="1">
        <v>8</v>
      </c>
    </row>
    <row r="1271" spans="1:3" x14ac:dyDescent="0.3">
      <c r="A1271" t="s">
        <v>1270</v>
      </c>
      <c r="B1271">
        <f>0*(1-0.8198)</f>
        <v>0</v>
      </c>
      <c r="C1271" s="1">
        <v>7</v>
      </c>
    </row>
    <row r="1272" spans="1:3" x14ac:dyDescent="0.3">
      <c r="A1272" t="s">
        <v>1271</v>
      </c>
      <c r="B1272">
        <f>0*(1-0.8198)</f>
        <v>0</v>
      </c>
      <c r="C1272" s="1">
        <v>6</v>
      </c>
    </row>
    <row r="1273" spans="1:3" x14ac:dyDescent="0.3">
      <c r="A1273" t="s">
        <v>1272</v>
      </c>
      <c r="B1273">
        <f>0*(1-0.8198)</f>
        <v>0</v>
      </c>
      <c r="C1273" s="1">
        <v>7</v>
      </c>
    </row>
    <row r="1274" spans="1:3" x14ac:dyDescent="0.3">
      <c r="A1274" t="s">
        <v>1273</v>
      </c>
      <c r="B1274">
        <f>0*(1-0.8198)</f>
        <v>0</v>
      </c>
      <c r="C1274" s="1">
        <v>5</v>
      </c>
    </row>
    <row r="1275" spans="1:3" x14ac:dyDescent="0.3">
      <c r="A1275" t="s">
        <v>1274</v>
      </c>
      <c r="B1275">
        <f>0*(1-0.8198)</f>
        <v>0</v>
      </c>
      <c r="C1275" s="1">
        <v>4</v>
      </c>
    </row>
    <row r="1276" spans="1:3" x14ac:dyDescent="0.3">
      <c r="A1276" t="s">
        <v>1275</v>
      </c>
      <c r="B1276">
        <f>0*(1-0.8198)</f>
        <v>0</v>
      </c>
      <c r="C1276" s="1">
        <v>5</v>
      </c>
    </row>
    <row r="1277" spans="1:3" x14ac:dyDescent="0.3">
      <c r="A1277" t="s">
        <v>1276</v>
      </c>
      <c r="B1277">
        <f>0*(1-0.8198)</f>
        <v>0</v>
      </c>
      <c r="C1277" s="1">
        <v>4</v>
      </c>
    </row>
    <row r="1278" spans="1:3" x14ac:dyDescent="0.3">
      <c r="A1278" t="s">
        <v>1277</v>
      </c>
      <c r="B1278">
        <f>0*(1-0.8198)</f>
        <v>0</v>
      </c>
      <c r="C1278" s="1">
        <v>5</v>
      </c>
    </row>
    <row r="1279" spans="1:3" x14ac:dyDescent="0.3">
      <c r="A1279" t="s">
        <v>1278</v>
      </c>
      <c r="B1279">
        <f>0*(1-0.8198)</f>
        <v>0</v>
      </c>
      <c r="C1279" s="1">
        <v>4</v>
      </c>
    </row>
    <row r="1280" spans="1:3" x14ac:dyDescent="0.3">
      <c r="A1280" t="s">
        <v>1279</v>
      </c>
      <c r="B1280">
        <f>0*(1-0.8198)</f>
        <v>0</v>
      </c>
      <c r="C1280" s="1">
        <v>5</v>
      </c>
    </row>
    <row r="1281" spans="1:3" x14ac:dyDescent="0.3">
      <c r="A1281" t="s">
        <v>1280</v>
      </c>
      <c r="B1281">
        <f>0.972379517142857*(1-0.8198)</f>
        <v>0.17522278898914287</v>
      </c>
      <c r="C1281" s="1">
        <v>13</v>
      </c>
    </row>
    <row r="1282" spans="1:3" x14ac:dyDescent="0.3">
      <c r="A1282" t="s">
        <v>1281</v>
      </c>
      <c r="B1282">
        <f>6.05266998714286*(1-0.8198)</f>
        <v>1.0906911316831434</v>
      </c>
      <c r="C1282" s="1">
        <v>16</v>
      </c>
    </row>
    <row r="1283" spans="1:3" x14ac:dyDescent="0.3">
      <c r="A1283" t="s">
        <v>1282</v>
      </c>
      <c r="B1283">
        <f>7.59552*(1-0.8198)</f>
        <v>1.3687127040000002</v>
      </c>
      <c r="C1283" s="1">
        <v>21</v>
      </c>
    </row>
    <row r="1284" spans="1:3" x14ac:dyDescent="0.3">
      <c r="A1284" t="s">
        <v>1283</v>
      </c>
      <c r="B1284">
        <f>12.3759971471429*(1-0.8198)</f>
        <v>2.2301546859151431</v>
      </c>
      <c r="C1284" s="1">
        <v>16</v>
      </c>
    </row>
    <row r="1285" spans="1:3" x14ac:dyDescent="0.3">
      <c r="A1285" t="s">
        <v>1284</v>
      </c>
      <c r="B1285">
        <f>7.79074*(1-0.8198)</f>
        <v>1.4038913480000001</v>
      </c>
      <c r="C1285" s="1">
        <v>17</v>
      </c>
    </row>
    <row r="1286" spans="1:3" x14ac:dyDescent="0.3">
      <c r="A1286" t="s">
        <v>1285</v>
      </c>
      <c r="B1286">
        <f>4.3215*(1-0.8198)</f>
        <v>0.77873430000000032</v>
      </c>
      <c r="C1286" s="1">
        <v>16</v>
      </c>
    </row>
    <row r="1287" spans="1:3" x14ac:dyDescent="0.3">
      <c r="A1287" t="s">
        <v>1286</v>
      </c>
      <c r="B1287">
        <f>7.7873*(1-0.8198)</f>
        <v>1.40327146</v>
      </c>
      <c r="C1287" s="1">
        <v>16</v>
      </c>
    </row>
    <row r="1288" spans="1:3" x14ac:dyDescent="0.3">
      <c r="A1288" t="s">
        <v>1287</v>
      </c>
      <c r="B1288">
        <f>8.51572*(1-0.8198)</f>
        <v>1.5345327440000003</v>
      </c>
      <c r="C1288" s="1">
        <v>14</v>
      </c>
    </row>
    <row r="1289" spans="1:3" x14ac:dyDescent="0.3">
      <c r="A1289" t="s">
        <v>1288</v>
      </c>
      <c r="B1289">
        <f>1.86792*(1-0.8198)</f>
        <v>0.33659918400000011</v>
      </c>
      <c r="C1289" s="1">
        <v>13</v>
      </c>
    </row>
    <row r="1290" spans="1:3" x14ac:dyDescent="0.3">
      <c r="A1290" t="s">
        <v>1289</v>
      </c>
      <c r="B1290">
        <f>1.86878*(1-0.8198)</f>
        <v>0.33675415600000008</v>
      </c>
      <c r="C1290" s="1">
        <v>11</v>
      </c>
    </row>
    <row r="1291" spans="1:3" x14ac:dyDescent="0.3">
      <c r="A1291" t="s">
        <v>1290</v>
      </c>
      <c r="B1291">
        <f>0*(1-0.8198)</f>
        <v>0</v>
      </c>
      <c r="C1291" s="1">
        <v>8</v>
      </c>
    </row>
    <row r="1292" spans="1:3" x14ac:dyDescent="0.3">
      <c r="A1292" t="s">
        <v>1291</v>
      </c>
      <c r="B1292">
        <f>0*(1-0.8198)</f>
        <v>0</v>
      </c>
      <c r="C1292" s="1">
        <v>8</v>
      </c>
    </row>
    <row r="1293" spans="1:3" x14ac:dyDescent="0.3">
      <c r="A1293" t="s">
        <v>1292</v>
      </c>
      <c r="B1293">
        <f>0*(1-0.8198)</f>
        <v>0</v>
      </c>
      <c r="C1293" s="1">
        <v>7</v>
      </c>
    </row>
    <row r="1294" spans="1:3" x14ac:dyDescent="0.3">
      <c r="A1294" t="s">
        <v>1293</v>
      </c>
      <c r="B1294">
        <f>0*(1-0.8198)</f>
        <v>0</v>
      </c>
      <c r="C1294" s="1">
        <v>7</v>
      </c>
    </row>
    <row r="1295" spans="1:3" x14ac:dyDescent="0.3">
      <c r="A1295" t="s">
        <v>1294</v>
      </c>
      <c r="B1295">
        <f>0*(1-0.8198)</f>
        <v>0</v>
      </c>
      <c r="C1295" s="1">
        <v>7</v>
      </c>
    </row>
    <row r="1296" spans="1:3" x14ac:dyDescent="0.3">
      <c r="A1296" t="s">
        <v>1295</v>
      </c>
      <c r="B1296">
        <f>0*(1-0.8198)</f>
        <v>0</v>
      </c>
      <c r="C1296" s="1">
        <v>7</v>
      </c>
    </row>
    <row r="1297" spans="1:3" x14ac:dyDescent="0.3">
      <c r="A1297" t="s">
        <v>1296</v>
      </c>
      <c r="B1297">
        <f>0*(1-0.8198)</f>
        <v>0</v>
      </c>
      <c r="C1297" s="1">
        <v>6</v>
      </c>
    </row>
    <row r="1298" spans="1:3" x14ac:dyDescent="0.3">
      <c r="A1298" t="s">
        <v>1297</v>
      </c>
      <c r="B1298">
        <f>0*(1-0.8198)</f>
        <v>0</v>
      </c>
      <c r="C1298" s="1">
        <v>4</v>
      </c>
    </row>
    <row r="1299" spans="1:3" x14ac:dyDescent="0.3">
      <c r="A1299" t="s">
        <v>1298</v>
      </c>
      <c r="B1299">
        <f>0*(1-0.8198)</f>
        <v>0</v>
      </c>
      <c r="C1299" s="1">
        <v>5</v>
      </c>
    </row>
    <row r="1300" spans="1:3" x14ac:dyDescent="0.3">
      <c r="A1300" t="s">
        <v>1299</v>
      </c>
      <c r="B1300">
        <f>0*(1-0.8198)</f>
        <v>0</v>
      </c>
      <c r="C1300" s="1">
        <v>4</v>
      </c>
    </row>
    <row r="1301" spans="1:3" x14ac:dyDescent="0.3">
      <c r="A1301" t="s">
        <v>1300</v>
      </c>
      <c r="B1301">
        <f>0*(1-0.8198)</f>
        <v>0</v>
      </c>
      <c r="C1301" s="1">
        <v>4</v>
      </c>
    </row>
    <row r="1302" spans="1:3" x14ac:dyDescent="0.3">
      <c r="A1302" t="s">
        <v>1301</v>
      </c>
      <c r="B1302">
        <f>0*(1-0.8198)</f>
        <v>0</v>
      </c>
      <c r="C1302" s="1">
        <v>5</v>
      </c>
    </row>
    <row r="1303" spans="1:3" x14ac:dyDescent="0.3">
      <c r="A1303" t="s">
        <v>1302</v>
      </c>
      <c r="B1303">
        <f>0*(1-0.8198)</f>
        <v>0</v>
      </c>
      <c r="C1303" s="1">
        <v>4</v>
      </c>
    </row>
    <row r="1304" spans="1:3" x14ac:dyDescent="0.3">
      <c r="A1304" t="s">
        <v>1303</v>
      </c>
      <c r="B1304">
        <f>0*(1-0.8198)</f>
        <v>0</v>
      </c>
      <c r="C1304" s="1">
        <v>4</v>
      </c>
    </row>
    <row r="1305" spans="1:3" x14ac:dyDescent="0.3">
      <c r="A1305" t="s">
        <v>1304</v>
      </c>
      <c r="B1305">
        <f>4.61600773714286*(1-0.8198)</f>
        <v>0.83180459423314301</v>
      </c>
      <c r="C1305" s="1">
        <v>5</v>
      </c>
    </row>
    <row r="1306" spans="1:3" x14ac:dyDescent="0.3">
      <c r="A1306" t="s">
        <v>1305</v>
      </c>
      <c r="B1306">
        <f>18.2983789771429*(1-0.8198)</f>
        <v>3.297367891681144</v>
      </c>
      <c r="C1306" s="1">
        <v>4</v>
      </c>
    </row>
    <row r="1307" spans="1:3" x14ac:dyDescent="0.3">
      <c r="A1307" t="s">
        <v>1306</v>
      </c>
      <c r="B1307">
        <f>32.1409763871429*(1-0.8198)</f>
        <v>5.791803944963144</v>
      </c>
      <c r="C1307" s="1">
        <v>5</v>
      </c>
    </row>
    <row r="1308" spans="1:3" x14ac:dyDescent="0.3">
      <c r="A1308" t="s">
        <v>1307</v>
      </c>
      <c r="B1308">
        <f>42.5313682471429*(1-0.8198)</f>
        <v>7.664152558135144</v>
      </c>
      <c r="C1308" s="1">
        <v>4</v>
      </c>
    </row>
    <row r="1309" spans="1:3" x14ac:dyDescent="0.3">
      <c r="A1309" t="s">
        <v>1308</v>
      </c>
      <c r="B1309">
        <f>48.9377545142857*(1-0.8198)</f>
        <v>8.8185833634742892</v>
      </c>
      <c r="C1309" s="1">
        <v>5</v>
      </c>
    </row>
    <row r="1310" spans="1:3" x14ac:dyDescent="0.3">
      <c r="A1310" t="s">
        <v>1309</v>
      </c>
      <c r="B1310">
        <f>48.5969085028571*(1-0.8198)</f>
        <v>8.7571629122148575</v>
      </c>
      <c r="C1310" s="1">
        <v>4</v>
      </c>
    </row>
    <row r="1311" spans="1:3" x14ac:dyDescent="0.3">
      <c r="A1311" t="s">
        <v>1310</v>
      </c>
      <c r="B1311">
        <f>44.15720267*(1-0.8198)</f>
        <v>7.9571279211340009</v>
      </c>
      <c r="C1311" s="1">
        <v>4</v>
      </c>
    </row>
    <row r="1312" spans="1:3" x14ac:dyDescent="0.3">
      <c r="A1312" t="s">
        <v>1311</v>
      </c>
      <c r="B1312">
        <f>39.0798653171429*(1-0.8198)</f>
        <v>7.0421917301491446</v>
      </c>
      <c r="C1312" s="1">
        <v>5</v>
      </c>
    </row>
    <row r="1313" spans="1:3" x14ac:dyDescent="0.3">
      <c r="A1313" t="s">
        <v>1312</v>
      </c>
      <c r="B1313">
        <f>17.1839112428571*(1-0.8198)</f>
        <v>3.0965408059628583</v>
      </c>
      <c r="C1313" s="1">
        <v>4</v>
      </c>
    </row>
    <row r="1314" spans="1:3" x14ac:dyDescent="0.3">
      <c r="A1314" t="s">
        <v>1313</v>
      </c>
      <c r="B1314">
        <f>9.04095965571429*(1-0.8198)</f>
        <v>1.6291809299597144</v>
      </c>
      <c r="C1314" s="1">
        <v>4</v>
      </c>
    </row>
    <row r="1315" spans="1:3" x14ac:dyDescent="0.3">
      <c r="A1315" t="s">
        <v>1314</v>
      </c>
      <c r="B1315">
        <f>0.291086165714286*(1-0.8198)</f>
        <v>5.2453727061714299E-2</v>
      </c>
      <c r="C1315" s="1">
        <v>5</v>
      </c>
    </row>
    <row r="1316" spans="1:3" x14ac:dyDescent="0.3">
      <c r="A1316" t="s">
        <v>1315</v>
      </c>
      <c r="B1316">
        <f>0*(1-0.8198)</f>
        <v>0</v>
      </c>
      <c r="C1316" s="1">
        <v>4</v>
      </c>
    </row>
    <row r="1317" spans="1:3" x14ac:dyDescent="0.3">
      <c r="A1317" t="s">
        <v>1316</v>
      </c>
      <c r="B1317">
        <f>0*(1-0.8198)</f>
        <v>0</v>
      </c>
      <c r="C1317" s="1">
        <v>4</v>
      </c>
    </row>
    <row r="1318" spans="1:3" x14ac:dyDescent="0.3">
      <c r="A1318" t="s">
        <v>1317</v>
      </c>
      <c r="B1318">
        <f>0*(1-0.8198)</f>
        <v>0</v>
      </c>
      <c r="C1318" s="1">
        <v>4</v>
      </c>
    </row>
    <row r="1319" spans="1:3" x14ac:dyDescent="0.3">
      <c r="A1319" t="s">
        <v>1318</v>
      </c>
      <c r="B1319">
        <f>0*(1-0.8198)</f>
        <v>0</v>
      </c>
      <c r="C1319" s="1">
        <v>4</v>
      </c>
    </row>
    <row r="1320" spans="1:3" x14ac:dyDescent="0.3">
      <c r="A1320" t="s">
        <v>1319</v>
      </c>
      <c r="B1320">
        <f>0*(1-0.8198)</f>
        <v>0</v>
      </c>
      <c r="C1320" s="1">
        <v>4</v>
      </c>
    </row>
    <row r="1321" spans="1:3" x14ac:dyDescent="0.3">
      <c r="A1321" t="s">
        <v>1320</v>
      </c>
      <c r="B1321">
        <f>0*(1-0.8198)</f>
        <v>0</v>
      </c>
      <c r="C1321" s="1">
        <v>4</v>
      </c>
    </row>
    <row r="1322" spans="1:3" x14ac:dyDescent="0.3">
      <c r="A1322" t="s">
        <v>1321</v>
      </c>
      <c r="B1322">
        <f>0*(1-0.8198)</f>
        <v>0</v>
      </c>
      <c r="C1322" s="1">
        <v>4</v>
      </c>
    </row>
    <row r="1323" spans="1:3" x14ac:dyDescent="0.3">
      <c r="A1323" t="s">
        <v>1322</v>
      </c>
      <c r="B1323">
        <f>0*(1-0.8198)</f>
        <v>0</v>
      </c>
      <c r="C1323" s="1">
        <v>4</v>
      </c>
    </row>
    <row r="1324" spans="1:3" x14ac:dyDescent="0.3">
      <c r="A1324" t="s">
        <v>1323</v>
      </c>
      <c r="B1324">
        <f>0*(1-0.8198)</f>
        <v>0</v>
      </c>
      <c r="C1324" s="1">
        <v>4</v>
      </c>
    </row>
    <row r="1325" spans="1:3" x14ac:dyDescent="0.3">
      <c r="A1325" t="s">
        <v>1324</v>
      </c>
      <c r="B1325">
        <f>0*(1-0.8198)</f>
        <v>0</v>
      </c>
      <c r="C1325" s="1">
        <v>5</v>
      </c>
    </row>
    <row r="1326" spans="1:3" x14ac:dyDescent="0.3">
      <c r="A1326" t="s">
        <v>1325</v>
      </c>
      <c r="B1326">
        <f>0*(1-0.8198)</f>
        <v>0</v>
      </c>
      <c r="C1326" s="1">
        <v>4</v>
      </c>
    </row>
    <row r="1327" spans="1:3" x14ac:dyDescent="0.3">
      <c r="A1327" t="s">
        <v>1326</v>
      </c>
      <c r="B1327">
        <f>0*(1-0.8198)</f>
        <v>0</v>
      </c>
      <c r="C1327" s="1">
        <v>4</v>
      </c>
    </row>
    <row r="1328" spans="1:3" x14ac:dyDescent="0.3">
      <c r="A1328" t="s">
        <v>1327</v>
      </c>
      <c r="B1328">
        <f>0*(1-0.8198)</f>
        <v>0</v>
      </c>
      <c r="C1328" s="1">
        <v>4</v>
      </c>
    </row>
    <row r="1329" spans="1:3" x14ac:dyDescent="0.3">
      <c r="A1329" t="s">
        <v>1328</v>
      </c>
      <c r="B1329">
        <f>2.87858671714286*(1-0.8198)</f>
        <v>0.51872132642914293</v>
      </c>
      <c r="C1329" s="1">
        <v>5</v>
      </c>
    </row>
    <row r="1330" spans="1:3" x14ac:dyDescent="0.3">
      <c r="A1330" t="s">
        <v>1329</v>
      </c>
      <c r="B1330">
        <f>5.59622953285714*(1-0.8198)</f>
        <v>1.0084405618208574</v>
      </c>
      <c r="C1330" s="1">
        <v>4</v>
      </c>
    </row>
    <row r="1331" spans="1:3" x14ac:dyDescent="0.3">
      <c r="A1331" t="s">
        <v>1330</v>
      </c>
      <c r="B1331">
        <f>6.04494*(1-0.8198)</f>
        <v>1.0892981880000003</v>
      </c>
      <c r="C1331" s="1">
        <v>4</v>
      </c>
    </row>
    <row r="1332" spans="1:3" x14ac:dyDescent="0.3">
      <c r="A1332" t="s">
        <v>1331</v>
      </c>
      <c r="B1332">
        <f>8.13904*(1-0.8198)</f>
        <v>1.466655008</v>
      </c>
      <c r="C1332" s="1">
        <v>4</v>
      </c>
    </row>
    <row r="1333" spans="1:3" x14ac:dyDescent="0.3">
      <c r="A1333" t="s">
        <v>1332</v>
      </c>
      <c r="B1333">
        <f>13.20272*(1-0.8198)</f>
        <v>2.3791301440000003</v>
      </c>
      <c r="C1333" s="1">
        <v>4</v>
      </c>
    </row>
    <row r="1334" spans="1:3" x14ac:dyDescent="0.3">
      <c r="A1334" t="s">
        <v>1333</v>
      </c>
      <c r="B1334">
        <f>17.6238569585714*(1-0.8198)</f>
        <v>3.1758190239345723</v>
      </c>
      <c r="C1334" s="1">
        <v>4</v>
      </c>
    </row>
    <row r="1335" spans="1:3" x14ac:dyDescent="0.3">
      <c r="A1335" t="s">
        <v>1334</v>
      </c>
      <c r="B1335">
        <f>16.0260319985714*(1-0.8198)</f>
        <v>2.8878909661425713</v>
      </c>
      <c r="C1335" s="1">
        <v>4</v>
      </c>
    </row>
    <row r="1336" spans="1:3" x14ac:dyDescent="0.3">
      <c r="A1336" t="s">
        <v>1335</v>
      </c>
      <c r="B1336">
        <f>25.3252656257143*(1-0.8198)</f>
        <v>4.5636128657537158</v>
      </c>
      <c r="C1336" s="1">
        <v>5</v>
      </c>
    </row>
    <row r="1337" spans="1:3" x14ac:dyDescent="0.3">
      <c r="A1337" t="s">
        <v>1336</v>
      </c>
      <c r="B1337">
        <f>21.9529764357143*(1-0.8198)</f>
        <v>3.9559263537157157</v>
      </c>
      <c r="C1337" s="1">
        <v>4</v>
      </c>
    </row>
    <row r="1338" spans="1:3" x14ac:dyDescent="0.3">
      <c r="A1338" t="s">
        <v>1337</v>
      </c>
      <c r="B1338">
        <f>11.1860679757143*(1-0.8198)</f>
        <v>2.0157294492237146</v>
      </c>
      <c r="C1338" s="1">
        <v>4</v>
      </c>
    </row>
    <row r="1339" spans="1:3" x14ac:dyDescent="0.3">
      <c r="A1339" t="s">
        <v>1338</v>
      </c>
      <c r="B1339">
        <f>0.637360374285714*(1-0.8198)</f>
        <v>0.11485233944628574</v>
      </c>
      <c r="C1339" s="1">
        <v>4</v>
      </c>
    </row>
    <row r="1340" spans="1:3" x14ac:dyDescent="0.3">
      <c r="A1340" t="s">
        <v>1339</v>
      </c>
      <c r="B1340">
        <f>0*(1-0.8198)</f>
        <v>0</v>
      </c>
      <c r="C1340" s="1">
        <v>4</v>
      </c>
    </row>
    <row r="1341" spans="1:3" x14ac:dyDescent="0.3">
      <c r="A1341" t="s">
        <v>1340</v>
      </c>
      <c r="B1341">
        <f>0*(1-0.8198)</f>
        <v>0</v>
      </c>
      <c r="C1341" s="1">
        <v>4</v>
      </c>
    </row>
    <row r="1342" spans="1:3" x14ac:dyDescent="0.3">
      <c r="A1342" t="s">
        <v>1341</v>
      </c>
      <c r="B1342">
        <f>0*(1-0.8198)</f>
        <v>0</v>
      </c>
      <c r="C1342" s="1">
        <v>4</v>
      </c>
    </row>
    <row r="1343" spans="1:3" x14ac:dyDescent="0.3">
      <c r="A1343" t="s">
        <v>1342</v>
      </c>
      <c r="B1343">
        <f>0*(1-0.8198)</f>
        <v>0</v>
      </c>
      <c r="C1343" s="1">
        <v>4</v>
      </c>
    </row>
    <row r="1344" spans="1:3" x14ac:dyDescent="0.3">
      <c r="A1344" t="s">
        <v>1343</v>
      </c>
      <c r="B1344">
        <f>0*(1-0.8198)</f>
        <v>0</v>
      </c>
      <c r="C1344" s="1">
        <v>5</v>
      </c>
    </row>
    <row r="1345" spans="1:3" x14ac:dyDescent="0.3">
      <c r="A1345" t="s">
        <v>1344</v>
      </c>
      <c r="B1345">
        <f>0*(1-0.8198)</f>
        <v>0</v>
      </c>
      <c r="C1345" s="1">
        <v>4</v>
      </c>
    </row>
    <row r="1346" spans="1:3" x14ac:dyDescent="0.3">
      <c r="A1346" t="s">
        <v>1345</v>
      </c>
      <c r="B1346">
        <f>0*(1-0.8198)</f>
        <v>0</v>
      </c>
      <c r="C1346" s="1">
        <v>4</v>
      </c>
    </row>
    <row r="1347" spans="1:3" x14ac:dyDescent="0.3">
      <c r="A1347" t="s">
        <v>1346</v>
      </c>
      <c r="B1347">
        <f>0*(1-0.8198)</f>
        <v>0</v>
      </c>
      <c r="C1347" s="1">
        <v>4</v>
      </c>
    </row>
    <row r="1348" spans="1:3" x14ac:dyDescent="0.3">
      <c r="A1348" t="s">
        <v>1347</v>
      </c>
      <c r="B1348">
        <f>0*(1-0.8198)</f>
        <v>0</v>
      </c>
      <c r="C1348" s="1">
        <v>4</v>
      </c>
    </row>
    <row r="1349" spans="1:3" x14ac:dyDescent="0.3">
      <c r="A1349" t="s">
        <v>1348</v>
      </c>
      <c r="B1349">
        <f>0*(1-0.8198)</f>
        <v>0</v>
      </c>
      <c r="C1349" s="1">
        <v>5</v>
      </c>
    </row>
    <row r="1350" spans="1:3" x14ac:dyDescent="0.3">
      <c r="A1350" t="s">
        <v>1349</v>
      </c>
      <c r="B1350">
        <f>0*(1-0.8198)</f>
        <v>0</v>
      </c>
      <c r="C1350" s="1">
        <v>3</v>
      </c>
    </row>
    <row r="1351" spans="1:3" x14ac:dyDescent="0.3">
      <c r="A1351" t="s">
        <v>1350</v>
      </c>
      <c r="B1351">
        <f>0*(1-0.8198)</f>
        <v>0</v>
      </c>
      <c r="C1351" s="1">
        <v>5</v>
      </c>
    </row>
    <row r="1352" spans="1:3" x14ac:dyDescent="0.3">
      <c r="A1352" t="s">
        <v>1351</v>
      </c>
      <c r="B1352">
        <f>0*(1-0.8198)</f>
        <v>0</v>
      </c>
      <c r="C1352" s="1">
        <v>4</v>
      </c>
    </row>
    <row r="1353" spans="1:3" x14ac:dyDescent="0.3">
      <c r="A1353" t="s">
        <v>1352</v>
      </c>
      <c r="B1353">
        <f>1.63805858571429*(1-0.8198)</f>
        <v>0.29517815714571433</v>
      </c>
      <c r="C1353" s="1">
        <v>11</v>
      </c>
    </row>
    <row r="1354" spans="1:3" x14ac:dyDescent="0.3">
      <c r="A1354" t="s">
        <v>1353</v>
      </c>
      <c r="B1354">
        <f>8.60717842*(1-0.8198)</f>
        <v>1.5510135512840002</v>
      </c>
      <c r="C1354" s="1">
        <v>15</v>
      </c>
    </row>
    <row r="1355" spans="1:3" x14ac:dyDescent="0.3">
      <c r="A1355" t="s">
        <v>1354</v>
      </c>
      <c r="B1355">
        <f>16.1062734385714*(1-0.8198)</f>
        <v>2.9023504736305719</v>
      </c>
      <c r="C1355" s="1">
        <v>15</v>
      </c>
    </row>
    <row r="1356" spans="1:3" x14ac:dyDescent="0.3">
      <c r="A1356" t="s">
        <v>1355</v>
      </c>
      <c r="B1356">
        <f>12.7933101814286*(1-0.8198)</f>
        <v>2.3053544946934292</v>
      </c>
      <c r="C1356" s="1">
        <v>19</v>
      </c>
    </row>
    <row r="1357" spans="1:3" x14ac:dyDescent="0.3">
      <c r="A1357" t="s">
        <v>1356</v>
      </c>
      <c r="B1357">
        <f>37.8395164957143*(1-0.8198)</f>
        <v>6.8186808725277164</v>
      </c>
      <c r="C1357" s="1">
        <v>18</v>
      </c>
    </row>
    <row r="1358" spans="1:3" x14ac:dyDescent="0.3">
      <c r="A1358" t="s">
        <v>1357</v>
      </c>
      <c r="B1358">
        <f>46.0941943685714*(1-0.8198)</f>
        <v>8.3061738252165735</v>
      </c>
      <c r="C1358" s="1">
        <v>16</v>
      </c>
    </row>
    <row r="1359" spans="1:3" x14ac:dyDescent="0.3">
      <c r="A1359" t="s">
        <v>1358</v>
      </c>
      <c r="B1359">
        <f>43.6731700371429*(1-0.8198)</f>
        <v>7.8699052406931447</v>
      </c>
      <c r="C1359" s="1">
        <v>16</v>
      </c>
    </row>
    <row r="1360" spans="1:3" x14ac:dyDescent="0.3">
      <c r="A1360" t="s">
        <v>1359</v>
      </c>
      <c r="B1360">
        <f>16.9209821528571*(1-0.8198)</f>
        <v>3.0491609839448581</v>
      </c>
      <c r="C1360" s="1">
        <v>15</v>
      </c>
    </row>
    <row r="1361" spans="1:3" x14ac:dyDescent="0.3">
      <c r="A1361" t="s">
        <v>1360</v>
      </c>
      <c r="B1361">
        <f>17.4734244071429*(1-0.8198)</f>
        <v>3.1487110781671435</v>
      </c>
      <c r="C1361" s="1">
        <v>13</v>
      </c>
    </row>
    <row r="1362" spans="1:3" x14ac:dyDescent="0.3">
      <c r="A1362" t="s">
        <v>1361</v>
      </c>
      <c r="B1362">
        <f>5.18021067571429*(1-0.8198)</f>
        <v>0.9334739637637145</v>
      </c>
      <c r="C1362" s="1">
        <v>11</v>
      </c>
    </row>
    <row r="1363" spans="1:3" x14ac:dyDescent="0.3">
      <c r="A1363" t="s">
        <v>1362</v>
      </c>
      <c r="B1363">
        <f>0.0788930828571429*(1-0.8198)</f>
        <v>1.4216533530857145E-2</v>
      </c>
      <c r="C1363" s="1">
        <v>8</v>
      </c>
    </row>
    <row r="1364" spans="1:3" x14ac:dyDescent="0.3">
      <c r="A1364" t="s">
        <v>1363</v>
      </c>
      <c r="B1364">
        <f>0*(1-0.8198)</f>
        <v>0</v>
      </c>
      <c r="C1364" s="1">
        <v>7</v>
      </c>
    </row>
    <row r="1365" spans="1:3" x14ac:dyDescent="0.3">
      <c r="A1365" t="s">
        <v>1364</v>
      </c>
      <c r="B1365">
        <f>0*(1-0.8198)</f>
        <v>0</v>
      </c>
      <c r="C1365" s="1">
        <v>10</v>
      </c>
    </row>
    <row r="1366" spans="1:3" x14ac:dyDescent="0.3">
      <c r="A1366" t="s">
        <v>1365</v>
      </c>
      <c r="B1366">
        <f>0*(1-0.8198)</f>
        <v>0</v>
      </c>
      <c r="C1366" s="1">
        <v>10</v>
      </c>
    </row>
    <row r="1367" spans="1:3" x14ac:dyDescent="0.3">
      <c r="A1367" t="s">
        <v>1366</v>
      </c>
      <c r="B1367">
        <f>0*(1-0.8198)</f>
        <v>0</v>
      </c>
      <c r="C1367" s="1">
        <v>7</v>
      </c>
    </row>
    <row r="1368" spans="1:3" x14ac:dyDescent="0.3">
      <c r="A1368" t="s">
        <v>1367</v>
      </c>
      <c r="B1368">
        <f>0*(1-0.8198)</f>
        <v>0</v>
      </c>
      <c r="C1368" s="1">
        <v>6</v>
      </c>
    </row>
    <row r="1369" spans="1:3" x14ac:dyDescent="0.3">
      <c r="A1369" t="s">
        <v>1368</v>
      </c>
      <c r="B1369">
        <f>0*(1-0.8198)</f>
        <v>0</v>
      </c>
      <c r="C1369" s="1">
        <v>7</v>
      </c>
    </row>
    <row r="1370" spans="1:3" x14ac:dyDescent="0.3">
      <c r="A1370" t="s">
        <v>1369</v>
      </c>
      <c r="B1370">
        <f>0*(1-0.8198)</f>
        <v>0</v>
      </c>
      <c r="C1370" s="1">
        <v>5</v>
      </c>
    </row>
    <row r="1371" spans="1:3" x14ac:dyDescent="0.3">
      <c r="A1371" t="s">
        <v>1370</v>
      </c>
      <c r="B1371">
        <f>0*(1-0.8198)</f>
        <v>0</v>
      </c>
      <c r="C1371" s="1">
        <v>4</v>
      </c>
    </row>
    <row r="1372" spans="1:3" x14ac:dyDescent="0.3">
      <c r="A1372" t="s">
        <v>1371</v>
      </c>
      <c r="B1372">
        <f>0*(1-0.8198)</f>
        <v>0</v>
      </c>
      <c r="C1372" s="1">
        <v>4</v>
      </c>
    </row>
    <row r="1373" spans="1:3" x14ac:dyDescent="0.3">
      <c r="A1373" t="s">
        <v>1372</v>
      </c>
      <c r="B1373">
        <f>0*(1-0.8198)</f>
        <v>0</v>
      </c>
      <c r="C1373" s="1">
        <v>5</v>
      </c>
    </row>
    <row r="1374" spans="1:3" x14ac:dyDescent="0.3">
      <c r="A1374" t="s">
        <v>1373</v>
      </c>
      <c r="B1374">
        <f>0*(1-0.8198)</f>
        <v>0</v>
      </c>
      <c r="C1374" s="1">
        <v>4</v>
      </c>
    </row>
    <row r="1375" spans="1:3" x14ac:dyDescent="0.3">
      <c r="A1375" t="s">
        <v>1374</v>
      </c>
      <c r="B1375">
        <f>0*(1-0.8198)</f>
        <v>0</v>
      </c>
      <c r="C1375" s="1">
        <v>5</v>
      </c>
    </row>
    <row r="1376" spans="1:3" x14ac:dyDescent="0.3">
      <c r="A1376" t="s">
        <v>1375</v>
      </c>
      <c r="B1376">
        <f>0*(1-0.8198)</f>
        <v>0</v>
      </c>
      <c r="C1376" s="1">
        <v>4</v>
      </c>
    </row>
    <row r="1377" spans="1:3" x14ac:dyDescent="0.3">
      <c r="A1377" t="s">
        <v>1376</v>
      </c>
      <c r="B1377">
        <f>2.97508676428571*(1-0.8198)</f>
        <v>0.53611063492428579</v>
      </c>
      <c r="C1377" s="1">
        <v>11</v>
      </c>
    </row>
    <row r="1378" spans="1:3" x14ac:dyDescent="0.3">
      <c r="A1378" t="s">
        <v>1377</v>
      </c>
      <c r="B1378">
        <f>5.87559985714286*(1-0.8198)</f>
        <v>1.058783094257143</v>
      </c>
      <c r="C1378" s="1">
        <v>16</v>
      </c>
    </row>
    <row r="1379" spans="1:3" x14ac:dyDescent="0.3">
      <c r="A1379" t="s">
        <v>1378</v>
      </c>
      <c r="B1379">
        <f>11.50719173*(1-0.8198)</f>
        <v>2.0735959497460001</v>
      </c>
      <c r="C1379" s="1">
        <v>15</v>
      </c>
    </row>
    <row r="1380" spans="1:3" x14ac:dyDescent="0.3">
      <c r="A1380" t="s">
        <v>1379</v>
      </c>
      <c r="B1380">
        <f>42.9063122142857*(1-0.8198)</f>
        <v>7.7317174610142878</v>
      </c>
      <c r="C1380" s="1">
        <v>15</v>
      </c>
    </row>
    <row r="1381" spans="1:3" x14ac:dyDescent="0.3">
      <c r="A1381" t="s">
        <v>1380</v>
      </c>
      <c r="B1381">
        <f>51.0867196271429*(1-0.8198)</f>
        <v>9.2058268768111464</v>
      </c>
      <c r="C1381" s="1">
        <v>16</v>
      </c>
    </row>
    <row r="1382" spans="1:3" x14ac:dyDescent="0.3">
      <c r="A1382" t="s">
        <v>1381</v>
      </c>
      <c r="B1382">
        <f>48.8139763728571*(1-0.8198)</f>
        <v>8.7962785423888583</v>
      </c>
      <c r="C1382" s="1">
        <v>15</v>
      </c>
    </row>
    <row r="1383" spans="1:3" x14ac:dyDescent="0.3">
      <c r="A1383" t="s">
        <v>1382</v>
      </c>
      <c r="B1383">
        <f>36.7906862957143*(1-0.8198)</f>
        <v>6.6296816704877157</v>
      </c>
      <c r="C1383" s="1">
        <v>17</v>
      </c>
    </row>
    <row r="1384" spans="1:3" x14ac:dyDescent="0.3">
      <c r="A1384" t="s">
        <v>1383</v>
      </c>
      <c r="B1384">
        <f>10.17638*(1-0.8198)</f>
        <v>1.8337836760000006</v>
      </c>
      <c r="C1384" s="1">
        <v>15</v>
      </c>
    </row>
    <row r="1385" spans="1:3" x14ac:dyDescent="0.3">
      <c r="A1385" t="s">
        <v>1384</v>
      </c>
      <c r="B1385">
        <f>5.8781*(1-0.8198)</f>
        <v>1.0592336200000001</v>
      </c>
      <c r="C1385" s="1">
        <v>12</v>
      </c>
    </row>
    <row r="1386" spans="1:3" x14ac:dyDescent="0.3">
      <c r="A1386" t="s">
        <v>1385</v>
      </c>
      <c r="B1386">
        <f>4.77165932142857*(1-0.8198)</f>
        <v>0.85985300972142875</v>
      </c>
      <c r="C1386" s="1">
        <v>11</v>
      </c>
    </row>
    <row r="1387" spans="1:3" x14ac:dyDescent="0.3">
      <c r="A1387" t="s">
        <v>1386</v>
      </c>
      <c r="B1387">
        <f>0.164349624285714*(1-0.8198)</f>
        <v>2.9615802296285718E-2</v>
      </c>
      <c r="C1387" s="1">
        <v>9</v>
      </c>
    </row>
    <row r="1388" spans="1:3" x14ac:dyDescent="0.3">
      <c r="A1388" t="s">
        <v>1387</v>
      </c>
      <c r="B1388">
        <f>0*(1-0.8198)</f>
        <v>0</v>
      </c>
      <c r="C1388" s="1">
        <v>8</v>
      </c>
    </row>
    <row r="1389" spans="1:3" x14ac:dyDescent="0.3">
      <c r="A1389" t="s">
        <v>1388</v>
      </c>
      <c r="B1389">
        <f>0*(1-0.8198)</f>
        <v>0</v>
      </c>
      <c r="C1389" s="1">
        <v>12</v>
      </c>
    </row>
    <row r="1390" spans="1:3" x14ac:dyDescent="0.3">
      <c r="A1390" t="s">
        <v>1389</v>
      </c>
      <c r="B1390">
        <f>0*(1-0.8198)</f>
        <v>0</v>
      </c>
      <c r="C1390" s="1">
        <v>7</v>
      </c>
    </row>
    <row r="1391" spans="1:3" x14ac:dyDescent="0.3">
      <c r="A1391" t="s">
        <v>1390</v>
      </c>
      <c r="B1391">
        <f>0*(1-0.8198)</f>
        <v>0</v>
      </c>
      <c r="C1391" s="1">
        <v>7</v>
      </c>
    </row>
    <row r="1392" spans="1:3" x14ac:dyDescent="0.3">
      <c r="A1392" t="s">
        <v>1391</v>
      </c>
      <c r="B1392">
        <f>0*(1-0.8198)</f>
        <v>0</v>
      </c>
      <c r="C1392" s="1">
        <v>7</v>
      </c>
    </row>
    <row r="1393" spans="1:3" x14ac:dyDescent="0.3">
      <c r="A1393" t="s">
        <v>1392</v>
      </c>
      <c r="B1393">
        <f>0*(1-0.8198)</f>
        <v>0</v>
      </c>
      <c r="C1393" s="1">
        <v>6</v>
      </c>
    </row>
    <row r="1394" spans="1:3" x14ac:dyDescent="0.3">
      <c r="A1394" t="s">
        <v>1393</v>
      </c>
      <c r="B1394">
        <f>0*(1-0.8198)</f>
        <v>0</v>
      </c>
      <c r="C1394" s="1">
        <v>5</v>
      </c>
    </row>
    <row r="1395" spans="1:3" x14ac:dyDescent="0.3">
      <c r="A1395" t="s">
        <v>1394</v>
      </c>
      <c r="B1395">
        <f>0*(1-0.8198)</f>
        <v>0</v>
      </c>
      <c r="C1395" s="1">
        <v>4</v>
      </c>
    </row>
    <row r="1396" spans="1:3" x14ac:dyDescent="0.3">
      <c r="A1396" t="s">
        <v>1395</v>
      </c>
      <c r="B1396">
        <f>0*(1-0.8198)</f>
        <v>0</v>
      </c>
      <c r="C1396" s="1">
        <v>5</v>
      </c>
    </row>
    <row r="1397" spans="1:3" x14ac:dyDescent="0.3">
      <c r="A1397" t="s">
        <v>1396</v>
      </c>
      <c r="B1397">
        <f>0*(1-0.8198)</f>
        <v>0</v>
      </c>
      <c r="C1397" s="1">
        <v>4</v>
      </c>
    </row>
    <row r="1398" spans="1:3" x14ac:dyDescent="0.3">
      <c r="A1398" t="s">
        <v>1397</v>
      </c>
      <c r="B1398">
        <f>0*(1-0.8198)</f>
        <v>0</v>
      </c>
      <c r="C1398" s="1">
        <v>5</v>
      </c>
    </row>
    <row r="1399" spans="1:3" x14ac:dyDescent="0.3">
      <c r="A1399" t="s">
        <v>1398</v>
      </c>
      <c r="B1399">
        <f>0*(1-0.8198)</f>
        <v>0</v>
      </c>
      <c r="C1399" s="1">
        <v>4</v>
      </c>
    </row>
    <row r="1400" spans="1:3" x14ac:dyDescent="0.3">
      <c r="A1400" t="s">
        <v>1399</v>
      </c>
      <c r="B1400">
        <f>0*(1-0.8198)</f>
        <v>0</v>
      </c>
      <c r="C1400" s="1">
        <v>5</v>
      </c>
    </row>
    <row r="1401" spans="1:3" x14ac:dyDescent="0.3">
      <c r="A1401" t="s">
        <v>1400</v>
      </c>
      <c r="B1401">
        <f>6.33517470428572*(1-0.8198)</f>
        <v>1.1415984817122862</v>
      </c>
      <c r="C1401" s="1">
        <v>10</v>
      </c>
    </row>
    <row r="1402" spans="1:3" x14ac:dyDescent="0.3">
      <c r="A1402" t="s">
        <v>1401</v>
      </c>
      <c r="B1402">
        <f>5.64249980571429*(1-0.8198)</f>
        <v>1.0167784649897145</v>
      </c>
      <c r="C1402" s="1">
        <v>14</v>
      </c>
    </row>
    <row r="1403" spans="1:3" x14ac:dyDescent="0.3">
      <c r="A1403" t="s">
        <v>1402</v>
      </c>
      <c r="B1403">
        <f>10.8784209742857*(1-0.8198)</f>
        <v>1.9602914595662861</v>
      </c>
      <c r="C1403" s="1">
        <v>19</v>
      </c>
    </row>
    <row r="1404" spans="1:3" x14ac:dyDescent="0.3">
      <c r="A1404" t="s">
        <v>1403</v>
      </c>
      <c r="B1404">
        <f>10.42234*(1-0.8198)</f>
        <v>1.8781056680000006</v>
      </c>
      <c r="C1404" s="1">
        <v>20</v>
      </c>
    </row>
    <row r="1405" spans="1:3" x14ac:dyDescent="0.3">
      <c r="A1405" t="s">
        <v>1404</v>
      </c>
      <c r="B1405">
        <f>21.1609601114286*(1-0.8198)</f>
        <v>3.8132050120794285</v>
      </c>
      <c r="C1405" s="1">
        <v>20</v>
      </c>
    </row>
    <row r="1406" spans="1:3" x14ac:dyDescent="0.3">
      <c r="A1406" t="s">
        <v>1405</v>
      </c>
      <c r="B1406">
        <f>23.8038732271429*(1-0.8198)</f>
        <v>4.2894579555311427</v>
      </c>
      <c r="C1406" s="1">
        <v>20</v>
      </c>
    </row>
    <row r="1407" spans="1:3" x14ac:dyDescent="0.3">
      <c r="A1407" t="s">
        <v>1406</v>
      </c>
      <c r="B1407">
        <f>34.1698899228571*(1-0.8198)</f>
        <v>6.1574141640988582</v>
      </c>
      <c r="C1407" s="1">
        <v>16</v>
      </c>
    </row>
    <row r="1408" spans="1:3" x14ac:dyDescent="0.3">
      <c r="A1408" t="s">
        <v>1407</v>
      </c>
      <c r="B1408">
        <f>35.533609*(1-0.8198)</f>
        <v>6.4031563418000017</v>
      </c>
      <c r="C1408" s="1">
        <v>14</v>
      </c>
    </row>
    <row r="1409" spans="1:3" x14ac:dyDescent="0.3">
      <c r="A1409" t="s">
        <v>1408</v>
      </c>
      <c r="B1409">
        <f>27.1079853642857*(1-0.8198)</f>
        <v>4.8848589626442873</v>
      </c>
      <c r="C1409" s="1">
        <v>11</v>
      </c>
    </row>
    <row r="1410" spans="1:3" x14ac:dyDescent="0.3">
      <c r="A1410" t="s">
        <v>1409</v>
      </c>
      <c r="B1410">
        <f>13.41378464*(1-0.8198)</f>
        <v>2.4171639921280001</v>
      </c>
      <c r="C1410" s="1">
        <v>10</v>
      </c>
    </row>
    <row r="1411" spans="1:3" x14ac:dyDescent="0.3">
      <c r="A1411" t="s">
        <v>1410</v>
      </c>
      <c r="B1411">
        <f>1.64640482428571*(1-0.8198)</f>
        <v>0.29668214933628578</v>
      </c>
      <c r="C1411" s="1">
        <v>8</v>
      </c>
    </row>
    <row r="1412" spans="1:3" x14ac:dyDescent="0.3">
      <c r="A1412" t="s">
        <v>1411</v>
      </c>
      <c r="B1412">
        <f>0*(1-0.8198)</f>
        <v>0</v>
      </c>
      <c r="C1412" s="1">
        <v>7</v>
      </c>
    </row>
    <row r="1413" spans="1:3" x14ac:dyDescent="0.3">
      <c r="A1413" t="s">
        <v>1412</v>
      </c>
      <c r="B1413">
        <f>0*(1-0.8198)</f>
        <v>0</v>
      </c>
      <c r="C1413" s="1">
        <v>10</v>
      </c>
    </row>
    <row r="1414" spans="1:3" x14ac:dyDescent="0.3">
      <c r="A1414" t="s">
        <v>1413</v>
      </c>
      <c r="B1414">
        <f>0*(1-0.8198)</f>
        <v>0</v>
      </c>
      <c r="C1414" s="1">
        <v>10</v>
      </c>
    </row>
    <row r="1415" spans="1:3" x14ac:dyDescent="0.3">
      <c r="A1415" t="s">
        <v>1414</v>
      </c>
      <c r="B1415">
        <f>0*(1-0.8198)</f>
        <v>0</v>
      </c>
      <c r="C1415" s="1">
        <v>7</v>
      </c>
    </row>
    <row r="1416" spans="1:3" x14ac:dyDescent="0.3">
      <c r="A1416" t="s">
        <v>1415</v>
      </c>
      <c r="B1416">
        <f>0*(1-0.8198)</f>
        <v>0</v>
      </c>
      <c r="C1416" s="1">
        <v>6</v>
      </c>
    </row>
    <row r="1417" spans="1:3" x14ac:dyDescent="0.3">
      <c r="A1417" t="s">
        <v>1416</v>
      </c>
      <c r="B1417">
        <f>0*(1-0.8198)</f>
        <v>0</v>
      </c>
      <c r="C1417" s="1">
        <v>7</v>
      </c>
    </row>
    <row r="1418" spans="1:3" x14ac:dyDescent="0.3">
      <c r="A1418" t="s">
        <v>1417</v>
      </c>
      <c r="B1418">
        <f>0*(1-0.8198)</f>
        <v>0</v>
      </c>
      <c r="C1418" s="1">
        <v>5</v>
      </c>
    </row>
    <row r="1419" spans="1:3" x14ac:dyDescent="0.3">
      <c r="A1419" t="s">
        <v>1418</v>
      </c>
      <c r="B1419">
        <f>0*(1-0.8198)</f>
        <v>0</v>
      </c>
      <c r="C1419" s="1">
        <v>4</v>
      </c>
    </row>
    <row r="1420" spans="1:3" x14ac:dyDescent="0.3">
      <c r="A1420" t="s">
        <v>1419</v>
      </c>
      <c r="B1420">
        <f>0*(1-0.8198)</f>
        <v>0</v>
      </c>
      <c r="C1420" s="1">
        <v>4</v>
      </c>
    </row>
    <row r="1421" spans="1:3" x14ac:dyDescent="0.3">
      <c r="A1421" t="s">
        <v>1420</v>
      </c>
      <c r="B1421">
        <f>0*(1-0.8198)</f>
        <v>0</v>
      </c>
      <c r="C1421" s="1">
        <v>5</v>
      </c>
    </row>
    <row r="1422" spans="1:3" x14ac:dyDescent="0.3">
      <c r="A1422" t="s">
        <v>1421</v>
      </c>
      <c r="B1422">
        <f>0*(1-0.8198)</f>
        <v>0</v>
      </c>
      <c r="C1422" s="1">
        <v>4</v>
      </c>
    </row>
    <row r="1423" spans="1:3" x14ac:dyDescent="0.3">
      <c r="A1423" t="s">
        <v>1422</v>
      </c>
      <c r="B1423">
        <f>0*(1-0.8198)</f>
        <v>0</v>
      </c>
      <c r="C1423" s="1">
        <v>4</v>
      </c>
    </row>
    <row r="1424" spans="1:3" x14ac:dyDescent="0.3">
      <c r="A1424" t="s">
        <v>1423</v>
      </c>
      <c r="B1424">
        <f>0*(1-0.8198)</f>
        <v>0</v>
      </c>
      <c r="C1424" s="1">
        <v>5</v>
      </c>
    </row>
    <row r="1425" spans="1:3" x14ac:dyDescent="0.3">
      <c r="A1425" t="s">
        <v>1424</v>
      </c>
      <c r="B1425">
        <f>6.57620248142857*(1-0.8198)</f>
        <v>1.1850316871534288</v>
      </c>
      <c r="C1425" s="1">
        <v>12</v>
      </c>
    </row>
    <row r="1426" spans="1:3" x14ac:dyDescent="0.3">
      <c r="A1426" t="s">
        <v>1425</v>
      </c>
      <c r="B1426">
        <f>21.1819157928571*(1-0.8198)</f>
        <v>3.8169812258728584</v>
      </c>
      <c r="C1426" s="1">
        <v>16</v>
      </c>
    </row>
    <row r="1427" spans="1:3" x14ac:dyDescent="0.3">
      <c r="A1427" t="s">
        <v>1426</v>
      </c>
      <c r="B1427">
        <f>34.6024212714286*(1-0.8198)</f>
        <v>6.2353563131114305</v>
      </c>
      <c r="C1427" s="1">
        <v>21</v>
      </c>
    </row>
    <row r="1428" spans="1:3" x14ac:dyDescent="0.3">
      <c r="A1428" t="s">
        <v>1427</v>
      </c>
      <c r="B1428">
        <f>44.4446066228571*(1-0.8198)</f>
        <v>8.0089181134388578</v>
      </c>
      <c r="C1428" s="1">
        <v>22</v>
      </c>
    </row>
    <row r="1429" spans="1:3" x14ac:dyDescent="0.3">
      <c r="A1429" t="s">
        <v>1428</v>
      </c>
      <c r="B1429">
        <f>50.3764434157143*(1-0.8198)</f>
        <v>9.0778351035117186</v>
      </c>
      <c r="C1429" s="1">
        <v>20</v>
      </c>
    </row>
    <row r="1430" spans="1:3" x14ac:dyDescent="0.3">
      <c r="A1430" t="s">
        <v>1429</v>
      </c>
      <c r="B1430">
        <f>48.2013652628572*(1-0.8198)</f>
        <v>8.6858860203668602</v>
      </c>
      <c r="C1430" s="1">
        <v>15</v>
      </c>
    </row>
    <row r="1431" spans="1:3" x14ac:dyDescent="0.3">
      <c r="A1431" t="s">
        <v>1430</v>
      </c>
      <c r="B1431">
        <f>49.0128957242857*(1-0.8198)</f>
        <v>8.8321238095162862</v>
      </c>
      <c r="C1431" s="1">
        <v>15</v>
      </c>
    </row>
    <row r="1432" spans="1:3" x14ac:dyDescent="0.3">
      <c r="A1432" t="s">
        <v>1431</v>
      </c>
      <c r="B1432">
        <f>40.8989607828572*(1-0.8198)</f>
        <v>7.3699927330708599</v>
      </c>
      <c r="C1432" s="1">
        <v>14</v>
      </c>
    </row>
    <row r="1433" spans="1:3" x14ac:dyDescent="0.3">
      <c r="A1433" t="s">
        <v>1432</v>
      </c>
      <c r="B1433">
        <f>29.3778792542857*(1-0.8198)</f>
        <v>5.2938938416222863</v>
      </c>
      <c r="C1433" s="1">
        <v>12</v>
      </c>
    </row>
    <row r="1434" spans="1:3" x14ac:dyDescent="0.3">
      <c r="A1434" t="s">
        <v>1433</v>
      </c>
      <c r="B1434">
        <f>14.4904213428571*(1-0.8198)</f>
        <v>2.6111739259828579</v>
      </c>
      <c r="C1434" s="1">
        <v>10</v>
      </c>
    </row>
    <row r="1435" spans="1:3" x14ac:dyDescent="0.3">
      <c r="A1435" t="s">
        <v>1434</v>
      </c>
      <c r="B1435">
        <f>2.00684741*(1-0.8198)</f>
        <v>0.36163390328200001</v>
      </c>
      <c r="C1435" s="1">
        <v>8</v>
      </c>
    </row>
    <row r="1436" spans="1:3" x14ac:dyDescent="0.3">
      <c r="A1436" t="s">
        <v>1435</v>
      </c>
      <c r="B1436">
        <f>0*(1-0.8198)</f>
        <v>0</v>
      </c>
      <c r="C1436" s="1">
        <v>7</v>
      </c>
    </row>
    <row r="1437" spans="1:3" x14ac:dyDescent="0.3">
      <c r="A1437" t="s">
        <v>1436</v>
      </c>
      <c r="B1437">
        <f>0*(1-0.8198)</f>
        <v>0</v>
      </c>
      <c r="C1437" s="1">
        <v>8</v>
      </c>
    </row>
    <row r="1438" spans="1:3" x14ac:dyDescent="0.3">
      <c r="A1438" t="s">
        <v>1437</v>
      </c>
      <c r="B1438">
        <f>0*(1-0.8198)</f>
        <v>0</v>
      </c>
      <c r="C1438" s="1">
        <v>7</v>
      </c>
    </row>
    <row r="1439" spans="1:3" x14ac:dyDescent="0.3">
      <c r="A1439" t="s">
        <v>1438</v>
      </c>
      <c r="B1439">
        <f>0*(1-0.8198)</f>
        <v>0</v>
      </c>
      <c r="C1439" s="1">
        <v>6</v>
      </c>
    </row>
    <row r="1440" spans="1:3" x14ac:dyDescent="0.3">
      <c r="A1440" t="s">
        <v>1439</v>
      </c>
      <c r="B1440">
        <f>0*(1-0.8198)</f>
        <v>0</v>
      </c>
      <c r="C1440" s="1">
        <v>7</v>
      </c>
    </row>
    <row r="1441" spans="1:3" x14ac:dyDescent="0.3">
      <c r="A1441" t="s">
        <v>1440</v>
      </c>
      <c r="B1441">
        <f>0*(1-0.8198)</f>
        <v>0</v>
      </c>
      <c r="C1441" s="1">
        <v>6</v>
      </c>
    </row>
    <row r="1442" spans="1:3" x14ac:dyDescent="0.3">
      <c r="A1442" t="s">
        <v>1441</v>
      </c>
      <c r="B1442">
        <f>0*(1-0.8198)</f>
        <v>0</v>
      </c>
      <c r="C1442" s="1">
        <v>4</v>
      </c>
    </row>
    <row r="1443" spans="1:3" x14ac:dyDescent="0.3">
      <c r="A1443" t="s">
        <v>1442</v>
      </c>
      <c r="B1443">
        <f>0*(1-0.8198)</f>
        <v>0</v>
      </c>
      <c r="C1443" s="1">
        <v>5</v>
      </c>
    </row>
    <row r="1444" spans="1:3" x14ac:dyDescent="0.3">
      <c r="A1444" t="s">
        <v>1443</v>
      </c>
      <c r="B1444">
        <f>0*(1-0.8198)</f>
        <v>0</v>
      </c>
      <c r="C1444" s="1">
        <v>4</v>
      </c>
    </row>
    <row r="1445" spans="1:3" x14ac:dyDescent="0.3">
      <c r="A1445" t="s">
        <v>1444</v>
      </c>
      <c r="B1445">
        <f>0*(1-0.8198)</f>
        <v>0</v>
      </c>
      <c r="C1445" s="1">
        <v>4</v>
      </c>
    </row>
    <row r="1446" spans="1:3" x14ac:dyDescent="0.3">
      <c r="A1446" t="s">
        <v>1445</v>
      </c>
      <c r="B1446">
        <f>0*(1-0.8198)</f>
        <v>0</v>
      </c>
      <c r="C1446" s="1">
        <v>4</v>
      </c>
    </row>
    <row r="1447" spans="1:3" x14ac:dyDescent="0.3">
      <c r="A1447" t="s">
        <v>1446</v>
      </c>
      <c r="B1447">
        <f>0*(1-0.8198)</f>
        <v>0</v>
      </c>
      <c r="C1447" s="1">
        <v>5</v>
      </c>
    </row>
    <row r="1448" spans="1:3" x14ac:dyDescent="0.3">
      <c r="A1448" t="s">
        <v>1447</v>
      </c>
      <c r="B1448">
        <f>0*(1-0.8198)</f>
        <v>0</v>
      </c>
      <c r="C1448" s="1">
        <v>4</v>
      </c>
    </row>
    <row r="1449" spans="1:3" x14ac:dyDescent="0.3">
      <c r="A1449" t="s">
        <v>1448</v>
      </c>
      <c r="B1449">
        <f>4.72902469857143*(1-0.8198)</f>
        <v>0.85217025068257168</v>
      </c>
      <c r="C1449" s="1">
        <v>5</v>
      </c>
    </row>
    <row r="1450" spans="1:3" x14ac:dyDescent="0.3">
      <c r="A1450" t="s">
        <v>1449</v>
      </c>
      <c r="B1450">
        <f>10.8796152071429*(1-0.8198)</f>
        <v>1.9605066603271435</v>
      </c>
      <c r="C1450" s="1">
        <v>4</v>
      </c>
    </row>
    <row r="1451" spans="1:3" x14ac:dyDescent="0.3">
      <c r="A1451" t="s">
        <v>1450</v>
      </c>
      <c r="B1451">
        <f>23.5113779514286*(1-0.8198)</f>
        <v>4.236750306847429</v>
      </c>
      <c r="C1451" s="1">
        <v>4</v>
      </c>
    </row>
    <row r="1452" spans="1:3" x14ac:dyDescent="0.3">
      <c r="A1452" t="s">
        <v>1451</v>
      </c>
      <c r="B1452">
        <f>21.05587192*(1-0.8198)</f>
        <v>3.7942681199840007</v>
      </c>
      <c r="C1452" s="1">
        <v>4</v>
      </c>
    </row>
    <row r="1453" spans="1:3" x14ac:dyDescent="0.3">
      <c r="A1453" t="s">
        <v>1452</v>
      </c>
      <c r="B1453">
        <f>33.9648220014286*(1-0.8198)</f>
        <v>6.1204609246574293</v>
      </c>
      <c r="C1453" s="1">
        <v>5</v>
      </c>
    </row>
    <row r="1454" spans="1:3" x14ac:dyDescent="0.3">
      <c r="A1454" t="s">
        <v>1453</v>
      </c>
      <c r="B1454">
        <f>41.5140857957143*(1-0.8198)</f>
        <v>7.4808382603877153</v>
      </c>
      <c r="C1454" s="1">
        <v>4</v>
      </c>
    </row>
    <row r="1455" spans="1:3" x14ac:dyDescent="0.3">
      <c r="A1455" t="s">
        <v>1454</v>
      </c>
      <c r="B1455">
        <f>47.9078785914286*(1-0.8198)</f>
        <v>8.6329997221754304</v>
      </c>
      <c r="C1455" s="1">
        <v>4</v>
      </c>
    </row>
    <row r="1456" spans="1:3" x14ac:dyDescent="0.3">
      <c r="A1456" t="s">
        <v>1455</v>
      </c>
      <c r="B1456">
        <f>39.3928696885714*(1-0.8198)</f>
        <v>7.0985951178805724</v>
      </c>
      <c r="C1456" s="1">
        <v>5</v>
      </c>
    </row>
    <row r="1457" spans="1:3" x14ac:dyDescent="0.3">
      <c r="A1457" t="s">
        <v>1456</v>
      </c>
      <c r="B1457">
        <f>21.6219690085714*(1-0.8198)</f>
        <v>3.8962788153445724</v>
      </c>
      <c r="C1457" s="1">
        <v>4</v>
      </c>
    </row>
    <row r="1458" spans="1:3" x14ac:dyDescent="0.3">
      <c r="A1458" t="s">
        <v>1457</v>
      </c>
      <c r="B1458">
        <f>11.0841628285714*(1-0.8198)</f>
        <v>1.997366141708572</v>
      </c>
      <c r="C1458" s="1">
        <v>4</v>
      </c>
    </row>
    <row r="1459" spans="1:3" x14ac:dyDescent="0.3">
      <c r="A1459" t="s">
        <v>1458</v>
      </c>
      <c r="B1459">
        <f>2.09527543571429*(1-0.8198)</f>
        <v>0.3775686335157144</v>
      </c>
      <c r="C1459" s="1">
        <v>5</v>
      </c>
    </row>
    <row r="1460" spans="1:3" x14ac:dyDescent="0.3">
      <c r="A1460" t="s">
        <v>1459</v>
      </c>
      <c r="B1460">
        <f>0*(1-0.8198)</f>
        <v>0</v>
      </c>
      <c r="C1460" s="1">
        <v>4</v>
      </c>
    </row>
    <row r="1461" spans="1:3" x14ac:dyDescent="0.3">
      <c r="A1461" t="s">
        <v>1460</v>
      </c>
      <c r="B1461">
        <f>0*(1-0.8198)</f>
        <v>0</v>
      </c>
      <c r="C1461" s="1">
        <v>4</v>
      </c>
    </row>
    <row r="1462" spans="1:3" x14ac:dyDescent="0.3">
      <c r="A1462" t="s">
        <v>1461</v>
      </c>
      <c r="B1462">
        <f>0*(1-0.8198)</f>
        <v>0</v>
      </c>
      <c r="C1462" s="1">
        <v>4</v>
      </c>
    </row>
    <row r="1463" spans="1:3" x14ac:dyDescent="0.3">
      <c r="A1463" t="s">
        <v>1462</v>
      </c>
      <c r="B1463">
        <f>0*(1-0.8198)</f>
        <v>0</v>
      </c>
      <c r="C1463" s="1">
        <v>5</v>
      </c>
    </row>
    <row r="1464" spans="1:3" x14ac:dyDescent="0.3">
      <c r="A1464" t="s">
        <v>1463</v>
      </c>
      <c r="B1464">
        <f>0*(1-0.8198)</f>
        <v>0</v>
      </c>
      <c r="C1464" s="1">
        <v>4</v>
      </c>
    </row>
    <row r="1465" spans="1:3" x14ac:dyDescent="0.3">
      <c r="A1465" t="s">
        <v>1464</v>
      </c>
      <c r="B1465">
        <f>0*(1-0.8198)</f>
        <v>0</v>
      </c>
      <c r="C1465" s="1">
        <v>4</v>
      </c>
    </row>
    <row r="1466" spans="1:3" x14ac:dyDescent="0.3">
      <c r="A1466" t="s">
        <v>1465</v>
      </c>
      <c r="B1466">
        <f>0*(1-0.8198)</f>
        <v>0</v>
      </c>
      <c r="C1466" s="1">
        <v>5</v>
      </c>
    </row>
    <row r="1467" spans="1:3" x14ac:dyDescent="0.3">
      <c r="A1467" t="s">
        <v>1466</v>
      </c>
      <c r="B1467">
        <f>0*(1-0.8198)</f>
        <v>0</v>
      </c>
      <c r="C1467" s="1">
        <v>4</v>
      </c>
    </row>
    <row r="1468" spans="1:3" x14ac:dyDescent="0.3">
      <c r="A1468" t="s">
        <v>1467</v>
      </c>
      <c r="B1468">
        <f>0*(1-0.8198)</f>
        <v>0</v>
      </c>
      <c r="C1468" s="1">
        <v>4</v>
      </c>
    </row>
    <row r="1469" spans="1:3" x14ac:dyDescent="0.3">
      <c r="A1469" t="s">
        <v>1468</v>
      </c>
      <c r="B1469">
        <f>0*(1-0.8198)</f>
        <v>0</v>
      </c>
      <c r="C1469" s="1">
        <v>4</v>
      </c>
    </row>
    <row r="1470" spans="1:3" x14ac:dyDescent="0.3">
      <c r="A1470" t="s">
        <v>1469</v>
      </c>
      <c r="B1470">
        <f>0*(1-0.8198)</f>
        <v>0</v>
      </c>
      <c r="C1470" s="1">
        <v>5</v>
      </c>
    </row>
    <row r="1471" spans="1:3" x14ac:dyDescent="0.3">
      <c r="A1471" t="s">
        <v>1470</v>
      </c>
      <c r="B1471">
        <f>0*(1-0.8198)</f>
        <v>0</v>
      </c>
      <c r="C1471" s="1">
        <v>4</v>
      </c>
    </row>
    <row r="1472" spans="1:3" x14ac:dyDescent="0.3">
      <c r="A1472" t="s">
        <v>1471</v>
      </c>
      <c r="B1472">
        <f>0*(1-0.8198)</f>
        <v>0</v>
      </c>
      <c r="C1472" s="1">
        <v>4</v>
      </c>
    </row>
    <row r="1473" spans="1:3" x14ac:dyDescent="0.3">
      <c r="A1473" t="s">
        <v>1472</v>
      </c>
      <c r="B1473">
        <f>6.75070495857143*(1-0.8198)</f>
        <v>1.2164770335345718</v>
      </c>
      <c r="C1473" s="1">
        <v>4</v>
      </c>
    </row>
    <row r="1474" spans="1:3" x14ac:dyDescent="0.3">
      <c r="A1474" t="s">
        <v>1473</v>
      </c>
      <c r="B1474">
        <f>21.2722267885714*(1-0.8198)</f>
        <v>3.8332552673005722</v>
      </c>
      <c r="C1474" s="1">
        <v>5</v>
      </c>
    </row>
    <row r="1475" spans="1:3" x14ac:dyDescent="0.3">
      <c r="A1475" t="s">
        <v>1474</v>
      </c>
      <c r="B1475">
        <f>34.3636353914286*(1-0.8198)</f>
        <v>6.1923270975354301</v>
      </c>
      <c r="C1475" s="1">
        <v>4</v>
      </c>
    </row>
    <row r="1476" spans="1:3" x14ac:dyDescent="0.3">
      <c r="A1476" t="s">
        <v>1475</v>
      </c>
      <c r="B1476">
        <f>44.44139569*(1-0.8198)</f>
        <v>8.0083395033380018</v>
      </c>
      <c r="C1476" s="1">
        <v>4</v>
      </c>
    </row>
    <row r="1477" spans="1:3" x14ac:dyDescent="0.3">
      <c r="A1477" t="s">
        <v>1476</v>
      </c>
      <c r="B1477">
        <f>49.3626086428572*(1-0.8198)</f>
        <v>8.8951420774428609</v>
      </c>
      <c r="C1477" s="1">
        <v>4</v>
      </c>
    </row>
    <row r="1478" spans="1:3" x14ac:dyDescent="0.3">
      <c r="A1478" t="s">
        <v>1477</v>
      </c>
      <c r="B1478">
        <f>45.6002979042857*(1-0.8198)</f>
        <v>8.2171736823522874</v>
      </c>
      <c r="C1478" s="1">
        <v>5</v>
      </c>
    </row>
    <row r="1479" spans="1:3" x14ac:dyDescent="0.3">
      <c r="A1479" t="s">
        <v>1478</v>
      </c>
      <c r="B1479">
        <f>48.2430663557143*(1-0.8198)</f>
        <v>8.6934005572997144</v>
      </c>
      <c r="C1479" s="1">
        <v>4</v>
      </c>
    </row>
    <row r="1480" spans="1:3" x14ac:dyDescent="0.3">
      <c r="A1480" t="s">
        <v>1479</v>
      </c>
      <c r="B1480">
        <f>40.9396041371429*(1-0.8198)</f>
        <v>7.3773166655131455</v>
      </c>
      <c r="C1480" s="1">
        <v>5</v>
      </c>
    </row>
    <row r="1481" spans="1:3" x14ac:dyDescent="0.3">
      <c r="A1481" t="s">
        <v>1480</v>
      </c>
      <c r="B1481">
        <f>29.4540188628571*(1-0.8198)</f>
        <v>5.3076141990868591</v>
      </c>
      <c r="C1481" s="1">
        <v>4</v>
      </c>
    </row>
    <row r="1482" spans="1:3" x14ac:dyDescent="0.3">
      <c r="A1482" t="s">
        <v>1481</v>
      </c>
      <c r="B1482">
        <f>14.5830566728571*(1-0.8198)</f>
        <v>2.627866812448858</v>
      </c>
      <c r="C1482" s="1">
        <v>4</v>
      </c>
    </row>
    <row r="1483" spans="1:3" x14ac:dyDescent="0.3">
      <c r="A1483" t="s">
        <v>1482</v>
      </c>
      <c r="B1483">
        <f>2.21549409857143*(1-0.8198)</f>
        <v>0.39923203656257145</v>
      </c>
      <c r="C1483" s="1">
        <v>5</v>
      </c>
    </row>
    <row r="1484" spans="1:3" x14ac:dyDescent="0.3">
      <c r="A1484" t="s">
        <v>1483</v>
      </c>
      <c r="B1484">
        <f>0*(1-0.8198)</f>
        <v>0</v>
      </c>
      <c r="C1484" s="1">
        <v>4</v>
      </c>
    </row>
    <row r="1485" spans="1:3" x14ac:dyDescent="0.3">
      <c r="A1485" t="s">
        <v>1484</v>
      </c>
      <c r="B1485">
        <f>0*(1-0.8198)</f>
        <v>0</v>
      </c>
      <c r="C1485" s="1">
        <v>4</v>
      </c>
    </row>
    <row r="1486" spans="1:3" x14ac:dyDescent="0.3">
      <c r="A1486" t="s">
        <v>1485</v>
      </c>
      <c r="B1486">
        <f>0*(1-0.8198)</f>
        <v>0</v>
      </c>
      <c r="C1486" s="1">
        <v>5</v>
      </c>
    </row>
    <row r="1487" spans="1:3" x14ac:dyDescent="0.3">
      <c r="A1487" t="s">
        <v>1486</v>
      </c>
      <c r="B1487">
        <f>0*(1-0.8198)</f>
        <v>0</v>
      </c>
      <c r="C1487" s="1">
        <v>4</v>
      </c>
    </row>
    <row r="1488" spans="1:3" x14ac:dyDescent="0.3">
      <c r="A1488" t="s">
        <v>1487</v>
      </c>
      <c r="B1488">
        <f>0*(1-0.8198)</f>
        <v>0</v>
      </c>
      <c r="C1488" s="1">
        <v>4</v>
      </c>
    </row>
    <row r="1489" spans="1:3" x14ac:dyDescent="0.3">
      <c r="A1489" t="s">
        <v>1488</v>
      </c>
      <c r="B1489">
        <f>0*(1-0.8198)</f>
        <v>0</v>
      </c>
      <c r="C1489" s="1">
        <v>4</v>
      </c>
    </row>
    <row r="1490" spans="1:3" x14ac:dyDescent="0.3">
      <c r="A1490" t="s">
        <v>1489</v>
      </c>
      <c r="B1490">
        <f>0*(1-0.8198)</f>
        <v>0</v>
      </c>
      <c r="C1490" s="1">
        <v>5</v>
      </c>
    </row>
    <row r="1491" spans="1:3" x14ac:dyDescent="0.3">
      <c r="A1491" t="s">
        <v>1490</v>
      </c>
      <c r="B1491">
        <f>0*(1-0.8198)</f>
        <v>0</v>
      </c>
      <c r="C1491" s="1">
        <v>4</v>
      </c>
    </row>
    <row r="1492" spans="1:3" x14ac:dyDescent="0.3">
      <c r="A1492" t="s">
        <v>1491</v>
      </c>
      <c r="B1492">
        <f>0*(1-0.8198)</f>
        <v>0</v>
      </c>
      <c r="C1492" s="1">
        <v>4</v>
      </c>
    </row>
    <row r="1493" spans="1:3" x14ac:dyDescent="0.3">
      <c r="A1493" t="s">
        <v>1492</v>
      </c>
      <c r="B1493">
        <f>0*(1-0.8198)</f>
        <v>0</v>
      </c>
      <c r="C1493" s="1">
        <v>4</v>
      </c>
    </row>
    <row r="1494" spans="1:3" x14ac:dyDescent="0.3">
      <c r="A1494" t="s">
        <v>1493</v>
      </c>
      <c r="B1494">
        <f>0*(1-0.8198)</f>
        <v>0</v>
      </c>
      <c r="C1494" s="1">
        <v>5</v>
      </c>
    </row>
    <row r="1495" spans="1:3" x14ac:dyDescent="0.3">
      <c r="A1495" t="s">
        <v>1494</v>
      </c>
      <c r="B1495">
        <f>0*(1-0.8198)</f>
        <v>0</v>
      </c>
      <c r="C1495" s="1">
        <v>4</v>
      </c>
    </row>
    <row r="1496" spans="1:3" x14ac:dyDescent="0.3">
      <c r="A1496" t="s">
        <v>1495</v>
      </c>
      <c r="B1496">
        <f>0*(1-0.8198)</f>
        <v>0</v>
      </c>
      <c r="C1496" s="1">
        <v>4</v>
      </c>
    </row>
    <row r="1497" spans="1:3" x14ac:dyDescent="0.3">
      <c r="A1497" t="s">
        <v>1496</v>
      </c>
      <c r="B1497">
        <f>7.10086292714286*(1-0.8198)</f>
        <v>1.2795754994711432</v>
      </c>
      <c r="C1497" s="1">
        <v>12</v>
      </c>
    </row>
    <row r="1498" spans="1:3" x14ac:dyDescent="0.3">
      <c r="A1498" t="s">
        <v>1497</v>
      </c>
      <c r="B1498">
        <f>21.9702403828571*(1-0.8198)</f>
        <v>3.9590373169908584</v>
      </c>
      <c r="C1498" s="1">
        <v>15</v>
      </c>
    </row>
    <row r="1499" spans="1:3" x14ac:dyDescent="0.3">
      <c r="A1499" t="s">
        <v>1498</v>
      </c>
      <c r="B1499">
        <f>34.92248569*(1-0.8198)</f>
        <v>6.2930319213380015</v>
      </c>
      <c r="C1499" s="1">
        <v>20</v>
      </c>
    </row>
    <row r="1500" spans="1:3" x14ac:dyDescent="0.3">
      <c r="A1500" t="s">
        <v>1499</v>
      </c>
      <c r="B1500">
        <f>45.0085075785714*(1-0.8198)</f>
        <v>8.1105330656585739</v>
      </c>
      <c r="C1500" s="1">
        <v>16</v>
      </c>
    </row>
    <row r="1501" spans="1:3" x14ac:dyDescent="0.3">
      <c r="A1501" t="s">
        <v>1500</v>
      </c>
      <c r="B1501">
        <f>49.69489145*(1-0.8198)</f>
        <v>8.9550194392900018</v>
      </c>
      <c r="C1501" s="1">
        <v>17</v>
      </c>
    </row>
    <row r="1502" spans="1:3" x14ac:dyDescent="0.3">
      <c r="A1502" t="s">
        <v>1501</v>
      </c>
      <c r="B1502">
        <f>47.6493707*(1-0.8198)</f>
        <v>8.5864166001400015</v>
      </c>
      <c r="C1502" s="1">
        <v>14</v>
      </c>
    </row>
    <row r="1503" spans="1:3" x14ac:dyDescent="0.3">
      <c r="A1503" t="s">
        <v>1502</v>
      </c>
      <c r="B1503">
        <f>48.8431803142857*(1-0.8198)</f>
        <v>8.8015410926342881</v>
      </c>
      <c r="C1503" s="1">
        <v>16</v>
      </c>
    </row>
    <row r="1504" spans="1:3" x14ac:dyDescent="0.3">
      <c r="A1504" t="s">
        <v>1503</v>
      </c>
      <c r="B1504">
        <f>41.0806600471429*(1-0.8198)</f>
        <v>7.4027349404951455</v>
      </c>
      <c r="C1504" s="1">
        <v>13</v>
      </c>
    </row>
    <row r="1505" spans="1:3" x14ac:dyDescent="0.3">
      <c r="A1505" t="s">
        <v>1504</v>
      </c>
      <c r="B1505">
        <f>29.7569573028571*(1-0.8198)</f>
        <v>5.3622037059748582</v>
      </c>
      <c r="C1505" s="1">
        <v>11</v>
      </c>
    </row>
    <row r="1506" spans="1:3" x14ac:dyDescent="0.3">
      <c r="A1506" t="s">
        <v>1505</v>
      </c>
      <c r="B1506">
        <f>15.0160644614286*(1-0.8198)</f>
        <v>2.7058948159494292</v>
      </c>
      <c r="C1506" s="1">
        <v>11</v>
      </c>
    </row>
    <row r="1507" spans="1:3" x14ac:dyDescent="0.3">
      <c r="A1507" t="s">
        <v>1506</v>
      </c>
      <c r="B1507">
        <f>2.77256585571429*(1-0.8198)</f>
        <v>0.49961636719971436</v>
      </c>
      <c r="C1507" s="1">
        <v>8</v>
      </c>
    </row>
    <row r="1508" spans="1:3" x14ac:dyDescent="0.3">
      <c r="A1508" t="s">
        <v>1507</v>
      </c>
      <c r="B1508">
        <f>0*(1-0.8198)</f>
        <v>0</v>
      </c>
      <c r="C1508" s="1">
        <v>8</v>
      </c>
    </row>
    <row r="1509" spans="1:3" x14ac:dyDescent="0.3">
      <c r="A1509" t="s">
        <v>1508</v>
      </c>
      <c r="B1509">
        <f>0*(1-0.8198)</f>
        <v>0</v>
      </c>
      <c r="C1509" s="1">
        <v>10</v>
      </c>
    </row>
    <row r="1510" spans="1:3" x14ac:dyDescent="0.3">
      <c r="A1510" t="s">
        <v>1509</v>
      </c>
      <c r="B1510">
        <f>0*(1-0.8198)</f>
        <v>0</v>
      </c>
      <c r="C1510" s="1">
        <v>10</v>
      </c>
    </row>
    <row r="1511" spans="1:3" x14ac:dyDescent="0.3">
      <c r="A1511" t="s">
        <v>1510</v>
      </c>
      <c r="B1511">
        <f>0*(1-0.8198)</f>
        <v>0</v>
      </c>
      <c r="C1511" s="1">
        <v>7</v>
      </c>
    </row>
    <row r="1512" spans="1:3" x14ac:dyDescent="0.3">
      <c r="A1512" t="s">
        <v>1511</v>
      </c>
      <c r="B1512">
        <f>0*(1-0.8198)</f>
        <v>0</v>
      </c>
      <c r="C1512" s="1">
        <v>6</v>
      </c>
    </row>
    <row r="1513" spans="1:3" x14ac:dyDescent="0.3">
      <c r="A1513" t="s">
        <v>1512</v>
      </c>
      <c r="B1513">
        <f>0*(1-0.8198)</f>
        <v>0</v>
      </c>
      <c r="C1513" s="1">
        <v>7</v>
      </c>
    </row>
    <row r="1514" spans="1:3" x14ac:dyDescent="0.3">
      <c r="A1514" t="s">
        <v>1513</v>
      </c>
      <c r="B1514">
        <f>0*(1-0.8198)</f>
        <v>0</v>
      </c>
      <c r="C1514" s="1">
        <v>4</v>
      </c>
    </row>
    <row r="1515" spans="1:3" x14ac:dyDescent="0.3">
      <c r="A1515" t="s">
        <v>1514</v>
      </c>
      <c r="B1515">
        <f>0*(1-0.8198)</f>
        <v>0</v>
      </c>
      <c r="C1515" s="1">
        <v>4</v>
      </c>
    </row>
    <row r="1516" spans="1:3" x14ac:dyDescent="0.3">
      <c r="A1516" t="s">
        <v>1515</v>
      </c>
      <c r="B1516">
        <f>0*(1-0.8198)</f>
        <v>0</v>
      </c>
      <c r="C1516" s="1">
        <v>5</v>
      </c>
    </row>
    <row r="1517" spans="1:3" x14ac:dyDescent="0.3">
      <c r="A1517" t="s">
        <v>1516</v>
      </c>
      <c r="B1517">
        <f>0*(1-0.8198)</f>
        <v>0</v>
      </c>
      <c r="C1517" s="1">
        <v>4</v>
      </c>
    </row>
    <row r="1518" spans="1:3" x14ac:dyDescent="0.3">
      <c r="A1518" t="s">
        <v>1517</v>
      </c>
      <c r="B1518">
        <f>0*(1-0.8198)</f>
        <v>0</v>
      </c>
      <c r="C1518" s="1">
        <v>4</v>
      </c>
    </row>
    <row r="1519" spans="1:3" x14ac:dyDescent="0.3">
      <c r="A1519" t="s">
        <v>1518</v>
      </c>
      <c r="B1519">
        <f>0*(1-0.8198)</f>
        <v>0</v>
      </c>
      <c r="C1519" s="1">
        <v>5</v>
      </c>
    </row>
    <row r="1520" spans="1:3" x14ac:dyDescent="0.3">
      <c r="A1520" t="s">
        <v>1519</v>
      </c>
      <c r="B1520">
        <f>0*(1-0.8198)</f>
        <v>0</v>
      </c>
      <c r="C1520" s="1">
        <v>4</v>
      </c>
    </row>
    <row r="1521" spans="1:3" x14ac:dyDescent="0.3">
      <c r="A1521" t="s">
        <v>1520</v>
      </c>
      <c r="B1521">
        <f>7.74082394142857*(1-0.8198)</f>
        <v>1.3948964742454293</v>
      </c>
      <c r="C1521" s="1">
        <v>10</v>
      </c>
    </row>
    <row r="1522" spans="1:3" x14ac:dyDescent="0.3">
      <c r="A1522" t="s">
        <v>1521</v>
      </c>
      <c r="B1522">
        <f>22.5308130157143*(1-0.8198)</f>
        <v>4.060052505431714</v>
      </c>
      <c r="C1522" s="1">
        <v>16</v>
      </c>
    </row>
    <row r="1523" spans="1:3" x14ac:dyDescent="0.3">
      <c r="A1523" t="s">
        <v>1522</v>
      </c>
      <c r="B1523">
        <f>35.5776526714286*(1-0.8198)</f>
        <v>6.4110930113914284</v>
      </c>
      <c r="C1523" s="1">
        <v>18</v>
      </c>
    </row>
    <row r="1524" spans="1:3" x14ac:dyDescent="0.3">
      <c r="A1524" t="s">
        <v>1523</v>
      </c>
      <c r="B1524">
        <f>45.2171000871429*(1-0.8198)</f>
        <v>8.1481214357031462</v>
      </c>
      <c r="C1524" s="1">
        <v>21</v>
      </c>
    </row>
    <row r="1525" spans="1:3" x14ac:dyDescent="0.3">
      <c r="A1525" t="s">
        <v>1524</v>
      </c>
      <c r="B1525">
        <f>50.2184625828571*(1-0.8198)</f>
        <v>9.0493669574308591</v>
      </c>
      <c r="C1525" s="1">
        <v>19</v>
      </c>
    </row>
    <row r="1526" spans="1:3" x14ac:dyDescent="0.3">
      <c r="A1526" t="s">
        <v>1525</v>
      </c>
      <c r="B1526">
        <f>50.2255695614286*(1-0.8198)</f>
        <v>9.0506476349694296</v>
      </c>
      <c r="C1526" s="1">
        <v>16</v>
      </c>
    </row>
    <row r="1527" spans="1:3" x14ac:dyDescent="0.3">
      <c r="A1527" t="s">
        <v>1526</v>
      </c>
      <c r="B1527">
        <f>49.6947013285714*(1-0.8198)</f>
        <v>8.9549851794085704</v>
      </c>
      <c r="C1527" s="1">
        <v>14</v>
      </c>
    </row>
    <row r="1528" spans="1:3" x14ac:dyDescent="0.3">
      <c r="A1528" t="s">
        <v>1527</v>
      </c>
      <c r="B1528">
        <f>41.90171679*(1-0.8198)</f>
        <v>7.5506893655580027</v>
      </c>
      <c r="C1528" s="1">
        <v>11</v>
      </c>
    </row>
    <row r="1529" spans="1:3" x14ac:dyDescent="0.3">
      <c r="A1529" t="s">
        <v>1528</v>
      </c>
      <c r="B1529">
        <f>30.0880663942857*(1-0.8198)</f>
        <v>5.4218695642502865</v>
      </c>
      <c r="C1529" s="1">
        <v>10</v>
      </c>
    </row>
    <row r="1530" spans="1:3" x14ac:dyDescent="0.3">
      <c r="A1530" t="s">
        <v>1529</v>
      </c>
      <c r="B1530">
        <f>15.5812661057143*(1-0.8198)</f>
        <v>2.8077441522497146</v>
      </c>
      <c r="C1530" s="1">
        <v>8</v>
      </c>
    </row>
    <row r="1531" spans="1:3" x14ac:dyDescent="0.3">
      <c r="A1531" t="s">
        <v>1530</v>
      </c>
      <c r="B1531">
        <f>3.06345575714286*(1-0.8198)</f>
        <v>0.55203472743714288</v>
      </c>
      <c r="C1531" s="1">
        <v>5</v>
      </c>
    </row>
    <row r="1532" spans="1:3" x14ac:dyDescent="0.3">
      <c r="A1532" t="s">
        <v>1531</v>
      </c>
      <c r="B1532">
        <f>0*(1-0.8198)</f>
        <v>0</v>
      </c>
      <c r="C1532" s="1">
        <v>6</v>
      </c>
    </row>
    <row r="1533" spans="1:3" x14ac:dyDescent="0.3">
      <c r="A1533" t="s">
        <v>1532</v>
      </c>
      <c r="B1533">
        <f>0*(1-0.8198)</f>
        <v>0</v>
      </c>
      <c r="C1533" s="1">
        <v>8</v>
      </c>
    </row>
    <row r="1534" spans="1:3" x14ac:dyDescent="0.3">
      <c r="A1534" t="s">
        <v>1533</v>
      </c>
      <c r="B1534">
        <f>0*(1-0.8198)</f>
        <v>0</v>
      </c>
      <c r="C1534" s="1">
        <v>6</v>
      </c>
    </row>
    <row r="1535" spans="1:3" x14ac:dyDescent="0.3">
      <c r="A1535" t="s">
        <v>1534</v>
      </c>
      <c r="B1535">
        <f>0*(1-0.8198)</f>
        <v>0</v>
      </c>
      <c r="C1535" s="1">
        <v>5</v>
      </c>
    </row>
    <row r="1536" spans="1:3" x14ac:dyDescent="0.3">
      <c r="A1536" t="s">
        <v>1535</v>
      </c>
      <c r="B1536">
        <f>0*(1-0.8198)</f>
        <v>0</v>
      </c>
      <c r="C1536" s="1">
        <v>4</v>
      </c>
    </row>
    <row r="1537" spans="1:3" x14ac:dyDescent="0.3">
      <c r="A1537" t="s">
        <v>1536</v>
      </c>
      <c r="B1537">
        <f>0*(1-0.8198)</f>
        <v>0</v>
      </c>
      <c r="C1537" s="1">
        <v>5</v>
      </c>
    </row>
    <row r="1538" spans="1:3" x14ac:dyDescent="0.3">
      <c r="A1538" t="s">
        <v>1537</v>
      </c>
      <c r="B1538">
        <f>0*(1-0.8198)</f>
        <v>0</v>
      </c>
      <c r="C1538" s="1">
        <v>3</v>
      </c>
    </row>
    <row r="1539" spans="1:3" x14ac:dyDescent="0.3">
      <c r="A1539" t="s">
        <v>1538</v>
      </c>
      <c r="B1539">
        <f>0*(1-0.8198)</f>
        <v>0</v>
      </c>
      <c r="C1539" s="1">
        <v>2</v>
      </c>
    </row>
    <row r="1540" spans="1:3" x14ac:dyDescent="0.3">
      <c r="A1540" t="s">
        <v>1539</v>
      </c>
      <c r="B1540">
        <f>0*(1-0.8198)</f>
        <v>0</v>
      </c>
      <c r="C1540" s="1">
        <v>3</v>
      </c>
    </row>
    <row r="1541" spans="1:3" x14ac:dyDescent="0.3">
      <c r="A1541" t="s">
        <v>1540</v>
      </c>
      <c r="B1541">
        <f>0*(1-0.8198)</f>
        <v>0</v>
      </c>
      <c r="C1541" s="1">
        <v>3</v>
      </c>
    </row>
    <row r="1542" spans="1:3" x14ac:dyDescent="0.3">
      <c r="A1542" t="s">
        <v>1541</v>
      </c>
      <c r="B1542">
        <f>0*(1-0.8198)</f>
        <v>0</v>
      </c>
      <c r="C1542" s="1">
        <v>2</v>
      </c>
    </row>
    <row r="1543" spans="1:3" x14ac:dyDescent="0.3">
      <c r="A1543" t="s">
        <v>1542</v>
      </c>
      <c r="B1543">
        <f>0*(1-0.8198)</f>
        <v>0</v>
      </c>
      <c r="C1543" s="1">
        <v>2</v>
      </c>
    </row>
    <row r="1544" spans="1:3" x14ac:dyDescent="0.3">
      <c r="A1544" t="s">
        <v>1543</v>
      </c>
      <c r="B1544">
        <f>0*(1-0.8198)</f>
        <v>0</v>
      </c>
      <c r="C1544" s="1">
        <v>3</v>
      </c>
    </row>
    <row r="1545" spans="1:3" x14ac:dyDescent="0.3">
      <c r="A1545" t="s">
        <v>1544</v>
      </c>
      <c r="B1545">
        <f>3.26059251285714*(1-0.8198)</f>
        <v>0.58755877081685737</v>
      </c>
      <c r="C1545" s="1">
        <v>10</v>
      </c>
    </row>
    <row r="1546" spans="1:3" x14ac:dyDescent="0.3">
      <c r="A1546" t="s">
        <v>1545</v>
      </c>
      <c r="B1546">
        <f>10.5526342385714*(1-0.8198)</f>
        <v>1.9015846897905717</v>
      </c>
      <c r="C1546" s="1">
        <v>14</v>
      </c>
    </row>
    <row r="1547" spans="1:3" x14ac:dyDescent="0.3">
      <c r="A1547" t="s">
        <v>1546</v>
      </c>
      <c r="B1547">
        <f>19.8724787485714*(1-0.8198)</f>
        <v>3.5810206704925727</v>
      </c>
      <c r="C1547" s="1">
        <v>18</v>
      </c>
    </row>
    <row r="1548" spans="1:3" x14ac:dyDescent="0.3">
      <c r="A1548" t="s">
        <v>1547</v>
      </c>
      <c r="B1548">
        <f>26.2766404414286*(1-0.8198)</f>
        <v>4.7350506075454293</v>
      </c>
      <c r="C1548" s="1">
        <v>15</v>
      </c>
    </row>
    <row r="1549" spans="1:3" x14ac:dyDescent="0.3">
      <c r="A1549" t="s">
        <v>1548</v>
      </c>
      <c r="B1549">
        <f>46.37407111*(1-0.8198)</f>
        <v>8.3566076140219998</v>
      </c>
      <c r="C1549" s="1">
        <v>15</v>
      </c>
    </row>
    <row r="1550" spans="1:3" x14ac:dyDescent="0.3">
      <c r="A1550" t="s">
        <v>1549</v>
      </c>
      <c r="B1550">
        <f>39.5516049257143*(1-0.8198)</f>
        <v>7.1271992076137156</v>
      </c>
      <c r="C1550" s="1">
        <v>14</v>
      </c>
    </row>
    <row r="1551" spans="1:3" x14ac:dyDescent="0.3">
      <c r="A1551" t="s">
        <v>1550</v>
      </c>
      <c r="B1551">
        <f>44.1061425657143*(1-0.8198)</f>
        <v>7.9479268903417157</v>
      </c>
      <c r="C1551" s="1">
        <v>14</v>
      </c>
    </row>
    <row r="1552" spans="1:3" x14ac:dyDescent="0.3">
      <c r="A1552" t="s">
        <v>1551</v>
      </c>
      <c r="B1552">
        <f>36.4193397085714*(1-0.8198)</f>
        <v>6.5627650154845734</v>
      </c>
      <c r="C1552" s="1">
        <v>13</v>
      </c>
    </row>
    <row r="1553" spans="1:3" x14ac:dyDescent="0.3">
      <c r="A1553" t="s">
        <v>1552</v>
      </c>
      <c r="B1553">
        <f>28.2790030742857*(1-0.8198)</f>
        <v>5.0958763539862861</v>
      </c>
      <c r="C1553" s="1">
        <v>8</v>
      </c>
    </row>
    <row r="1554" spans="1:3" x14ac:dyDescent="0.3">
      <c r="A1554" t="s">
        <v>1553</v>
      </c>
      <c r="B1554">
        <f>14.9863485742857*(1-0.8198)</f>
        <v>2.700540013086286</v>
      </c>
      <c r="C1554" s="1">
        <v>9</v>
      </c>
    </row>
    <row r="1555" spans="1:3" x14ac:dyDescent="0.3">
      <c r="A1555" t="s">
        <v>1554</v>
      </c>
      <c r="B1555">
        <f>2.85956493*(1-0.8198)</f>
        <v>0.51529360038600003</v>
      </c>
      <c r="C1555" s="1">
        <v>6</v>
      </c>
    </row>
    <row r="1556" spans="1:3" x14ac:dyDescent="0.3">
      <c r="A1556" t="s">
        <v>1555</v>
      </c>
      <c r="B1556">
        <f>0*(1-0.8198)</f>
        <v>0</v>
      </c>
      <c r="C1556" s="1">
        <v>6</v>
      </c>
    </row>
    <row r="1557" spans="1:3" x14ac:dyDescent="0.3">
      <c r="A1557" t="s">
        <v>1556</v>
      </c>
      <c r="B1557">
        <f>0*(1-0.8198)</f>
        <v>0</v>
      </c>
      <c r="C1557" s="1">
        <v>8</v>
      </c>
    </row>
    <row r="1558" spans="1:3" x14ac:dyDescent="0.3">
      <c r="A1558" t="s">
        <v>1557</v>
      </c>
      <c r="B1558">
        <f>0*(1-0.8198)</f>
        <v>0</v>
      </c>
      <c r="C1558" s="1">
        <v>8</v>
      </c>
    </row>
    <row r="1559" spans="1:3" x14ac:dyDescent="0.3">
      <c r="A1559" t="s">
        <v>1558</v>
      </c>
      <c r="B1559">
        <f>0*(1-0.8198)</f>
        <v>0</v>
      </c>
      <c r="C1559" s="1">
        <v>5</v>
      </c>
    </row>
    <row r="1560" spans="1:3" x14ac:dyDescent="0.3">
      <c r="A1560" t="s">
        <v>1559</v>
      </c>
      <c r="B1560">
        <f>0*(1-0.8198)</f>
        <v>0</v>
      </c>
      <c r="C1560" s="1">
        <v>5</v>
      </c>
    </row>
    <row r="1561" spans="1:3" x14ac:dyDescent="0.3">
      <c r="A1561" t="s">
        <v>1560</v>
      </c>
      <c r="B1561">
        <f>0*(1-0.8198)</f>
        <v>0</v>
      </c>
      <c r="C1561" s="1">
        <v>4</v>
      </c>
    </row>
    <row r="1562" spans="1:3" x14ac:dyDescent="0.3">
      <c r="A1562" t="s">
        <v>1561</v>
      </c>
      <c r="B1562">
        <f>0*(1-0.8198)</f>
        <v>0</v>
      </c>
      <c r="C1562" s="1">
        <v>3</v>
      </c>
    </row>
    <row r="1563" spans="1:3" x14ac:dyDescent="0.3">
      <c r="A1563" t="s">
        <v>1562</v>
      </c>
      <c r="B1563">
        <f>0*(1-0.8198)</f>
        <v>0</v>
      </c>
      <c r="C1563" s="1">
        <v>2</v>
      </c>
    </row>
    <row r="1564" spans="1:3" x14ac:dyDescent="0.3">
      <c r="A1564" t="s">
        <v>1563</v>
      </c>
      <c r="B1564">
        <f>0*(1-0.8198)</f>
        <v>0</v>
      </c>
      <c r="C1564" s="1">
        <v>3</v>
      </c>
    </row>
    <row r="1565" spans="1:3" x14ac:dyDescent="0.3">
      <c r="A1565" t="s">
        <v>1564</v>
      </c>
      <c r="B1565">
        <f>0*(1-0.8198)</f>
        <v>0</v>
      </c>
      <c r="C1565" s="1">
        <v>2</v>
      </c>
    </row>
    <row r="1566" spans="1:3" x14ac:dyDescent="0.3">
      <c r="A1566" t="s">
        <v>1565</v>
      </c>
      <c r="B1566">
        <f>0*(1-0.8198)</f>
        <v>0</v>
      </c>
      <c r="C1566" s="1">
        <v>3</v>
      </c>
    </row>
    <row r="1567" spans="1:3" x14ac:dyDescent="0.3">
      <c r="A1567" t="s">
        <v>1566</v>
      </c>
      <c r="B1567">
        <f>0*(1-0.8198)</f>
        <v>0</v>
      </c>
      <c r="C1567" s="1">
        <v>2</v>
      </c>
    </row>
    <row r="1568" spans="1:3" x14ac:dyDescent="0.3">
      <c r="A1568" t="s">
        <v>1567</v>
      </c>
      <c r="B1568">
        <f>0*(1-0.8198)</f>
        <v>0</v>
      </c>
      <c r="C1568" s="1">
        <v>3</v>
      </c>
    </row>
    <row r="1569" spans="1:3" x14ac:dyDescent="0.3">
      <c r="A1569" t="s">
        <v>1568</v>
      </c>
      <c r="B1569">
        <f>7.72340967857143*(1-0.8198)</f>
        <v>1.3917584240785719</v>
      </c>
      <c r="C1569" s="1">
        <v>8</v>
      </c>
    </row>
    <row r="1570" spans="1:3" x14ac:dyDescent="0.3">
      <c r="A1570" t="s">
        <v>1569</v>
      </c>
      <c r="B1570">
        <f>21.2144906271429*(1-0.8198)</f>
        <v>3.8228512110111437</v>
      </c>
      <c r="C1570" s="1">
        <v>14</v>
      </c>
    </row>
    <row r="1571" spans="1:3" x14ac:dyDescent="0.3">
      <c r="A1571" t="s">
        <v>1570</v>
      </c>
      <c r="B1571">
        <f>32.9206410842857*(1-0.8198)</f>
        <v>5.9322995233882878</v>
      </c>
      <c r="C1571" s="1">
        <v>13</v>
      </c>
    </row>
    <row r="1572" spans="1:3" x14ac:dyDescent="0.3">
      <c r="A1572" t="s">
        <v>1571</v>
      </c>
      <c r="B1572">
        <f>39.7060450771429*(1-0.8198)</f>
        <v>7.1550293229011457</v>
      </c>
      <c r="C1572" s="1">
        <v>13</v>
      </c>
    </row>
    <row r="1573" spans="1:3" x14ac:dyDescent="0.3">
      <c r="A1573" t="s">
        <v>1572</v>
      </c>
      <c r="B1573">
        <f>47.0400892642857*(1-0.8198)</f>
        <v>8.4766240854242891</v>
      </c>
      <c r="C1573" s="1">
        <v>13</v>
      </c>
    </row>
    <row r="1574" spans="1:3" x14ac:dyDescent="0.3">
      <c r="A1574" t="s">
        <v>1573</v>
      </c>
      <c r="B1574">
        <f>16.3442194057143*(1-0.8198)</f>
        <v>2.945228336909715</v>
      </c>
      <c r="C1574" s="1">
        <v>13</v>
      </c>
    </row>
    <row r="1575" spans="1:3" x14ac:dyDescent="0.3">
      <c r="A1575" t="s">
        <v>1574</v>
      </c>
      <c r="B1575">
        <f>33.0991805242857*(1-0.8198)</f>
        <v>5.9644723304762861</v>
      </c>
      <c r="C1575" s="1">
        <v>14</v>
      </c>
    </row>
    <row r="1576" spans="1:3" x14ac:dyDescent="0.3">
      <c r="A1576" t="s">
        <v>1575</v>
      </c>
      <c r="B1576">
        <f>39.0884127957143*(1-0.8198)</f>
        <v>7.0437319857877148</v>
      </c>
      <c r="C1576" s="1">
        <v>13</v>
      </c>
    </row>
    <row r="1577" spans="1:3" x14ac:dyDescent="0.3">
      <c r="A1577" t="s">
        <v>1576</v>
      </c>
      <c r="B1577">
        <f>29.9774667085714*(1-0.8198)</f>
        <v>5.4019395008845725</v>
      </c>
      <c r="C1577" s="1">
        <v>10</v>
      </c>
    </row>
    <row r="1578" spans="1:3" x14ac:dyDescent="0.3">
      <c r="A1578" t="s">
        <v>1577</v>
      </c>
      <c r="B1578">
        <f>15.0056260271429*(1-0.8198)</f>
        <v>2.7040138100911433</v>
      </c>
      <c r="C1578" s="1">
        <v>9</v>
      </c>
    </row>
    <row r="1579" spans="1:3" x14ac:dyDescent="0.3">
      <c r="A1579" t="s">
        <v>1578</v>
      </c>
      <c r="B1579">
        <f>3.02574512571429*(1-0.8198)</f>
        <v>0.54523927165371444</v>
      </c>
      <c r="C1579" s="1">
        <v>8</v>
      </c>
    </row>
    <row r="1580" spans="1:3" x14ac:dyDescent="0.3">
      <c r="A1580" t="s">
        <v>1579</v>
      </c>
      <c r="B1580">
        <f>0*(1-0.8198)</f>
        <v>0</v>
      </c>
      <c r="C1580" s="1">
        <v>6</v>
      </c>
    </row>
    <row r="1581" spans="1:3" x14ac:dyDescent="0.3">
      <c r="A1581" t="s">
        <v>1580</v>
      </c>
      <c r="B1581">
        <f>0*(1-0.8198)</f>
        <v>0</v>
      </c>
      <c r="C1581" s="1">
        <v>9</v>
      </c>
    </row>
    <row r="1582" spans="1:3" x14ac:dyDescent="0.3">
      <c r="A1582" t="s">
        <v>1581</v>
      </c>
      <c r="B1582">
        <f>0*(1-0.8198)</f>
        <v>0</v>
      </c>
      <c r="C1582" s="1">
        <v>6</v>
      </c>
    </row>
    <row r="1583" spans="1:3" x14ac:dyDescent="0.3">
      <c r="A1583" t="s">
        <v>1582</v>
      </c>
      <c r="B1583">
        <f>0*(1-0.8198)</f>
        <v>0</v>
      </c>
      <c r="C1583" s="1">
        <v>5</v>
      </c>
    </row>
    <row r="1584" spans="1:3" x14ac:dyDescent="0.3">
      <c r="A1584" t="s">
        <v>1583</v>
      </c>
      <c r="B1584">
        <f>0*(1-0.8198)</f>
        <v>0</v>
      </c>
      <c r="C1584" s="1">
        <v>5</v>
      </c>
    </row>
    <row r="1585" spans="1:3" x14ac:dyDescent="0.3">
      <c r="A1585" t="s">
        <v>1584</v>
      </c>
      <c r="B1585">
        <f>0*(1-0.8198)</f>
        <v>0</v>
      </c>
      <c r="C1585" s="1">
        <v>4</v>
      </c>
    </row>
    <row r="1586" spans="1:3" x14ac:dyDescent="0.3">
      <c r="A1586" t="s">
        <v>1585</v>
      </c>
      <c r="B1586">
        <f>0*(1-0.8198)</f>
        <v>0</v>
      </c>
      <c r="C1586" s="1">
        <v>3</v>
      </c>
    </row>
    <row r="1587" spans="1:3" x14ac:dyDescent="0.3">
      <c r="A1587" t="s">
        <v>1586</v>
      </c>
      <c r="B1587">
        <f>0*(1-0.8198)</f>
        <v>0</v>
      </c>
      <c r="C1587" s="1">
        <v>2</v>
      </c>
    </row>
    <row r="1588" spans="1:3" x14ac:dyDescent="0.3">
      <c r="A1588" t="s">
        <v>1587</v>
      </c>
      <c r="B1588">
        <f>0*(1-0.8198)</f>
        <v>0</v>
      </c>
      <c r="C1588" s="1">
        <v>3</v>
      </c>
    </row>
    <row r="1589" spans="1:3" x14ac:dyDescent="0.3">
      <c r="A1589" t="s">
        <v>1588</v>
      </c>
      <c r="B1589">
        <f>0*(1-0.8198)</f>
        <v>0</v>
      </c>
      <c r="C1589" s="1">
        <v>3</v>
      </c>
    </row>
    <row r="1590" spans="1:3" x14ac:dyDescent="0.3">
      <c r="A1590" t="s">
        <v>1589</v>
      </c>
      <c r="B1590">
        <f>0*(1-0.8198)</f>
        <v>0</v>
      </c>
      <c r="C1590" s="1">
        <v>2</v>
      </c>
    </row>
    <row r="1591" spans="1:3" x14ac:dyDescent="0.3">
      <c r="A1591" t="s">
        <v>1590</v>
      </c>
      <c r="B1591">
        <f>0*(1-0.8198)</f>
        <v>0</v>
      </c>
      <c r="C1591" s="1">
        <v>3</v>
      </c>
    </row>
    <row r="1592" spans="1:3" x14ac:dyDescent="0.3">
      <c r="A1592" t="s">
        <v>1591</v>
      </c>
      <c r="B1592">
        <f>0*(1-0.8198)</f>
        <v>0</v>
      </c>
      <c r="C1592" s="1">
        <v>3</v>
      </c>
    </row>
    <row r="1593" spans="1:3" x14ac:dyDescent="0.3">
      <c r="A1593" t="s">
        <v>1592</v>
      </c>
      <c r="B1593">
        <f>2.02327537571429*(1-0.8198)</f>
        <v>0.36459422270371439</v>
      </c>
      <c r="C1593" s="1">
        <v>10</v>
      </c>
    </row>
    <row r="1594" spans="1:3" x14ac:dyDescent="0.3">
      <c r="A1594" t="s">
        <v>1593</v>
      </c>
      <c r="B1594">
        <f>10.3035829071429*(1-0.8198)</f>
        <v>1.8567056398671431</v>
      </c>
      <c r="C1594" s="1">
        <v>14</v>
      </c>
    </row>
    <row r="1595" spans="1:3" x14ac:dyDescent="0.3">
      <c r="A1595" t="s">
        <v>1594</v>
      </c>
      <c r="B1595">
        <f>29.8234525028571*(1-0.8198)</f>
        <v>5.3741861410148584</v>
      </c>
      <c r="C1595" s="1">
        <v>18</v>
      </c>
    </row>
    <row r="1596" spans="1:3" x14ac:dyDescent="0.3">
      <c r="A1596" t="s">
        <v>1595</v>
      </c>
      <c r="B1596">
        <f>44.8984274557143*(1-0.8198)</f>
        <v>8.0906966275197174</v>
      </c>
      <c r="C1596" s="1">
        <v>19</v>
      </c>
    </row>
    <row r="1597" spans="1:3" x14ac:dyDescent="0.3">
      <c r="A1597" t="s">
        <v>1596</v>
      </c>
      <c r="B1597">
        <f>47.5408211928572*(1-0.8198)</f>
        <v>8.5668559789528604</v>
      </c>
      <c r="C1597" s="1">
        <v>14</v>
      </c>
    </row>
    <row r="1598" spans="1:3" x14ac:dyDescent="0.3">
      <c r="A1598" t="s">
        <v>1597</v>
      </c>
      <c r="B1598">
        <f>50.2000368985714*(1-0.8198)</f>
        <v>9.0460466491225731</v>
      </c>
      <c r="C1598" s="1">
        <v>12</v>
      </c>
    </row>
    <row r="1599" spans="1:3" x14ac:dyDescent="0.3">
      <c r="A1599" t="s">
        <v>1598</v>
      </c>
      <c r="B1599">
        <f>32.7955083814286*(1-0.8198)</f>
        <v>5.909750610333429</v>
      </c>
      <c r="C1599" s="1">
        <v>13</v>
      </c>
    </row>
    <row r="1600" spans="1:3" x14ac:dyDescent="0.3">
      <c r="A1600" t="s">
        <v>1599</v>
      </c>
      <c r="B1600">
        <f>27.6913815371429*(1-0.8198)</f>
        <v>4.989986952993144</v>
      </c>
      <c r="C1600" s="1">
        <v>11</v>
      </c>
    </row>
    <row r="1601" spans="1:3" x14ac:dyDescent="0.3">
      <c r="A1601" t="s">
        <v>1600</v>
      </c>
      <c r="B1601">
        <f>22.39060181*(1-0.8198)</f>
        <v>4.0347864461620011</v>
      </c>
      <c r="C1601" s="1">
        <v>10</v>
      </c>
    </row>
    <row r="1602" spans="1:3" x14ac:dyDescent="0.3">
      <c r="A1602" t="s">
        <v>1601</v>
      </c>
      <c r="B1602">
        <f>12.9205429428571*(1-0.8198)</f>
        <v>2.3282818383028574</v>
      </c>
      <c r="C1602" s="1">
        <v>9</v>
      </c>
    </row>
    <row r="1603" spans="1:3" x14ac:dyDescent="0.3">
      <c r="A1603" t="s">
        <v>1602</v>
      </c>
      <c r="B1603">
        <f>2.24209697*(1-0.8198)</f>
        <v>0.40402587399400003</v>
      </c>
      <c r="C1603" s="1">
        <v>7</v>
      </c>
    </row>
    <row r="1604" spans="1:3" x14ac:dyDescent="0.3">
      <c r="A1604" t="s">
        <v>1603</v>
      </c>
      <c r="B1604">
        <f>0*(1-0.8198)</f>
        <v>0</v>
      </c>
      <c r="C1604" s="1">
        <v>6</v>
      </c>
    </row>
    <row r="1605" spans="1:3" x14ac:dyDescent="0.3">
      <c r="A1605" t="s">
        <v>1604</v>
      </c>
      <c r="B1605">
        <f>0*(1-0.8198)</f>
        <v>0</v>
      </c>
      <c r="C1605" s="1">
        <v>6</v>
      </c>
    </row>
    <row r="1606" spans="1:3" x14ac:dyDescent="0.3">
      <c r="A1606" t="s">
        <v>1605</v>
      </c>
      <c r="B1606">
        <f>0*(1-0.8198)</f>
        <v>0</v>
      </c>
      <c r="C1606" s="1">
        <v>6</v>
      </c>
    </row>
    <row r="1607" spans="1:3" x14ac:dyDescent="0.3">
      <c r="A1607" t="s">
        <v>1606</v>
      </c>
      <c r="B1607">
        <f>0*(1-0.8198)</f>
        <v>0</v>
      </c>
      <c r="C1607" s="1">
        <v>5</v>
      </c>
    </row>
    <row r="1608" spans="1:3" x14ac:dyDescent="0.3">
      <c r="A1608" t="s">
        <v>1607</v>
      </c>
      <c r="B1608">
        <f>0*(1-0.8198)</f>
        <v>0</v>
      </c>
      <c r="C1608" s="1">
        <v>5</v>
      </c>
    </row>
    <row r="1609" spans="1:3" x14ac:dyDescent="0.3">
      <c r="A1609" t="s">
        <v>1608</v>
      </c>
      <c r="B1609">
        <f>0*(1-0.8198)</f>
        <v>0</v>
      </c>
      <c r="C1609" s="1">
        <v>4</v>
      </c>
    </row>
    <row r="1610" spans="1:3" x14ac:dyDescent="0.3">
      <c r="A1610" t="s">
        <v>1609</v>
      </c>
      <c r="B1610">
        <f>0*(1-0.8198)</f>
        <v>0</v>
      </c>
      <c r="C1610" s="1">
        <v>3</v>
      </c>
    </row>
    <row r="1611" spans="1:3" x14ac:dyDescent="0.3">
      <c r="A1611" t="s">
        <v>1610</v>
      </c>
      <c r="B1611">
        <f>0*(1-0.8198)</f>
        <v>0</v>
      </c>
      <c r="C1611" s="1">
        <v>2</v>
      </c>
    </row>
    <row r="1612" spans="1:3" x14ac:dyDescent="0.3">
      <c r="A1612" t="s">
        <v>1611</v>
      </c>
      <c r="B1612">
        <f>0*(1-0.8198)</f>
        <v>0</v>
      </c>
      <c r="C1612" s="1">
        <v>2</v>
      </c>
    </row>
    <row r="1613" spans="1:3" x14ac:dyDescent="0.3">
      <c r="A1613" t="s">
        <v>1612</v>
      </c>
      <c r="B1613">
        <f>0*(1-0.8198)</f>
        <v>0</v>
      </c>
      <c r="C1613" s="1">
        <v>3</v>
      </c>
    </row>
    <row r="1614" spans="1:3" x14ac:dyDescent="0.3">
      <c r="A1614" t="s">
        <v>1613</v>
      </c>
      <c r="B1614">
        <f>0*(1-0.8198)</f>
        <v>0</v>
      </c>
      <c r="C1614" s="1">
        <v>2</v>
      </c>
    </row>
    <row r="1615" spans="1:3" x14ac:dyDescent="0.3">
      <c r="A1615" t="s">
        <v>1614</v>
      </c>
      <c r="B1615">
        <f>0*(1-0.8198)</f>
        <v>0</v>
      </c>
      <c r="C1615" s="1">
        <v>3</v>
      </c>
    </row>
    <row r="1616" spans="1:3" x14ac:dyDescent="0.3">
      <c r="A1616" t="s">
        <v>1615</v>
      </c>
      <c r="B1616">
        <f>0*(1-0.8198)</f>
        <v>0</v>
      </c>
      <c r="C1616" s="1">
        <v>2</v>
      </c>
    </row>
    <row r="1617" spans="1:3" x14ac:dyDescent="0.3">
      <c r="A1617" t="s">
        <v>1616</v>
      </c>
      <c r="B1617">
        <f>0.34142*(1-0.8198)</f>
        <v>6.1523884000000022E-2</v>
      </c>
      <c r="C1617" s="1">
        <v>3</v>
      </c>
    </row>
    <row r="1618" spans="1:3" x14ac:dyDescent="0.3">
      <c r="A1618" t="s">
        <v>1617</v>
      </c>
      <c r="B1618">
        <f>2.56882*(1-0.8198)</f>
        <v>0.46290136400000015</v>
      </c>
      <c r="C1618" s="1">
        <v>2</v>
      </c>
    </row>
    <row r="1619" spans="1:3" x14ac:dyDescent="0.3">
      <c r="A1619" t="s">
        <v>1618</v>
      </c>
      <c r="B1619">
        <f>4.04114*(1-0.8198)</f>
        <v>0.72821342800000022</v>
      </c>
      <c r="C1619" s="1">
        <v>2</v>
      </c>
    </row>
    <row r="1620" spans="1:3" x14ac:dyDescent="0.3">
      <c r="A1620" t="s">
        <v>1619</v>
      </c>
      <c r="B1620">
        <f>5.6459*(1-0.8198)</f>
        <v>1.0173911800000004</v>
      </c>
      <c r="C1620" s="1">
        <v>3</v>
      </c>
    </row>
    <row r="1621" spans="1:3" x14ac:dyDescent="0.3">
      <c r="A1621" t="s">
        <v>1620</v>
      </c>
      <c r="B1621">
        <f>16.9083509028571*(1-0.8198)</f>
        <v>3.0468848326948583</v>
      </c>
      <c r="C1621" s="1">
        <v>2</v>
      </c>
    </row>
    <row r="1622" spans="1:3" x14ac:dyDescent="0.3">
      <c r="A1622" t="s">
        <v>1621</v>
      </c>
      <c r="B1622">
        <f>22.51525795*(1-0.8198)</f>
        <v>4.0572494825900014</v>
      </c>
      <c r="C1622" s="1">
        <v>3</v>
      </c>
    </row>
    <row r="1623" spans="1:3" x14ac:dyDescent="0.3">
      <c r="A1623" t="s">
        <v>1622</v>
      </c>
      <c r="B1623">
        <f>35.7839664257143*(1-0.8198)</f>
        <v>6.448270749913716</v>
      </c>
      <c r="C1623" s="1">
        <v>2</v>
      </c>
    </row>
    <row r="1624" spans="1:3" x14ac:dyDescent="0.3">
      <c r="A1624" t="s">
        <v>1623</v>
      </c>
      <c r="B1624">
        <f>38.0604312071429*(1-0.8198)</f>
        <v>6.8584897035271446</v>
      </c>
      <c r="C1624" s="1">
        <v>3</v>
      </c>
    </row>
    <row r="1625" spans="1:3" x14ac:dyDescent="0.3">
      <c r="A1625" t="s">
        <v>1624</v>
      </c>
      <c r="B1625">
        <f>26.6718648671429*(1-0.8198)</f>
        <v>4.8062700490591448</v>
      </c>
      <c r="C1625" s="1">
        <v>2</v>
      </c>
    </row>
    <row r="1626" spans="1:3" x14ac:dyDescent="0.3">
      <c r="A1626" t="s">
        <v>1625</v>
      </c>
      <c r="B1626">
        <f>15.3376055*(1-0.8198)</f>
        <v>2.7638365111000005</v>
      </c>
      <c r="C1626" s="1">
        <v>2</v>
      </c>
    </row>
    <row r="1627" spans="1:3" x14ac:dyDescent="0.3">
      <c r="A1627" t="s">
        <v>1626</v>
      </c>
      <c r="B1627">
        <f>3.25041005142857*(1-0.8198)</f>
        <v>0.58572389126742863</v>
      </c>
      <c r="C1627" s="1">
        <v>3</v>
      </c>
    </row>
    <row r="1628" spans="1:3" x14ac:dyDescent="0.3">
      <c r="A1628" t="s">
        <v>1627</v>
      </c>
      <c r="B1628">
        <f>0*(1-0.8198)</f>
        <v>0</v>
      </c>
      <c r="C1628" s="1">
        <v>2</v>
      </c>
    </row>
    <row r="1629" spans="1:3" x14ac:dyDescent="0.3">
      <c r="A1629" t="s">
        <v>1628</v>
      </c>
      <c r="B1629">
        <f>0*(1-0.8198)</f>
        <v>0</v>
      </c>
      <c r="C1629" s="1">
        <v>3</v>
      </c>
    </row>
    <row r="1630" spans="1:3" x14ac:dyDescent="0.3">
      <c r="A1630" t="s">
        <v>1629</v>
      </c>
      <c r="B1630">
        <f>0*(1-0.8198)</f>
        <v>0</v>
      </c>
      <c r="C1630" s="1">
        <v>2</v>
      </c>
    </row>
    <row r="1631" spans="1:3" x14ac:dyDescent="0.3">
      <c r="A1631" t="s">
        <v>1630</v>
      </c>
      <c r="B1631">
        <f>0*(1-0.8198)</f>
        <v>0</v>
      </c>
      <c r="C1631" s="1">
        <v>2</v>
      </c>
    </row>
    <row r="1632" spans="1:3" x14ac:dyDescent="0.3">
      <c r="A1632" t="s">
        <v>1631</v>
      </c>
      <c r="B1632">
        <f>0*(1-0.8198)</f>
        <v>0</v>
      </c>
      <c r="C1632" s="1">
        <v>3</v>
      </c>
    </row>
    <row r="1633" spans="1:3" x14ac:dyDescent="0.3">
      <c r="A1633" t="s">
        <v>1632</v>
      </c>
      <c r="B1633">
        <f>0*(1-0.8198)</f>
        <v>0</v>
      </c>
      <c r="C1633" s="1">
        <v>2</v>
      </c>
    </row>
    <row r="1634" spans="1:3" x14ac:dyDescent="0.3">
      <c r="A1634" t="s">
        <v>1633</v>
      </c>
      <c r="B1634">
        <f>0*(1-0.8198)</f>
        <v>0</v>
      </c>
      <c r="C1634" s="1">
        <v>3</v>
      </c>
    </row>
    <row r="1635" spans="1:3" x14ac:dyDescent="0.3">
      <c r="A1635" t="s">
        <v>1634</v>
      </c>
      <c r="B1635">
        <f>0*(1-0.8198)</f>
        <v>0</v>
      </c>
      <c r="C1635" s="1">
        <v>2</v>
      </c>
    </row>
    <row r="1636" spans="1:3" x14ac:dyDescent="0.3">
      <c r="A1636" t="s">
        <v>1635</v>
      </c>
      <c r="B1636">
        <f>0*(1-0.8198)</f>
        <v>0</v>
      </c>
      <c r="C1636" s="1">
        <v>3</v>
      </c>
    </row>
    <row r="1637" spans="1:3" x14ac:dyDescent="0.3">
      <c r="A1637" t="s">
        <v>1636</v>
      </c>
      <c r="B1637">
        <f>0*(1-0.8198)</f>
        <v>0</v>
      </c>
      <c r="C1637" s="1">
        <v>2</v>
      </c>
    </row>
    <row r="1638" spans="1:3" x14ac:dyDescent="0.3">
      <c r="A1638" t="s">
        <v>1637</v>
      </c>
      <c r="B1638">
        <f>0*(1-0.8198)</f>
        <v>0</v>
      </c>
      <c r="C1638" s="1">
        <v>2</v>
      </c>
    </row>
    <row r="1639" spans="1:3" x14ac:dyDescent="0.3">
      <c r="A1639" t="s">
        <v>1638</v>
      </c>
      <c r="B1639">
        <f>0*(1-0.8198)</f>
        <v>0</v>
      </c>
      <c r="C1639" s="1">
        <v>3</v>
      </c>
    </row>
    <row r="1640" spans="1:3" x14ac:dyDescent="0.3">
      <c r="A1640" t="s">
        <v>1639</v>
      </c>
      <c r="B1640">
        <f>0*(1-0.8198)</f>
        <v>0</v>
      </c>
      <c r="C1640" s="1">
        <v>2</v>
      </c>
    </row>
    <row r="1641" spans="1:3" x14ac:dyDescent="0.3">
      <c r="A1641" t="s">
        <v>1640</v>
      </c>
      <c r="B1641">
        <f>8.37951129571429*(1-0.8198)</f>
        <v>1.5099879354877146</v>
      </c>
      <c r="C1641" s="1">
        <v>2</v>
      </c>
    </row>
    <row r="1642" spans="1:3" x14ac:dyDescent="0.3">
      <c r="A1642" t="s">
        <v>1641</v>
      </c>
      <c r="B1642">
        <f>23.5055770057143*(1-0.8198)</f>
        <v>4.2357049764297159</v>
      </c>
      <c r="C1642" s="1">
        <v>2</v>
      </c>
    </row>
    <row r="1643" spans="1:3" x14ac:dyDescent="0.3">
      <c r="A1643" t="s">
        <v>1642</v>
      </c>
      <c r="B1643">
        <f>37.2437492842857*(1-0.8198)</f>
        <v>6.7113236210282876</v>
      </c>
      <c r="C1643" s="1">
        <v>3</v>
      </c>
    </row>
    <row r="1644" spans="1:3" x14ac:dyDescent="0.3">
      <c r="A1644" t="s">
        <v>1643</v>
      </c>
      <c r="B1644">
        <f>47.10059352*(1-0.8198)</f>
        <v>8.487526952304</v>
      </c>
      <c r="C1644" s="1">
        <v>2</v>
      </c>
    </row>
    <row r="1645" spans="1:3" x14ac:dyDescent="0.3">
      <c r="A1645" t="s">
        <v>1644</v>
      </c>
      <c r="B1645">
        <f>52.51902481*(1-0.8198)</f>
        <v>9.4639282707620005</v>
      </c>
      <c r="C1645" s="1">
        <v>3</v>
      </c>
    </row>
    <row r="1646" spans="1:3" x14ac:dyDescent="0.3">
      <c r="A1646" t="s">
        <v>1645</v>
      </c>
      <c r="B1646">
        <f>53.7531627728571*(1-0.8198)</f>
        <v>9.6863199316688586</v>
      </c>
      <c r="C1646" s="1">
        <v>3</v>
      </c>
    </row>
    <row r="1647" spans="1:3" x14ac:dyDescent="0.3">
      <c r="A1647" t="s">
        <v>1646</v>
      </c>
      <c r="B1647">
        <f>49.7837420428571*(1-0.8198)</f>
        <v>8.9710303161228584</v>
      </c>
      <c r="C1647" s="1">
        <v>2</v>
      </c>
    </row>
    <row r="1648" spans="1:3" x14ac:dyDescent="0.3">
      <c r="A1648" t="s">
        <v>1647</v>
      </c>
      <c r="B1648">
        <f>42.0607358885714*(1-0.8198)</f>
        <v>7.5793446071205715</v>
      </c>
      <c r="C1648" s="1">
        <v>3</v>
      </c>
    </row>
    <row r="1649" spans="1:3" x14ac:dyDescent="0.3">
      <c r="A1649" t="s">
        <v>1648</v>
      </c>
      <c r="B1649">
        <f>19.6585347671429*(1-0.8198)</f>
        <v>3.5424679650391435</v>
      </c>
      <c r="C1649" s="1">
        <v>2</v>
      </c>
    </row>
    <row r="1650" spans="1:3" x14ac:dyDescent="0.3">
      <c r="A1650" t="s">
        <v>1649</v>
      </c>
      <c r="B1650">
        <f>15.7601111528571*(1-0.8198)</f>
        <v>2.8399720297448576</v>
      </c>
      <c r="C1650" s="1">
        <v>2</v>
      </c>
    </row>
    <row r="1651" spans="1:3" x14ac:dyDescent="0.3">
      <c r="A1651" t="s">
        <v>1650</v>
      </c>
      <c r="B1651">
        <f>3.42600128857143*(1-0.8198)</f>
        <v>0.6173654322005715</v>
      </c>
      <c r="C1651" s="1">
        <v>3</v>
      </c>
    </row>
    <row r="1652" spans="1:3" x14ac:dyDescent="0.3">
      <c r="A1652" t="s">
        <v>1651</v>
      </c>
      <c r="B1652">
        <f>0*(1-0.8198)</f>
        <v>0</v>
      </c>
      <c r="C1652" s="1">
        <v>2</v>
      </c>
    </row>
    <row r="1653" spans="1:3" x14ac:dyDescent="0.3">
      <c r="A1653" t="s">
        <v>1652</v>
      </c>
      <c r="B1653">
        <f>0*(1-0.8198)</f>
        <v>0</v>
      </c>
      <c r="C1653" s="1">
        <v>2</v>
      </c>
    </row>
    <row r="1654" spans="1:3" x14ac:dyDescent="0.3">
      <c r="A1654" t="s">
        <v>1653</v>
      </c>
      <c r="B1654">
        <f>0*(1-0.8198)</f>
        <v>0</v>
      </c>
      <c r="C1654" s="1">
        <v>3</v>
      </c>
    </row>
    <row r="1655" spans="1:3" x14ac:dyDescent="0.3">
      <c r="A1655" t="s">
        <v>1654</v>
      </c>
      <c r="B1655">
        <f>0*(1-0.8198)</f>
        <v>0</v>
      </c>
      <c r="C1655" s="1">
        <v>2</v>
      </c>
    </row>
    <row r="1656" spans="1:3" x14ac:dyDescent="0.3">
      <c r="A1656" t="s">
        <v>1655</v>
      </c>
      <c r="B1656">
        <f>0*(1-0.8198)</f>
        <v>0</v>
      </c>
      <c r="C1656" s="1">
        <v>2</v>
      </c>
    </row>
    <row r="1657" spans="1:3" x14ac:dyDescent="0.3">
      <c r="A1657" t="s">
        <v>1656</v>
      </c>
      <c r="B1657">
        <f>0*(1-0.8198)</f>
        <v>0</v>
      </c>
      <c r="C1657" s="1">
        <v>3</v>
      </c>
    </row>
    <row r="1658" spans="1:3" x14ac:dyDescent="0.3">
      <c r="A1658" t="s">
        <v>1657</v>
      </c>
      <c r="B1658">
        <f>0*(1-0.8198)</f>
        <v>0</v>
      </c>
      <c r="C1658" s="1">
        <v>2</v>
      </c>
    </row>
    <row r="1659" spans="1:3" x14ac:dyDescent="0.3">
      <c r="A1659" t="s">
        <v>1658</v>
      </c>
      <c r="B1659">
        <f>0*(1-0.8198)</f>
        <v>0</v>
      </c>
      <c r="C1659" s="1">
        <v>3</v>
      </c>
    </row>
    <row r="1660" spans="1:3" x14ac:dyDescent="0.3">
      <c r="A1660" t="s">
        <v>1659</v>
      </c>
      <c r="B1660">
        <f>0*(1-0.8198)</f>
        <v>0</v>
      </c>
      <c r="C1660" s="1">
        <v>2</v>
      </c>
    </row>
    <row r="1661" spans="1:3" x14ac:dyDescent="0.3">
      <c r="A1661" t="s">
        <v>1660</v>
      </c>
      <c r="B1661">
        <f>0*(1-0.8198)</f>
        <v>0</v>
      </c>
      <c r="C1661" s="1">
        <v>2</v>
      </c>
    </row>
    <row r="1662" spans="1:3" x14ac:dyDescent="0.3">
      <c r="A1662" t="s">
        <v>1661</v>
      </c>
      <c r="B1662">
        <f>0*(1-0.8198)</f>
        <v>0</v>
      </c>
      <c r="C1662" s="1">
        <v>3</v>
      </c>
    </row>
    <row r="1663" spans="1:3" x14ac:dyDescent="0.3">
      <c r="A1663" t="s">
        <v>1662</v>
      </c>
      <c r="B1663">
        <f>0*(1-0.8198)</f>
        <v>0</v>
      </c>
      <c r="C1663" s="1">
        <v>2</v>
      </c>
    </row>
    <row r="1664" spans="1:3" x14ac:dyDescent="0.3">
      <c r="A1664" t="s">
        <v>1663</v>
      </c>
      <c r="B1664">
        <f>0*(1-0.8198)</f>
        <v>0</v>
      </c>
      <c r="C1664" s="1">
        <v>3</v>
      </c>
    </row>
    <row r="1665" spans="1:3" x14ac:dyDescent="0.3">
      <c r="A1665" t="s">
        <v>1664</v>
      </c>
      <c r="B1665">
        <f>7.97160309857143*(1-0.8198)</f>
        <v>1.4364828783625718</v>
      </c>
      <c r="C1665" s="1">
        <v>11</v>
      </c>
    </row>
    <row r="1666" spans="1:3" x14ac:dyDescent="0.3">
      <c r="A1666" t="s">
        <v>1665</v>
      </c>
      <c r="B1666">
        <f>21.9955542371429*(1-0.8198)</f>
        <v>3.9635988735331438</v>
      </c>
      <c r="C1666" s="1">
        <v>12</v>
      </c>
    </row>
    <row r="1667" spans="1:3" x14ac:dyDescent="0.3">
      <c r="A1667" t="s">
        <v>1666</v>
      </c>
      <c r="B1667">
        <f>21.77328564*(1-0.8198)</f>
        <v>3.9235460723280013</v>
      </c>
      <c r="C1667" s="1">
        <v>14</v>
      </c>
    </row>
    <row r="1668" spans="1:3" x14ac:dyDescent="0.3">
      <c r="A1668" t="s">
        <v>1667</v>
      </c>
      <c r="B1668">
        <f>25.31514189*(1-0.8198)</f>
        <v>4.5617885685780015</v>
      </c>
      <c r="C1668" s="1">
        <v>16</v>
      </c>
    </row>
    <row r="1669" spans="1:3" x14ac:dyDescent="0.3">
      <c r="A1669" t="s">
        <v>1668</v>
      </c>
      <c r="B1669">
        <f>46.2990101257143*(1-0.8198)</f>
        <v>8.3430816246537169</v>
      </c>
      <c r="C1669" s="1">
        <v>14</v>
      </c>
    </row>
    <row r="1670" spans="1:3" x14ac:dyDescent="0.3">
      <c r="A1670" t="s">
        <v>1669</v>
      </c>
      <c r="B1670">
        <f>51.8389536414286*(1-0.8198)</f>
        <v>9.3413794461854298</v>
      </c>
      <c r="C1670" s="1">
        <v>12</v>
      </c>
    </row>
    <row r="1671" spans="1:3" x14ac:dyDescent="0.3">
      <c r="A1671" t="s">
        <v>1670</v>
      </c>
      <c r="B1671">
        <f>44.3771695385714*(1-0.8198)</f>
        <v>7.9967659508505715</v>
      </c>
      <c r="C1671" s="1">
        <v>13</v>
      </c>
    </row>
    <row r="1672" spans="1:3" x14ac:dyDescent="0.3">
      <c r="A1672" t="s">
        <v>1671</v>
      </c>
      <c r="B1672">
        <f>22.0287802757143*(1-0.8198)</f>
        <v>3.9695862056837155</v>
      </c>
      <c r="C1672" s="1">
        <v>12</v>
      </c>
    </row>
    <row r="1673" spans="1:3" x14ac:dyDescent="0.3">
      <c r="A1673" t="s">
        <v>1672</v>
      </c>
      <c r="B1673">
        <f>25.8106495642857*(1-0.8198)</f>
        <v>4.6510790514842881</v>
      </c>
      <c r="C1673" s="1">
        <v>11</v>
      </c>
    </row>
    <row r="1674" spans="1:3" x14ac:dyDescent="0.3">
      <c r="A1674" t="s">
        <v>1673</v>
      </c>
      <c r="B1674">
        <f>15.57811525*(1-0.8198)</f>
        <v>2.8071763680500004</v>
      </c>
      <c r="C1674" s="1">
        <v>8</v>
      </c>
    </row>
    <row r="1675" spans="1:3" x14ac:dyDescent="0.3">
      <c r="A1675" t="s">
        <v>1674</v>
      </c>
      <c r="B1675">
        <f>3.41102463428571*(1-0.8198)</f>
        <v>0.61466663909828589</v>
      </c>
      <c r="C1675" s="1">
        <v>6</v>
      </c>
    </row>
    <row r="1676" spans="1:3" x14ac:dyDescent="0.3">
      <c r="A1676" t="s">
        <v>1675</v>
      </c>
      <c r="B1676">
        <f>0*(1-0.8198)</f>
        <v>0</v>
      </c>
      <c r="C1676" s="1">
        <v>6</v>
      </c>
    </row>
    <row r="1677" spans="1:3" x14ac:dyDescent="0.3">
      <c r="A1677" t="s">
        <v>1676</v>
      </c>
      <c r="B1677">
        <f>0*(1-0.8198)</f>
        <v>0</v>
      </c>
      <c r="C1677" s="1">
        <v>8</v>
      </c>
    </row>
    <row r="1678" spans="1:3" x14ac:dyDescent="0.3">
      <c r="A1678" t="s">
        <v>1677</v>
      </c>
      <c r="B1678">
        <f>0*(1-0.8198)</f>
        <v>0</v>
      </c>
      <c r="C1678" s="1">
        <v>7</v>
      </c>
    </row>
    <row r="1679" spans="1:3" x14ac:dyDescent="0.3">
      <c r="A1679" t="s">
        <v>1678</v>
      </c>
      <c r="B1679">
        <f>0*(1-0.8198)</f>
        <v>0</v>
      </c>
      <c r="C1679" s="1">
        <v>5</v>
      </c>
    </row>
    <row r="1680" spans="1:3" x14ac:dyDescent="0.3">
      <c r="A1680" t="s">
        <v>1679</v>
      </c>
      <c r="B1680">
        <f>0*(1-0.8198)</f>
        <v>0</v>
      </c>
      <c r="C1680" s="1">
        <v>4</v>
      </c>
    </row>
    <row r="1681" spans="1:3" x14ac:dyDescent="0.3">
      <c r="A1681" t="s">
        <v>1680</v>
      </c>
      <c r="B1681">
        <f>0*(1-0.8198)</f>
        <v>0</v>
      </c>
      <c r="C1681" s="1">
        <v>5</v>
      </c>
    </row>
    <row r="1682" spans="1:3" x14ac:dyDescent="0.3">
      <c r="A1682" t="s">
        <v>1681</v>
      </c>
      <c r="B1682">
        <f>0*(1-0.8198)</f>
        <v>0</v>
      </c>
      <c r="C1682" s="1">
        <v>3</v>
      </c>
    </row>
    <row r="1683" spans="1:3" x14ac:dyDescent="0.3">
      <c r="A1683" t="s">
        <v>1682</v>
      </c>
      <c r="B1683">
        <f>0*(1-0.8198)</f>
        <v>0</v>
      </c>
      <c r="C1683" s="1">
        <v>2</v>
      </c>
    </row>
    <row r="1684" spans="1:3" x14ac:dyDescent="0.3">
      <c r="A1684" t="s">
        <v>1683</v>
      </c>
      <c r="B1684">
        <f>0*(1-0.8198)</f>
        <v>0</v>
      </c>
      <c r="C1684" s="1">
        <v>2</v>
      </c>
    </row>
    <row r="1685" spans="1:3" x14ac:dyDescent="0.3">
      <c r="A1685" t="s">
        <v>1684</v>
      </c>
      <c r="B1685">
        <f>0*(1-0.8198)</f>
        <v>0</v>
      </c>
      <c r="C1685" s="1">
        <v>3</v>
      </c>
    </row>
    <row r="1686" spans="1:3" x14ac:dyDescent="0.3">
      <c r="A1686" t="s">
        <v>1685</v>
      </c>
      <c r="B1686">
        <f>0*(1-0.8198)</f>
        <v>0</v>
      </c>
      <c r="C1686" s="1">
        <v>2</v>
      </c>
    </row>
    <row r="1687" spans="1:3" x14ac:dyDescent="0.3">
      <c r="A1687" t="s">
        <v>1686</v>
      </c>
      <c r="B1687">
        <f>0*(1-0.8198)</f>
        <v>0</v>
      </c>
      <c r="C1687" s="1">
        <v>2</v>
      </c>
    </row>
    <row r="1688" spans="1:3" x14ac:dyDescent="0.3">
      <c r="A1688" t="s">
        <v>1687</v>
      </c>
      <c r="B1688">
        <f>0*(1-0.8198)</f>
        <v>0</v>
      </c>
      <c r="C1688" s="1">
        <v>3</v>
      </c>
    </row>
    <row r="1689" spans="1:3" x14ac:dyDescent="0.3">
      <c r="A1689" t="s">
        <v>1688</v>
      </c>
      <c r="B1689">
        <f>9.45312436142857*(1-0.8198)</f>
        <v>1.7034530099294287</v>
      </c>
      <c r="C1689" s="1">
        <v>8</v>
      </c>
    </row>
    <row r="1690" spans="1:3" x14ac:dyDescent="0.3">
      <c r="A1690" t="s">
        <v>1689</v>
      </c>
      <c r="B1690">
        <f>23.9474246728571*(1-0.8198)</f>
        <v>4.3153259260488577</v>
      </c>
      <c r="C1690" s="1">
        <v>14</v>
      </c>
    </row>
    <row r="1691" spans="1:3" x14ac:dyDescent="0.3">
      <c r="A1691" t="s">
        <v>1690</v>
      </c>
      <c r="B1691">
        <f>36.6619553528571*(1-0.8198)</f>
        <v>6.6064843545848593</v>
      </c>
      <c r="C1691" s="1">
        <v>16</v>
      </c>
    </row>
    <row r="1692" spans="1:3" x14ac:dyDescent="0.3">
      <c r="A1692" t="s">
        <v>1691</v>
      </c>
      <c r="B1692">
        <f>45.3396439442857*(1-0.8198)</f>
        <v>8.1702038387602887</v>
      </c>
      <c r="C1692" s="1">
        <v>14</v>
      </c>
    </row>
    <row r="1693" spans="1:3" x14ac:dyDescent="0.3">
      <c r="A1693" t="s">
        <v>1692</v>
      </c>
      <c r="B1693">
        <f>50.5188473757143*(1-0.8198)</f>
        <v>9.1034962971037174</v>
      </c>
      <c r="C1693" s="1">
        <v>13</v>
      </c>
    </row>
    <row r="1694" spans="1:3" x14ac:dyDescent="0.3">
      <c r="A1694" t="s">
        <v>1693</v>
      </c>
      <c r="B1694">
        <f>52.2642039842857*(1-0.8198)</f>
        <v>9.4180095579682881</v>
      </c>
      <c r="C1694" s="1">
        <v>13</v>
      </c>
    </row>
    <row r="1695" spans="1:3" x14ac:dyDescent="0.3">
      <c r="A1695" t="s">
        <v>1694</v>
      </c>
      <c r="B1695">
        <f>48.9909380814286*(1-0.8198)</f>
        <v>8.8281670422734297</v>
      </c>
      <c r="C1695" s="1">
        <v>14</v>
      </c>
    </row>
    <row r="1696" spans="1:3" x14ac:dyDescent="0.3">
      <c r="A1696" t="s">
        <v>1695</v>
      </c>
      <c r="B1696">
        <f>42.4313669557143*(1-0.8198)</f>
        <v>7.6461323254197158</v>
      </c>
      <c r="C1696" s="1">
        <v>12</v>
      </c>
    </row>
    <row r="1697" spans="1:3" x14ac:dyDescent="0.3">
      <c r="A1697" t="s">
        <v>1696</v>
      </c>
      <c r="B1697">
        <f>31.2351498742857*(1-0.8198)</f>
        <v>5.6285740073462875</v>
      </c>
      <c r="C1697" s="1">
        <v>10</v>
      </c>
    </row>
    <row r="1698" spans="1:3" x14ac:dyDescent="0.3">
      <c r="A1698" t="s">
        <v>1697</v>
      </c>
      <c r="B1698">
        <f>16.4049482442857*(1-0.8198)</f>
        <v>2.9561716736202865</v>
      </c>
      <c r="C1698" s="1">
        <v>9</v>
      </c>
    </row>
    <row r="1699" spans="1:3" x14ac:dyDescent="0.3">
      <c r="A1699" t="s">
        <v>1698</v>
      </c>
      <c r="B1699">
        <f>3.76204880714286*(1-0.8198)</f>
        <v>0.67792119504714299</v>
      </c>
      <c r="C1699" s="1">
        <v>6</v>
      </c>
    </row>
    <row r="1700" spans="1:3" x14ac:dyDescent="0.3">
      <c r="A1700" t="s">
        <v>1699</v>
      </c>
      <c r="B1700">
        <f>0*(1-0.8198)</f>
        <v>0</v>
      </c>
      <c r="C1700" s="1">
        <v>5</v>
      </c>
    </row>
    <row r="1701" spans="1:3" x14ac:dyDescent="0.3">
      <c r="A1701" t="s">
        <v>1700</v>
      </c>
      <c r="B1701">
        <f>0*(1-0.8198)</f>
        <v>0</v>
      </c>
      <c r="C1701" s="1">
        <v>8</v>
      </c>
    </row>
    <row r="1702" spans="1:3" x14ac:dyDescent="0.3">
      <c r="A1702" t="s">
        <v>1701</v>
      </c>
      <c r="B1702">
        <f>0*(1-0.8198)</f>
        <v>0</v>
      </c>
      <c r="C1702" s="1">
        <v>7</v>
      </c>
    </row>
    <row r="1703" spans="1:3" x14ac:dyDescent="0.3">
      <c r="A1703" t="s">
        <v>1702</v>
      </c>
      <c r="B1703">
        <f>0*(1-0.8198)</f>
        <v>0</v>
      </c>
      <c r="C1703" s="1">
        <v>4</v>
      </c>
    </row>
    <row r="1704" spans="1:3" x14ac:dyDescent="0.3">
      <c r="A1704" t="s">
        <v>1703</v>
      </c>
      <c r="B1704">
        <f>0*(1-0.8198)</f>
        <v>0</v>
      </c>
      <c r="C1704" s="1">
        <v>5</v>
      </c>
    </row>
    <row r="1705" spans="1:3" x14ac:dyDescent="0.3">
      <c r="A1705" t="s">
        <v>1704</v>
      </c>
      <c r="B1705">
        <f>0*(1-0.8198)</f>
        <v>0</v>
      </c>
      <c r="C1705" s="1">
        <v>5</v>
      </c>
    </row>
    <row r="1706" spans="1:3" x14ac:dyDescent="0.3">
      <c r="A1706" t="s">
        <v>1705</v>
      </c>
      <c r="B1706">
        <f>0*(1-0.8198)</f>
        <v>0</v>
      </c>
      <c r="C1706" s="1">
        <v>2</v>
      </c>
    </row>
    <row r="1707" spans="1:3" x14ac:dyDescent="0.3">
      <c r="A1707" t="s">
        <v>1706</v>
      </c>
      <c r="B1707">
        <f>0*(1-0.8198)</f>
        <v>0</v>
      </c>
      <c r="C1707" s="1">
        <v>3</v>
      </c>
    </row>
    <row r="1708" spans="1:3" x14ac:dyDescent="0.3">
      <c r="A1708" t="s">
        <v>1707</v>
      </c>
      <c r="B1708">
        <f>0*(1-0.8198)</f>
        <v>0</v>
      </c>
      <c r="C1708" s="1">
        <v>2</v>
      </c>
    </row>
    <row r="1709" spans="1:3" x14ac:dyDescent="0.3">
      <c r="A1709" t="s">
        <v>1708</v>
      </c>
      <c r="B1709">
        <f>0*(1-0.8198)</f>
        <v>0</v>
      </c>
      <c r="C1709" s="1">
        <v>3</v>
      </c>
    </row>
    <row r="1710" spans="1:3" x14ac:dyDescent="0.3">
      <c r="A1710" t="s">
        <v>1709</v>
      </c>
      <c r="B1710">
        <f>0*(1-0.8198)</f>
        <v>0</v>
      </c>
      <c r="C1710" s="1">
        <v>2</v>
      </c>
    </row>
    <row r="1711" spans="1:3" x14ac:dyDescent="0.3">
      <c r="A1711" t="s">
        <v>1710</v>
      </c>
      <c r="B1711">
        <f>0*(1-0.8198)</f>
        <v>0</v>
      </c>
      <c r="C1711" s="1">
        <v>3</v>
      </c>
    </row>
    <row r="1712" spans="1:3" x14ac:dyDescent="0.3">
      <c r="A1712" t="s">
        <v>1711</v>
      </c>
      <c r="B1712">
        <f>0*(1-0.8198)</f>
        <v>0</v>
      </c>
      <c r="C1712" s="1">
        <v>2</v>
      </c>
    </row>
    <row r="1713" spans="1:3" x14ac:dyDescent="0.3">
      <c r="A1713" t="s">
        <v>1712</v>
      </c>
      <c r="B1713">
        <f>3.50486175285714*(1-0.8198)</f>
        <v>0.63157608786485719</v>
      </c>
      <c r="C1713" s="1">
        <v>10</v>
      </c>
    </row>
    <row r="1714" spans="1:3" x14ac:dyDescent="0.3">
      <c r="A1714" t="s">
        <v>1713</v>
      </c>
      <c r="B1714">
        <f>22.5552020628571*(1-0.8198)</f>
        <v>4.0644474117268574</v>
      </c>
      <c r="C1714" s="1">
        <v>13</v>
      </c>
    </row>
    <row r="1715" spans="1:3" x14ac:dyDescent="0.3">
      <c r="A1715" t="s">
        <v>1714</v>
      </c>
      <c r="B1715">
        <f>36.1108441942857*(1-0.8198)</f>
        <v>6.5071741238102874</v>
      </c>
      <c r="C1715" s="1">
        <v>17</v>
      </c>
    </row>
    <row r="1716" spans="1:3" x14ac:dyDescent="0.3">
      <c r="A1716" t="s">
        <v>1715</v>
      </c>
      <c r="B1716">
        <f>44.93151313*(1-0.8198)</f>
        <v>8.0966586660260038</v>
      </c>
      <c r="C1716" s="1">
        <v>18</v>
      </c>
    </row>
    <row r="1717" spans="1:3" x14ac:dyDescent="0.3">
      <c r="A1717" t="s">
        <v>1716</v>
      </c>
      <c r="B1717">
        <f>50.8218704028571*(1-0.8198)</f>
        <v>9.158101046594858</v>
      </c>
      <c r="C1717" s="1">
        <v>15</v>
      </c>
    </row>
    <row r="1718" spans="1:3" x14ac:dyDescent="0.3">
      <c r="A1718" t="s">
        <v>1717</v>
      </c>
      <c r="B1718">
        <f>52.5665560885714*(1-0.8198)</f>
        <v>9.4724934071605702</v>
      </c>
      <c r="C1718" s="1">
        <v>15</v>
      </c>
    </row>
    <row r="1719" spans="1:3" x14ac:dyDescent="0.3">
      <c r="A1719" t="s">
        <v>1718</v>
      </c>
      <c r="B1719">
        <f>49.49948569*(1-0.8198)</f>
        <v>8.919807321338002</v>
      </c>
      <c r="C1719" s="1">
        <v>16</v>
      </c>
    </row>
    <row r="1720" spans="1:3" x14ac:dyDescent="0.3">
      <c r="A1720" t="s">
        <v>1719</v>
      </c>
      <c r="B1720">
        <f>35.0267377771429*(1-0.8198)</f>
        <v>6.3118181474411434</v>
      </c>
      <c r="C1720" s="1">
        <v>14</v>
      </c>
    </row>
    <row r="1721" spans="1:3" x14ac:dyDescent="0.3">
      <c r="A1721" t="s">
        <v>1720</v>
      </c>
      <c r="B1721">
        <f>21.3547976614286*(1-0.8198)</f>
        <v>3.8481345385894294</v>
      </c>
      <c r="C1721" s="1">
        <v>11</v>
      </c>
    </row>
    <row r="1722" spans="1:3" x14ac:dyDescent="0.3">
      <c r="A1722" t="s">
        <v>1721</v>
      </c>
      <c r="B1722">
        <f>12.8209430871429*(1-0.8198)</f>
        <v>2.3103339443031432</v>
      </c>
      <c r="C1722" s="1">
        <v>11</v>
      </c>
    </row>
    <row r="1723" spans="1:3" x14ac:dyDescent="0.3">
      <c r="A1723" t="s">
        <v>1722</v>
      </c>
      <c r="B1723">
        <f>2.55224847571429*(1-0.8198)</f>
        <v>0.4599151753237144</v>
      </c>
      <c r="C1723" s="1">
        <v>9</v>
      </c>
    </row>
    <row r="1724" spans="1:3" x14ac:dyDescent="0.3">
      <c r="A1724" t="s">
        <v>1723</v>
      </c>
      <c r="B1724">
        <f>0*(1-0.8198)</f>
        <v>0</v>
      </c>
      <c r="C1724" s="1">
        <v>8</v>
      </c>
    </row>
    <row r="1725" spans="1:3" x14ac:dyDescent="0.3">
      <c r="A1725" t="s">
        <v>1724</v>
      </c>
      <c r="B1725">
        <f>0*(1-0.8198)</f>
        <v>0</v>
      </c>
      <c r="C1725" s="1">
        <v>11</v>
      </c>
    </row>
    <row r="1726" spans="1:3" x14ac:dyDescent="0.3">
      <c r="A1726" t="s">
        <v>1725</v>
      </c>
      <c r="B1726">
        <f>0*(1-0.8198)</f>
        <v>0</v>
      </c>
      <c r="C1726" s="1">
        <v>10</v>
      </c>
    </row>
    <row r="1727" spans="1:3" x14ac:dyDescent="0.3">
      <c r="A1727" t="s">
        <v>1726</v>
      </c>
      <c r="B1727">
        <f>0*(1-0.8198)</f>
        <v>0</v>
      </c>
      <c r="C1727" s="1">
        <v>7</v>
      </c>
    </row>
    <row r="1728" spans="1:3" x14ac:dyDescent="0.3">
      <c r="A1728" t="s">
        <v>1727</v>
      </c>
      <c r="B1728">
        <f>0*(1-0.8198)</f>
        <v>0</v>
      </c>
      <c r="C1728" s="1">
        <v>7</v>
      </c>
    </row>
    <row r="1729" spans="1:3" x14ac:dyDescent="0.3">
      <c r="A1729" t="s">
        <v>1728</v>
      </c>
      <c r="B1729">
        <f>0*(1-0.8198)</f>
        <v>0</v>
      </c>
      <c r="C1729" s="1">
        <v>6</v>
      </c>
    </row>
    <row r="1730" spans="1:3" x14ac:dyDescent="0.3">
      <c r="A1730" t="s">
        <v>1729</v>
      </c>
      <c r="B1730">
        <f>0*(1-0.8198)</f>
        <v>0</v>
      </c>
      <c r="C1730" s="1">
        <v>5</v>
      </c>
    </row>
    <row r="1731" spans="1:3" x14ac:dyDescent="0.3">
      <c r="A1731" t="s">
        <v>1730</v>
      </c>
      <c r="B1731">
        <f>0*(1-0.8198)</f>
        <v>0</v>
      </c>
      <c r="C1731" s="1">
        <v>4</v>
      </c>
    </row>
    <row r="1732" spans="1:3" x14ac:dyDescent="0.3">
      <c r="A1732" t="s">
        <v>1731</v>
      </c>
      <c r="B1732">
        <f>0*(1-0.8198)</f>
        <v>0</v>
      </c>
      <c r="C1732" s="1">
        <v>5</v>
      </c>
    </row>
    <row r="1733" spans="1:3" x14ac:dyDescent="0.3">
      <c r="A1733" t="s">
        <v>1732</v>
      </c>
      <c r="B1733">
        <f>0*(1-0.8198)</f>
        <v>0</v>
      </c>
      <c r="C1733" s="1">
        <v>4</v>
      </c>
    </row>
    <row r="1734" spans="1:3" x14ac:dyDescent="0.3">
      <c r="A1734" t="s">
        <v>1733</v>
      </c>
      <c r="B1734">
        <f>0*(1-0.8198)</f>
        <v>0</v>
      </c>
      <c r="C1734" s="1">
        <v>5</v>
      </c>
    </row>
    <row r="1735" spans="1:3" x14ac:dyDescent="0.3">
      <c r="A1735" t="s">
        <v>1734</v>
      </c>
      <c r="B1735">
        <f>0*(1-0.8198)</f>
        <v>0</v>
      </c>
      <c r="C1735" s="1">
        <v>4</v>
      </c>
    </row>
    <row r="1736" spans="1:3" x14ac:dyDescent="0.3">
      <c r="A1736" t="s">
        <v>1735</v>
      </c>
      <c r="B1736">
        <f>0*(1-0.8198)</f>
        <v>0</v>
      </c>
      <c r="C1736" s="1">
        <v>4</v>
      </c>
    </row>
    <row r="1737" spans="1:3" x14ac:dyDescent="0.3">
      <c r="A1737" t="s">
        <v>1736</v>
      </c>
      <c r="B1737">
        <f>10.6784178385714*(1-0.8198)</f>
        <v>1.9242508945105714</v>
      </c>
      <c r="C1737" s="1">
        <v>13</v>
      </c>
    </row>
    <row r="1738" spans="1:3" x14ac:dyDescent="0.3">
      <c r="A1738" t="s">
        <v>1737</v>
      </c>
      <c r="B1738">
        <f>26.3673867814286*(1-0.8198)</f>
        <v>4.7514030980134292</v>
      </c>
      <c r="C1738" s="1">
        <v>14</v>
      </c>
    </row>
    <row r="1739" spans="1:3" x14ac:dyDescent="0.3">
      <c r="A1739" t="s">
        <v>1738</v>
      </c>
      <c r="B1739">
        <f>38.9390460914286*(1-0.8198)</f>
        <v>7.0168161056754297</v>
      </c>
      <c r="C1739" s="1">
        <v>23</v>
      </c>
    </row>
    <row r="1740" spans="1:3" x14ac:dyDescent="0.3">
      <c r="A1740" t="s">
        <v>1739</v>
      </c>
      <c r="B1740">
        <f>49.3641280171429*(1-0.8198)</f>
        <v>8.8954158686891436</v>
      </c>
      <c r="C1740" s="1">
        <v>19</v>
      </c>
    </row>
    <row r="1741" spans="1:3" x14ac:dyDescent="0.3">
      <c r="A1741" t="s">
        <v>1740</v>
      </c>
      <c r="B1741">
        <f>52.4943921985714*(1-0.8198)</f>
        <v>9.4594894741825737</v>
      </c>
      <c r="C1741" s="1">
        <v>20</v>
      </c>
    </row>
    <row r="1742" spans="1:3" x14ac:dyDescent="0.3">
      <c r="A1742" t="s">
        <v>1741</v>
      </c>
      <c r="B1742">
        <f>55.1292872885714*(1-0.8198)</f>
        <v>9.9342975694005737</v>
      </c>
      <c r="C1742" s="1">
        <v>17</v>
      </c>
    </row>
    <row r="1743" spans="1:3" x14ac:dyDescent="0.3">
      <c r="A1743" t="s">
        <v>1742</v>
      </c>
      <c r="B1743">
        <f>51.4738171757143*(1-0.8198)</f>
        <v>9.2755818550637166</v>
      </c>
      <c r="C1743" s="1">
        <v>17</v>
      </c>
    </row>
    <row r="1744" spans="1:3" x14ac:dyDescent="0.3">
      <c r="A1744" t="s">
        <v>1743</v>
      </c>
      <c r="B1744">
        <f>43.67129364*(1-0.8198)</f>
        <v>7.8695671139280012</v>
      </c>
      <c r="C1744" s="1">
        <v>16</v>
      </c>
    </row>
    <row r="1745" spans="1:3" x14ac:dyDescent="0.3">
      <c r="A1745" t="s">
        <v>1744</v>
      </c>
      <c r="B1745">
        <f>31.8919641242857*(1-0.8198)</f>
        <v>5.7469319351962866</v>
      </c>
      <c r="C1745" s="1">
        <v>12</v>
      </c>
    </row>
    <row r="1746" spans="1:3" x14ac:dyDescent="0.3">
      <c r="A1746" t="s">
        <v>1745</v>
      </c>
      <c r="B1746">
        <f>16.5838961228571*(1-0.8198)</f>
        <v>2.9884180813388577</v>
      </c>
      <c r="C1746" s="1">
        <v>12</v>
      </c>
    </row>
    <row r="1747" spans="1:3" x14ac:dyDescent="0.3">
      <c r="A1747" t="s">
        <v>1746</v>
      </c>
      <c r="B1747">
        <f>4.27094963*(1-0.8198)</f>
        <v>0.76962512332600019</v>
      </c>
      <c r="C1747" s="1">
        <v>9</v>
      </c>
    </row>
    <row r="1748" spans="1:3" x14ac:dyDescent="0.3">
      <c r="A1748" t="s">
        <v>1747</v>
      </c>
      <c r="B1748">
        <f>0*(1-0.8198)</f>
        <v>0</v>
      </c>
      <c r="C1748" s="1">
        <v>8</v>
      </c>
    </row>
    <row r="1749" spans="1:3" x14ac:dyDescent="0.3">
      <c r="A1749" t="s">
        <v>1748</v>
      </c>
      <c r="B1749">
        <f>0*(1-0.8198)</f>
        <v>0</v>
      </c>
      <c r="C1749" s="1">
        <v>10</v>
      </c>
    </row>
    <row r="1750" spans="1:3" x14ac:dyDescent="0.3">
      <c r="A1750" t="s">
        <v>1749</v>
      </c>
      <c r="B1750">
        <f>0*(1-0.8198)</f>
        <v>0</v>
      </c>
      <c r="C1750" s="1">
        <v>7</v>
      </c>
    </row>
    <row r="1751" spans="1:3" x14ac:dyDescent="0.3">
      <c r="A1751" t="s">
        <v>1750</v>
      </c>
      <c r="B1751">
        <f>0*(1-0.8198)</f>
        <v>0</v>
      </c>
      <c r="C1751" s="1">
        <v>7</v>
      </c>
    </row>
    <row r="1752" spans="1:3" x14ac:dyDescent="0.3">
      <c r="A1752" t="s">
        <v>1751</v>
      </c>
      <c r="B1752">
        <f>0*(1-0.8198)</f>
        <v>0</v>
      </c>
      <c r="C1752" s="1">
        <v>6</v>
      </c>
    </row>
    <row r="1753" spans="1:3" x14ac:dyDescent="0.3">
      <c r="A1753" t="s">
        <v>1752</v>
      </c>
      <c r="B1753">
        <f>0*(1-0.8198)</f>
        <v>0</v>
      </c>
      <c r="C1753" s="1">
        <v>7</v>
      </c>
    </row>
    <row r="1754" spans="1:3" x14ac:dyDescent="0.3">
      <c r="A1754" t="s">
        <v>1753</v>
      </c>
      <c r="B1754">
        <f>0*(1-0.8198)</f>
        <v>0</v>
      </c>
      <c r="C1754" s="1">
        <v>4</v>
      </c>
    </row>
    <row r="1755" spans="1:3" x14ac:dyDescent="0.3">
      <c r="A1755" t="s">
        <v>1754</v>
      </c>
      <c r="B1755">
        <f>0*(1-0.8198)</f>
        <v>0</v>
      </c>
      <c r="C1755" s="1">
        <v>5</v>
      </c>
    </row>
    <row r="1756" spans="1:3" x14ac:dyDescent="0.3">
      <c r="A1756" t="s">
        <v>1755</v>
      </c>
      <c r="B1756">
        <f>0*(1-0.8198)</f>
        <v>0</v>
      </c>
      <c r="C1756" s="1">
        <v>4</v>
      </c>
    </row>
    <row r="1757" spans="1:3" x14ac:dyDescent="0.3">
      <c r="A1757" t="s">
        <v>1756</v>
      </c>
      <c r="B1757">
        <f>0*(1-0.8198)</f>
        <v>0</v>
      </c>
      <c r="C1757" s="1">
        <v>4</v>
      </c>
    </row>
    <row r="1758" spans="1:3" x14ac:dyDescent="0.3">
      <c r="A1758" t="s">
        <v>1757</v>
      </c>
      <c r="B1758">
        <f>0*(1-0.8198)</f>
        <v>0</v>
      </c>
      <c r="C1758" s="1">
        <v>5</v>
      </c>
    </row>
    <row r="1759" spans="1:3" x14ac:dyDescent="0.3">
      <c r="A1759" t="s">
        <v>1758</v>
      </c>
      <c r="B1759">
        <f>0*(1-0.8198)</f>
        <v>0</v>
      </c>
      <c r="C1759" s="1">
        <v>4</v>
      </c>
    </row>
    <row r="1760" spans="1:3" x14ac:dyDescent="0.3">
      <c r="A1760" t="s">
        <v>1759</v>
      </c>
      <c r="B1760">
        <f>0*(1-0.8198)</f>
        <v>0</v>
      </c>
      <c r="C1760" s="1">
        <v>4</v>
      </c>
    </row>
    <row r="1761" spans="1:3" x14ac:dyDescent="0.3">
      <c r="A1761" t="s">
        <v>1760</v>
      </c>
      <c r="B1761">
        <f>9.49159339*(1-0.8198)</f>
        <v>1.7103851288780003</v>
      </c>
      <c r="C1761" s="1">
        <v>14</v>
      </c>
    </row>
    <row r="1762" spans="1:3" x14ac:dyDescent="0.3">
      <c r="A1762" t="s">
        <v>1761</v>
      </c>
      <c r="B1762">
        <f>24.9968654728571*(1-0.8198)</f>
        <v>4.5044351582088584</v>
      </c>
      <c r="C1762" s="1">
        <v>17</v>
      </c>
    </row>
    <row r="1763" spans="1:3" x14ac:dyDescent="0.3">
      <c r="A1763" t="s">
        <v>1762</v>
      </c>
      <c r="B1763">
        <f>37.7298998514286*(1-0.8198)</f>
        <v>6.798927953227432</v>
      </c>
      <c r="C1763" s="1">
        <v>16</v>
      </c>
    </row>
    <row r="1764" spans="1:3" x14ac:dyDescent="0.3">
      <c r="A1764" t="s">
        <v>1763</v>
      </c>
      <c r="B1764">
        <f>47.4086692928571*(1-0.8198)</f>
        <v>8.54304220657286</v>
      </c>
      <c r="C1764" s="1">
        <v>21</v>
      </c>
    </row>
    <row r="1765" spans="1:3" x14ac:dyDescent="0.3">
      <c r="A1765" t="s">
        <v>1764</v>
      </c>
      <c r="B1765">
        <f>53.2855515328571*(1-0.8198)</f>
        <v>9.602056386220859</v>
      </c>
      <c r="C1765" s="1">
        <v>18</v>
      </c>
    </row>
    <row r="1766" spans="1:3" x14ac:dyDescent="0.3">
      <c r="A1766" t="s">
        <v>1765</v>
      </c>
      <c r="B1766">
        <f>52.5763038814286*(1-0.8198)</f>
        <v>9.4742499594334308</v>
      </c>
      <c r="C1766" s="1">
        <v>15</v>
      </c>
    </row>
    <row r="1767" spans="1:3" x14ac:dyDescent="0.3">
      <c r="A1767" t="s">
        <v>1766</v>
      </c>
      <c r="B1767">
        <f>49.96169183*(1-0.8198)</f>
        <v>9.0030968677660024</v>
      </c>
      <c r="C1767" s="1">
        <v>15</v>
      </c>
    </row>
    <row r="1768" spans="1:3" x14ac:dyDescent="0.3">
      <c r="A1768" t="s">
        <v>1767</v>
      </c>
      <c r="B1768">
        <f>43.4531351671429*(1-0.8198)</f>
        <v>7.8302549571191449</v>
      </c>
      <c r="C1768" s="1">
        <v>13</v>
      </c>
    </row>
    <row r="1769" spans="1:3" x14ac:dyDescent="0.3">
      <c r="A1769" t="s">
        <v>1768</v>
      </c>
      <c r="B1769">
        <f>31.9949896057143*(1-0.8198)</f>
        <v>5.7654971269497164</v>
      </c>
      <c r="C1769" s="1">
        <v>11</v>
      </c>
    </row>
    <row r="1770" spans="1:3" x14ac:dyDescent="0.3">
      <c r="A1770" t="s">
        <v>1769</v>
      </c>
      <c r="B1770">
        <f>17.3338500314286*(1-0.8198)</f>
        <v>3.1235597756634297</v>
      </c>
      <c r="C1770" s="1">
        <v>10</v>
      </c>
    </row>
    <row r="1771" spans="1:3" x14ac:dyDescent="0.3">
      <c r="A1771" t="s">
        <v>1770</v>
      </c>
      <c r="B1771">
        <f>4.40882059142857*(1-0.8198)</f>
        <v>0.79446947057542883</v>
      </c>
      <c r="C1771" s="1">
        <v>8</v>
      </c>
    </row>
    <row r="1772" spans="1:3" x14ac:dyDescent="0.3">
      <c r="A1772" t="s">
        <v>1771</v>
      </c>
      <c r="B1772">
        <f>0*(1-0.8198)</f>
        <v>0</v>
      </c>
      <c r="C1772" s="1">
        <v>8</v>
      </c>
    </row>
    <row r="1773" spans="1:3" x14ac:dyDescent="0.3">
      <c r="A1773" t="s">
        <v>1772</v>
      </c>
      <c r="B1773">
        <f>0*(1-0.8198)</f>
        <v>0</v>
      </c>
      <c r="C1773" s="1">
        <v>7</v>
      </c>
    </row>
    <row r="1774" spans="1:3" x14ac:dyDescent="0.3">
      <c r="A1774" t="s">
        <v>1773</v>
      </c>
      <c r="B1774">
        <f>0*(1-0.8198)</f>
        <v>0</v>
      </c>
      <c r="C1774" s="1">
        <v>7</v>
      </c>
    </row>
    <row r="1775" spans="1:3" x14ac:dyDescent="0.3">
      <c r="A1775" t="s">
        <v>1774</v>
      </c>
      <c r="B1775">
        <f>0*(1-0.8198)</f>
        <v>0</v>
      </c>
      <c r="C1775" s="1">
        <v>6</v>
      </c>
    </row>
    <row r="1776" spans="1:3" x14ac:dyDescent="0.3">
      <c r="A1776" t="s">
        <v>1775</v>
      </c>
      <c r="B1776">
        <f>0*(1-0.8198)</f>
        <v>0</v>
      </c>
      <c r="C1776" s="1">
        <v>7</v>
      </c>
    </row>
    <row r="1777" spans="1:3" x14ac:dyDescent="0.3">
      <c r="A1777" t="s">
        <v>1776</v>
      </c>
      <c r="B1777">
        <f>0*(1-0.8198)</f>
        <v>0</v>
      </c>
      <c r="C1777" s="1">
        <v>6</v>
      </c>
    </row>
    <row r="1778" spans="1:3" x14ac:dyDescent="0.3">
      <c r="A1778" t="s">
        <v>1777</v>
      </c>
      <c r="B1778">
        <f>0*(1-0.8198)</f>
        <v>0</v>
      </c>
      <c r="C1778" s="1">
        <v>5</v>
      </c>
    </row>
    <row r="1779" spans="1:3" x14ac:dyDescent="0.3">
      <c r="A1779" t="s">
        <v>1778</v>
      </c>
      <c r="B1779">
        <f>0*(1-0.8198)</f>
        <v>0</v>
      </c>
      <c r="C1779" s="1">
        <v>4</v>
      </c>
    </row>
    <row r="1780" spans="1:3" x14ac:dyDescent="0.3">
      <c r="A1780" t="s">
        <v>1779</v>
      </c>
      <c r="B1780">
        <f>0*(1-0.8198)</f>
        <v>0</v>
      </c>
      <c r="C1780" s="1">
        <v>4</v>
      </c>
    </row>
    <row r="1781" spans="1:3" x14ac:dyDescent="0.3">
      <c r="A1781" t="s">
        <v>1780</v>
      </c>
      <c r="B1781">
        <f>0*(1-0.8198)</f>
        <v>0</v>
      </c>
      <c r="C1781" s="1">
        <v>5</v>
      </c>
    </row>
    <row r="1782" spans="1:3" x14ac:dyDescent="0.3">
      <c r="A1782" t="s">
        <v>1781</v>
      </c>
      <c r="B1782">
        <f>0*(1-0.8198)</f>
        <v>0</v>
      </c>
      <c r="C1782" s="1">
        <v>4</v>
      </c>
    </row>
    <row r="1783" spans="1:3" x14ac:dyDescent="0.3">
      <c r="A1783" t="s">
        <v>1782</v>
      </c>
      <c r="B1783">
        <f>0*(1-0.8198)</f>
        <v>0</v>
      </c>
      <c r="C1783" s="1">
        <v>4</v>
      </c>
    </row>
    <row r="1784" spans="1:3" x14ac:dyDescent="0.3">
      <c r="A1784" t="s">
        <v>1783</v>
      </c>
      <c r="B1784">
        <f>0*(1-0.8198)</f>
        <v>0</v>
      </c>
      <c r="C1784" s="1">
        <v>4</v>
      </c>
    </row>
    <row r="1785" spans="1:3" x14ac:dyDescent="0.3">
      <c r="A1785" t="s">
        <v>1784</v>
      </c>
      <c r="B1785">
        <f>11.3402051614286*(1-0.8198)</f>
        <v>2.0435049700894297</v>
      </c>
      <c r="C1785" s="1">
        <v>5</v>
      </c>
    </row>
    <row r="1786" spans="1:3" x14ac:dyDescent="0.3">
      <c r="A1786" t="s">
        <v>1785</v>
      </c>
      <c r="B1786">
        <f>26.45076071*(1-0.8198)</f>
        <v>4.7664270799420008</v>
      </c>
      <c r="C1786" s="1">
        <v>4</v>
      </c>
    </row>
    <row r="1787" spans="1:3" x14ac:dyDescent="0.3">
      <c r="A1787" t="s">
        <v>1786</v>
      </c>
      <c r="B1787">
        <f>38.4766405542857*(1-0.8198)</f>
        <v>6.9334906278822874</v>
      </c>
      <c r="C1787" s="1">
        <v>4</v>
      </c>
    </row>
    <row r="1788" spans="1:3" x14ac:dyDescent="0.3">
      <c r="A1788" t="s">
        <v>1787</v>
      </c>
      <c r="B1788">
        <f>47.9175992328571*(1-0.8198)</f>
        <v>8.634751381760859</v>
      </c>
      <c r="C1788" s="1">
        <v>4</v>
      </c>
    </row>
    <row r="1789" spans="1:3" x14ac:dyDescent="0.3">
      <c r="A1789" t="s">
        <v>1788</v>
      </c>
      <c r="B1789">
        <f>53.7989061114286*(1-0.8198)</f>
        <v>9.6945628812794311</v>
      </c>
      <c r="C1789" s="1">
        <v>5</v>
      </c>
    </row>
    <row r="1790" spans="1:3" x14ac:dyDescent="0.3">
      <c r="A1790" t="s">
        <v>1789</v>
      </c>
      <c r="B1790">
        <f>55.8824707428571*(1-0.8198)</f>
        <v>10.070021227862858</v>
      </c>
      <c r="C1790" s="1">
        <v>4</v>
      </c>
    </row>
    <row r="1791" spans="1:3" x14ac:dyDescent="0.3">
      <c r="A1791" t="s">
        <v>1790</v>
      </c>
      <c r="B1791">
        <f>51.5960185685714*(1-0.8198)</f>
        <v>9.2976025460565719</v>
      </c>
      <c r="C1791" s="1">
        <v>4</v>
      </c>
    </row>
    <row r="1792" spans="1:3" x14ac:dyDescent="0.3">
      <c r="A1792" t="s">
        <v>1791</v>
      </c>
      <c r="B1792">
        <f>44.5296374642857*(1-0.8198)</f>
        <v>8.0242406710642875</v>
      </c>
      <c r="C1792" s="1">
        <v>4</v>
      </c>
    </row>
    <row r="1793" spans="1:3" x14ac:dyDescent="0.3">
      <c r="A1793" t="s">
        <v>1792</v>
      </c>
      <c r="B1793">
        <f>32.8288373128571*(1-0.8198)</f>
        <v>5.9157564837768586</v>
      </c>
      <c r="C1793" s="1">
        <v>5</v>
      </c>
    </row>
    <row r="1794" spans="1:3" x14ac:dyDescent="0.3">
      <c r="A1794" t="s">
        <v>1793</v>
      </c>
      <c r="B1794">
        <f>18.1516981757143*(1-0.8198)</f>
        <v>3.2709360112637156</v>
      </c>
      <c r="C1794" s="1">
        <v>4</v>
      </c>
    </row>
    <row r="1795" spans="1:3" x14ac:dyDescent="0.3">
      <c r="A1795" t="s">
        <v>1794</v>
      </c>
      <c r="B1795">
        <f>4.67393395857143*(1-0.8198)</f>
        <v>0.84224289933457164</v>
      </c>
      <c r="C1795" s="1">
        <v>4</v>
      </c>
    </row>
    <row r="1796" spans="1:3" x14ac:dyDescent="0.3">
      <c r="A1796" t="s">
        <v>1795</v>
      </c>
      <c r="B1796">
        <f>0*(1-0.8198)</f>
        <v>0</v>
      </c>
      <c r="C1796" s="1">
        <v>5</v>
      </c>
    </row>
    <row r="1797" spans="1:3" x14ac:dyDescent="0.3">
      <c r="A1797" t="s">
        <v>1796</v>
      </c>
      <c r="B1797">
        <f>0*(1-0.8198)</f>
        <v>0</v>
      </c>
      <c r="C1797" s="1">
        <v>4</v>
      </c>
    </row>
    <row r="1798" spans="1:3" x14ac:dyDescent="0.3">
      <c r="A1798" t="s">
        <v>1797</v>
      </c>
      <c r="B1798">
        <f>0*(1-0.8198)</f>
        <v>0</v>
      </c>
      <c r="C1798" s="1">
        <v>5</v>
      </c>
    </row>
    <row r="1799" spans="1:3" x14ac:dyDescent="0.3">
      <c r="A1799" t="s">
        <v>1798</v>
      </c>
      <c r="B1799">
        <f>0*(1-0.8198)</f>
        <v>0</v>
      </c>
      <c r="C1799" s="1">
        <v>4</v>
      </c>
    </row>
    <row r="1800" spans="1:3" x14ac:dyDescent="0.3">
      <c r="A1800" t="s">
        <v>1799</v>
      </c>
      <c r="B1800">
        <f>0*(1-0.8198)</f>
        <v>0</v>
      </c>
      <c r="C1800" s="1">
        <v>4</v>
      </c>
    </row>
    <row r="1801" spans="1:3" x14ac:dyDescent="0.3">
      <c r="A1801" t="s">
        <v>1800</v>
      </c>
      <c r="B1801">
        <f>0*(1-0.8198)</f>
        <v>0</v>
      </c>
      <c r="C1801" s="1">
        <v>5</v>
      </c>
    </row>
    <row r="1802" spans="1:3" x14ac:dyDescent="0.3">
      <c r="A1802" t="s">
        <v>1801</v>
      </c>
      <c r="B1802">
        <f>0*(1-0.8198)</f>
        <v>0</v>
      </c>
      <c r="C1802" s="1">
        <v>4</v>
      </c>
    </row>
    <row r="1803" spans="1:3" x14ac:dyDescent="0.3">
      <c r="A1803" t="s">
        <v>1802</v>
      </c>
      <c r="B1803">
        <f>0*(1-0.8198)</f>
        <v>0</v>
      </c>
      <c r="C1803" s="1">
        <v>4</v>
      </c>
    </row>
    <row r="1804" spans="1:3" x14ac:dyDescent="0.3">
      <c r="A1804" t="s">
        <v>1803</v>
      </c>
      <c r="B1804">
        <f>0*(1-0.8198)</f>
        <v>0</v>
      </c>
      <c r="C1804" s="1">
        <v>4</v>
      </c>
    </row>
    <row r="1805" spans="1:3" x14ac:dyDescent="0.3">
      <c r="A1805" t="s">
        <v>1804</v>
      </c>
      <c r="B1805">
        <f>0*(1-0.8198)</f>
        <v>0</v>
      </c>
      <c r="C1805" s="1">
        <v>5</v>
      </c>
    </row>
    <row r="1806" spans="1:3" x14ac:dyDescent="0.3">
      <c r="A1806" t="s">
        <v>1805</v>
      </c>
      <c r="B1806">
        <f>0*(1-0.8198)</f>
        <v>0</v>
      </c>
      <c r="C1806" s="1">
        <v>4</v>
      </c>
    </row>
    <row r="1807" spans="1:3" x14ac:dyDescent="0.3">
      <c r="A1807" t="s">
        <v>1806</v>
      </c>
      <c r="B1807">
        <f>0*(1-0.8198)</f>
        <v>0</v>
      </c>
      <c r="C1807" s="1">
        <v>4</v>
      </c>
    </row>
    <row r="1808" spans="1:3" x14ac:dyDescent="0.3">
      <c r="A1808" t="s">
        <v>1807</v>
      </c>
      <c r="B1808">
        <f>0*(1-0.8198)</f>
        <v>0</v>
      </c>
      <c r="C1808" s="1">
        <v>5</v>
      </c>
    </row>
    <row r="1809" spans="1:3" x14ac:dyDescent="0.3">
      <c r="A1809" t="s">
        <v>1808</v>
      </c>
      <c r="B1809">
        <f>11.3660019671429*(1-0.8198)</f>
        <v>2.0481535544791432</v>
      </c>
      <c r="C1809" s="1">
        <v>4</v>
      </c>
    </row>
    <row r="1810" spans="1:3" x14ac:dyDescent="0.3">
      <c r="A1810" t="s">
        <v>1809</v>
      </c>
      <c r="B1810">
        <f>19.0278355842857*(1-0.8198)</f>
        <v>3.4288159722882861</v>
      </c>
      <c r="C1810" s="1">
        <v>5</v>
      </c>
    </row>
    <row r="1811" spans="1:3" x14ac:dyDescent="0.3">
      <c r="A1811" t="s">
        <v>1810</v>
      </c>
      <c r="B1811">
        <f>10.2684*(1-0.8198)</f>
        <v>1.8503656800000001</v>
      </c>
      <c r="C1811" s="1">
        <v>4</v>
      </c>
    </row>
    <row r="1812" spans="1:3" x14ac:dyDescent="0.3">
      <c r="A1812" t="s">
        <v>1811</v>
      </c>
      <c r="B1812">
        <f>19.1875698342857*(1-0.8198)</f>
        <v>3.4576000841382868</v>
      </c>
      <c r="C1812" s="1">
        <v>4</v>
      </c>
    </row>
    <row r="1813" spans="1:3" x14ac:dyDescent="0.3">
      <c r="A1813" t="s">
        <v>1812</v>
      </c>
      <c r="B1813">
        <f>17.0093117085714*(1-0.8198)</f>
        <v>3.0650779698845723</v>
      </c>
      <c r="C1813" s="1">
        <v>5</v>
      </c>
    </row>
    <row r="1814" spans="1:3" x14ac:dyDescent="0.3">
      <c r="A1814" t="s">
        <v>1813</v>
      </c>
      <c r="B1814">
        <f>27.6299229271429*(1-0.8198)</f>
        <v>4.9789121114711445</v>
      </c>
      <c r="C1814" s="1">
        <v>4</v>
      </c>
    </row>
    <row r="1815" spans="1:3" x14ac:dyDescent="0.3">
      <c r="A1815" t="s">
        <v>1814</v>
      </c>
      <c r="B1815">
        <f>40.8856167771429*(1-0.8198)</f>
        <v>7.3675881432411456</v>
      </c>
      <c r="C1815" s="1">
        <v>4</v>
      </c>
    </row>
    <row r="1816" spans="1:3" x14ac:dyDescent="0.3">
      <c r="A1816" t="s">
        <v>1815</v>
      </c>
      <c r="B1816">
        <f>12.05978*(1-0.8198)</f>
        <v>2.1731723560000002</v>
      </c>
      <c r="C1816" s="1">
        <v>4</v>
      </c>
    </row>
    <row r="1817" spans="1:3" x14ac:dyDescent="0.3">
      <c r="A1817" t="s">
        <v>1816</v>
      </c>
      <c r="B1817">
        <f>16.5861885142857*(1-0.8198)</f>
        <v>2.9888311702742865</v>
      </c>
      <c r="C1817" s="1">
        <v>5</v>
      </c>
    </row>
    <row r="1818" spans="1:3" x14ac:dyDescent="0.3">
      <c r="A1818" t="s">
        <v>1817</v>
      </c>
      <c r="B1818">
        <f>16.8239339171429*(1-0.8198)</f>
        <v>3.0316728918691429</v>
      </c>
      <c r="C1818" s="1">
        <v>4</v>
      </c>
    </row>
    <row r="1819" spans="1:3" x14ac:dyDescent="0.3">
      <c r="A1819" t="s">
        <v>1818</v>
      </c>
      <c r="B1819">
        <f>2.38526688285714*(1-0.8198)</f>
        <v>0.4298250922908573</v>
      </c>
      <c r="C1819" s="1">
        <v>4</v>
      </c>
    </row>
    <row r="1820" spans="1:3" x14ac:dyDescent="0.3">
      <c r="A1820" t="s">
        <v>1819</v>
      </c>
      <c r="B1820">
        <f>0*(1-0.8198)</f>
        <v>0</v>
      </c>
      <c r="C1820" s="1">
        <v>5</v>
      </c>
    </row>
    <row r="1821" spans="1:3" x14ac:dyDescent="0.3">
      <c r="A1821" t="s">
        <v>1820</v>
      </c>
      <c r="B1821">
        <f>0*(1-0.8198)</f>
        <v>0</v>
      </c>
      <c r="C1821" s="1">
        <v>4</v>
      </c>
    </row>
    <row r="1822" spans="1:3" x14ac:dyDescent="0.3">
      <c r="A1822" t="s">
        <v>1821</v>
      </c>
      <c r="B1822">
        <f>0*(1-0.8198)</f>
        <v>0</v>
      </c>
      <c r="C1822" s="1">
        <v>4</v>
      </c>
    </row>
    <row r="1823" spans="1:3" x14ac:dyDescent="0.3">
      <c r="A1823" t="s">
        <v>1822</v>
      </c>
      <c r="B1823">
        <f>0*(1-0.8198)</f>
        <v>0</v>
      </c>
      <c r="C1823" s="1">
        <v>5</v>
      </c>
    </row>
    <row r="1824" spans="1:3" x14ac:dyDescent="0.3">
      <c r="A1824" t="s">
        <v>1823</v>
      </c>
      <c r="B1824">
        <f>0*(1-0.8198)</f>
        <v>0</v>
      </c>
      <c r="C1824" s="1">
        <v>4</v>
      </c>
    </row>
    <row r="1825" spans="1:3" x14ac:dyDescent="0.3">
      <c r="A1825" t="s">
        <v>1824</v>
      </c>
      <c r="B1825">
        <f>0*(1-0.8198)</f>
        <v>0</v>
      </c>
      <c r="C1825" s="1">
        <v>4</v>
      </c>
    </row>
    <row r="1826" spans="1:3" x14ac:dyDescent="0.3">
      <c r="A1826" t="s">
        <v>1825</v>
      </c>
      <c r="B1826">
        <f>0*(1-0.8198)</f>
        <v>0</v>
      </c>
      <c r="C1826" s="1">
        <v>5</v>
      </c>
    </row>
    <row r="1827" spans="1:3" x14ac:dyDescent="0.3">
      <c r="A1827" t="s">
        <v>1826</v>
      </c>
      <c r="B1827">
        <f>0*(1-0.8198)</f>
        <v>0</v>
      </c>
      <c r="C1827" s="1">
        <v>4</v>
      </c>
    </row>
    <row r="1828" spans="1:3" x14ac:dyDescent="0.3">
      <c r="A1828" t="s">
        <v>1827</v>
      </c>
      <c r="B1828">
        <f>0*(1-0.8198)</f>
        <v>0</v>
      </c>
      <c r="C1828" s="1">
        <v>5</v>
      </c>
    </row>
    <row r="1829" spans="1:3" x14ac:dyDescent="0.3">
      <c r="A1829" t="s">
        <v>1828</v>
      </c>
      <c r="B1829">
        <f>0*(1-0.8198)</f>
        <v>0</v>
      </c>
      <c r="C1829" s="1">
        <v>4</v>
      </c>
    </row>
    <row r="1830" spans="1:3" x14ac:dyDescent="0.3">
      <c r="A1830" t="s">
        <v>1829</v>
      </c>
      <c r="B1830">
        <f>0*(1-0.8198)</f>
        <v>0</v>
      </c>
      <c r="C1830" s="1">
        <v>4</v>
      </c>
    </row>
    <row r="1831" spans="1:3" x14ac:dyDescent="0.3">
      <c r="A1831" t="s">
        <v>1830</v>
      </c>
      <c r="B1831">
        <f>0*(1-0.8198)</f>
        <v>0</v>
      </c>
      <c r="C1831" s="1">
        <v>5</v>
      </c>
    </row>
    <row r="1832" spans="1:3" x14ac:dyDescent="0.3">
      <c r="A1832" t="s">
        <v>1831</v>
      </c>
      <c r="B1832">
        <f>0*(1-0.8198)</f>
        <v>0</v>
      </c>
      <c r="C1832" s="1">
        <v>4</v>
      </c>
    </row>
    <row r="1833" spans="1:3" x14ac:dyDescent="0.3">
      <c r="A1833" t="s">
        <v>1832</v>
      </c>
      <c r="B1833">
        <f>5.61884501428571*(1-0.8198)</f>
        <v>1.0125158715742859</v>
      </c>
      <c r="C1833" s="1">
        <v>12</v>
      </c>
    </row>
    <row r="1834" spans="1:3" x14ac:dyDescent="0.3">
      <c r="A1834" t="s">
        <v>1833</v>
      </c>
      <c r="B1834">
        <f>17.3548079857143*(1-0.8198)</f>
        <v>3.1273363990257153</v>
      </c>
      <c r="C1834" s="1">
        <v>15</v>
      </c>
    </row>
    <row r="1835" spans="1:3" x14ac:dyDescent="0.3">
      <c r="A1835" t="s">
        <v>1834</v>
      </c>
      <c r="B1835">
        <f>32.2489711328572*(1-0.8198)</f>
        <v>5.8112645981408591</v>
      </c>
      <c r="C1835" s="1">
        <v>17</v>
      </c>
    </row>
    <row r="1836" spans="1:3" x14ac:dyDescent="0.3">
      <c r="A1836" t="s">
        <v>1835</v>
      </c>
      <c r="B1836">
        <f>25.1669644428571*(1-0.8198)</f>
        <v>4.5350869926028574</v>
      </c>
      <c r="C1836" s="1">
        <v>14</v>
      </c>
    </row>
    <row r="1837" spans="1:3" x14ac:dyDescent="0.3">
      <c r="A1837" t="s">
        <v>1836</v>
      </c>
      <c r="B1837">
        <f>13.3945*(1-0.8198)</f>
        <v>2.4136889000000004</v>
      </c>
      <c r="C1837" s="1">
        <v>14</v>
      </c>
    </row>
    <row r="1838" spans="1:3" x14ac:dyDescent="0.3">
      <c r="A1838" t="s">
        <v>1837</v>
      </c>
      <c r="B1838">
        <f>30.19833197*(1-0.8198)</f>
        <v>5.4417394209940015</v>
      </c>
      <c r="C1838" s="1">
        <v>13</v>
      </c>
    </row>
    <row r="1839" spans="1:3" x14ac:dyDescent="0.3">
      <c r="A1839" t="s">
        <v>1838</v>
      </c>
      <c r="B1839">
        <f>46.9069815357143*(1-0.8198)</f>
        <v>8.4526380727357164</v>
      </c>
      <c r="C1839" s="1">
        <v>13</v>
      </c>
    </row>
    <row r="1840" spans="1:3" x14ac:dyDescent="0.3">
      <c r="A1840" t="s">
        <v>1839</v>
      </c>
      <c r="B1840">
        <f>30.6766083771429*(1-0.8198)</f>
        <v>5.5279248295611438</v>
      </c>
      <c r="C1840" s="1">
        <v>12</v>
      </c>
    </row>
    <row r="1841" spans="1:3" x14ac:dyDescent="0.3">
      <c r="A1841" t="s">
        <v>1840</v>
      </c>
      <c r="B1841">
        <f>30.09506833*(1-0.8198)</f>
        <v>5.4231313130660013</v>
      </c>
      <c r="C1841" s="1">
        <v>10</v>
      </c>
    </row>
    <row r="1842" spans="1:3" x14ac:dyDescent="0.3">
      <c r="A1842" t="s">
        <v>1841</v>
      </c>
      <c r="B1842">
        <f>18.4939450657143*(1-0.8198)</f>
        <v>3.3326089008417155</v>
      </c>
      <c r="C1842" s="1">
        <v>8</v>
      </c>
    </row>
    <row r="1843" spans="1:3" x14ac:dyDescent="0.3">
      <c r="A1843" t="s">
        <v>1842</v>
      </c>
      <c r="B1843">
        <f>4.87109755857143*(1-0.8198)</f>
        <v>0.87777178005457157</v>
      </c>
      <c r="C1843" s="1">
        <v>7</v>
      </c>
    </row>
    <row r="1844" spans="1:3" x14ac:dyDescent="0.3">
      <c r="A1844" t="s">
        <v>1843</v>
      </c>
      <c r="B1844">
        <f>0*(1-0.8198)</f>
        <v>0</v>
      </c>
      <c r="C1844" s="1">
        <v>6</v>
      </c>
    </row>
    <row r="1845" spans="1:3" x14ac:dyDescent="0.3">
      <c r="A1845" t="s">
        <v>1844</v>
      </c>
      <c r="B1845">
        <f>0*(1-0.8198)</f>
        <v>0</v>
      </c>
      <c r="C1845" s="1">
        <v>9</v>
      </c>
    </row>
    <row r="1846" spans="1:3" x14ac:dyDescent="0.3">
      <c r="A1846" t="s">
        <v>1845</v>
      </c>
      <c r="B1846">
        <f>0*(1-0.8198)</f>
        <v>0</v>
      </c>
      <c r="C1846" s="1">
        <v>8</v>
      </c>
    </row>
    <row r="1847" spans="1:3" x14ac:dyDescent="0.3">
      <c r="A1847" t="s">
        <v>1846</v>
      </c>
      <c r="B1847">
        <f>0*(1-0.8198)</f>
        <v>0</v>
      </c>
      <c r="C1847" s="1">
        <v>6</v>
      </c>
    </row>
    <row r="1848" spans="1:3" x14ac:dyDescent="0.3">
      <c r="A1848" t="s">
        <v>1847</v>
      </c>
      <c r="B1848">
        <f>0*(1-0.8198)</f>
        <v>0</v>
      </c>
      <c r="C1848" s="1">
        <v>5</v>
      </c>
    </row>
    <row r="1849" spans="1:3" x14ac:dyDescent="0.3">
      <c r="A1849" t="s">
        <v>1848</v>
      </c>
      <c r="B1849">
        <f>0*(1-0.8198)</f>
        <v>0</v>
      </c>
      <c r="C1849" s="1">
        <v>4</v>
      </c>
    </row>
    <row r="1850" spans="1:3" x14ac:dyDescent="0.3">
      <c r="A1850" t="s">
        <v>1849</v>
      </c>
      <c r="B1850">
        <f>0*(1-0.8198)</f>
        <v>0</v>
      </c>
      <c r="C1850" s="1">
        <v>3</v>
      </c>
    </row>
    <row r="1851" spans="1:3" x14ac:dyDescent="0.3">
      <c r="A1851" t="s">
        <v>1850</v>
      </c>
      <c r="B1851">
        <f>0*(1-0.8198)</f>
        <v>0</v>
      </c>
      <c r="C1851" s="1">
        <v>3</v>
      </c>
    </row>
    <row r="1852" spans="1:3" x14ac:dyDescent="0.3">
      <c r="A1852" t="s">
        <v>1851</v>
      </c>
      <c r="B1852">
        <f>0*(1-0.8198)</f>
        <v>0</v>
      </c>
      <c r="C1852" s="1">
        <v>2</v>
      </c>
    </row>
    <row r="1853" spans="1:3" x14ac:dyDescent="0.3">
      <c r="A1853" t="s">
        <v>1852</v>
      </c>
      <c r="B1853">
        <f>0*(1-0.8198)</f>
        <v>0</v>
      </c>
      <c r="C1853" s="1">
        <v>3</v>
      </c>
    </row>
    <row r="1854" spans="1:3" x14ac:dyDescent="0.3">
      <c r="A1854" t="s">
        <v>1853</v>
      </c>
      <c r="B1854">
        <f>0*(1-0.8198)</f>
        <v>0</v>
      </c>
      <c r="C1854" s="1">
        <v>2</v>
      </c>
    </row>
    <row r="1855" spans="1:3" x14ac:dyDescent="0.3">
      <c r="A1855" t="s">
        <v>1854</v>
      </c>
      <c r="B1855">
        <f>0*(1-0.8198)</f>
        <v>0</v>
      </c>
      <c r="C1855" s="1">
        <v>3</v>
      </c>
    </row>
    <row r="1856" spans="1:3" x14ac:dyDescent="0.3">
      <c r="A1856" t="s">
        <v>1855</v>
      </c>
      <c r="B1856">
        <f>0*(1-0.8198)</f>
        <v>0</v>
      </c>
      <c r="C1856" s="1">
        <v>3</v>
      </c>
    </row>
    <row r="1857" spans="1:3" x14ac:dyDescent="0.3">
      <c r="A1857" t="s">
        <v>1856</v>
      </c>
      <c r="B1857">
        <f>4.27298316142857*(1-0.8198)</f>
        <v>0.76999156568942861</v>
      </c>
      <c r="C1857" s="1">
        <v>9</v>
      </c>
    </row>
    <row r="1858" spans="1:3" x14ac:dyDescent="0.3">
      <c r="A1858" t="s">
        <v>1857</v>
      </c>
      <c r="B1858">
        <f>10.1857863114286*(1-0.8198)</f>
        <v>1.8354786933194289</v>
      </c>
      <c r="C1858" s="1">
        <v>15</v>
      </c>
    </row>
    <row r="1859" spans="1:3" x14ac:dyDescent="0.3">
      <c r="A1859" t="s">
        <v>1858</v>
      </c>
      <c r="B1859">
        <f>35.1844857957143*(1-0.8198)</f>
        <v>6.3402443403877156</v>
      </c>
      <c r="C1859" s="1">
        <v>18</v>
      </c>
    </row>
    <row r="1860" spans="1:3" x14ac:dyDescent="0.3">
      <c r="A1860" t="s">
        <v>1859</v>
      </c>
      <c r="B1860">
        <f>44.2303449328572*(1-0.8198)</f>
        <v>7.9703081569008596</v>
      </c>
      <c r="C1860" s="1">
        <v>16</v>
      </c>
    </row>
    <row r="1861" spans="1:3" x14ac:dyDescent="0.3">
      <c r="A1861" t="s">
        <v>1860</v>
      </c>
      <c r="B1861">
        <f>53.12999805*(1-0.8198)</f>
        <v>9.5740256486100019</v>
      </c>
      <c r="C1861" s="1">
        <v>17</v>
      </c>
    </row>
    <row r="1862" spans="1:3" x14ac:dyDescent="0.3">
      <c r="A1862" t="s">
        <v>1861</v>
      </c>
      <c r="B1862">
        <f>53.2664643242857*(1-0.8198)</f>
        <v>9.5986168712362883</v>
      </c>
      <c r="C1862" s="1">
        <v>13</v>
      </c>
    </row>
    <row r="1863" spans="1:3" x14ac:dyDescent="0.3">
      <c r="A1863" t="s">
        <v>1862</v>
      </c>
      <c r="B1863">
        <f>51.8864860871429*(1-0.8198)</f>
        <v>9.3499447929031447</v>
      </c>
      <c r="C1863" s="1">
        <v>15</v>
      </c>
    </row>
    <row r="1864" spans="1:3" x14ac:dyDescent="0.3">
      <c r="A1864" t="s">
        <v>1863</v>
      </c>
      <c r="B1864">
        <f>43.98299978*(1-0.8198)</f>
        <v>7.9257365603560022</v>
      </c>
      <c r="C1864" s="1">
        <v>11</v>
      </c>
    </row>
    <row r="1865" spans="1:3" x14ac:dyDescent="0.3">
      <c r="A1865" t="s">
        <v>1864</v>
      </c>
      <c r="B1865">
        <f>32.9081216342857*(1-0.8198)</f>
        <v>5.9300435184982865</v>
      </c>
      <c r="C1865" s="1">
        <v>10</v>
      </c>
    </row>
    <row r="1866" spans="1:3" x14ac:dyDescent="0.3">
      <c r="A1866" t="s">
        <v>1865</v>
      </c>
      <c r="B1866">
        <f>18.4741574485714*(1-0.8198)</f>
        <v>3.3290431722325722</v>
      </c>
      <c r="C1866" s="1">
        <v>10</v>
      </c>
    </row>
    <row r="1867" spans="1:3" x14ac:dyDescent="0.3">
      <c r="A1867" t="s">
        <v>1866</v>
      </c>
      <c r="B1867">
        <f>4.95910135857143*(1-0.8198)</f>
        <v>0.89363006481457163</v>
      </c>
      <c r="C1867" s="1">
        <v>7</v>
      </c>
    </row>
    <row r="1868" spans="1:3" x14ac:dyDescent="0.3">
      <c r="A1868" t="s">
        <v>1867</v>
      </c>
      <c r="B1868">
        <f>0*(1-0.8198)</f>
        <v>0</v>
      </c>
      <c r="C1868" s="1">
        <v>6</v>
      </c>
    </row>
    <row r="1869" spans="1:3" x14ac:dyDescent="0.3">
      <c r="A1869" t="s">
        <v>1868</v>
      </c>
      <c r="B1869">
        <f>0*(1-0.8198)</f>
        <v>0</v>
      </c>
      <c r="C1869" s="1">
        <v>9</v>
      </c>
    </row>
    <row r="1870" spans="1:3" x14ac:dyDescent="0.3">
      <c r="A1870" t="s">
        <v>1869</v>
      </c>
      <c r="B1870">
        <f>0*(1-0.8198)</f>
        <v>0</v>
      </c>
      <c r="C1870" s="1">
        <v>6</v>
      </c>
    </row>
    <row r="1871" spans="1:3" x14ac:dyDescent="0.3">
      <c r="A1871" t="s">
        <v>1870</v>
      </c>
      <c r="B1871">
        <f>0*(1-0.8198)</f>
        <v>0</v>
      </c>
      <c r="C1871" s="1">
        <v>5</v>
      </c>
    </row>
    <row r="1872" spans="1:3" x14ac:dyDescent="0.3">
      <c r="A1872" t="s">
        <v>1871</v>
      </c>
      <c r="B1872">
        <f>0*(1-0.8198)</f>
        <v>0</v>
      </c>
      <c r="C1872" s="1">
        <v>5</v>
      </c>
    </row>
    <row r="1873" spans="1:3" x14ac:dyDescent="0.3">
      <c r="A1873" t="s">
        <v>1872</v>
      </c>
      <c r="B1873">
        <f>0*(1-0.8198)</f>
        <v>0</v>
      </c>
      <c r="C1873" s="1">
        <v>5</v>
      </c>
    </row>
    <row r="1874" spans="1:3" x14ac:dyDescent="0.3">
      <c r="A1874" t="s">
        <v>1873</v>
      </c>
      <c r="B1874">
        <f>0*(1-0.8198)</f>
        <v>0</v>
      </c>
      <c r="C1874" s="1">
        <v>3</v>
      </c>
    </row>
    <row r="1875" spans="1:3" x14ac:dyDescent="0.3">
      <c r="A1875" t="s">
        <v>1874</v>
      </c>
      <c r="B1875">
        <f>0*(1-0.8198)</f>
        <v>0</v>
      </c>
      <c r="C1875" s="1">
        <v>3</v>
      </c>
    </row>
    <row r="1876" spans="1:3" x14ac:dyDescent="0.3">
      <c r="A1876" t="s">
        <v>1875</v>
      </c>
      <c r="B1876">
        <f>0*(1-0.8198)</f>
        <v>0</v>
      </c>
      <c r="C1876" s="1">
        <v>2</v>
      </c>
    </row>
    <row r="1877" spans="1:3" x14ac:dyDescent="0.3">
      <c r="A1877" t="s">
        <v>1876</v>
      </c>
      <c r="B1877">
        <f>0*(1-0.8198)</f>
        <v>0</v>
      </c>
      <c r="C1877" s="1">
        <v>3</v>
      </c>
    </row>
    <row r="1878" spans="1:3" x14ac:dyDescent="0.3">
      <c r="A1878" t="s">
        <v>1877</v>
      </c>
      <c r="B1878">
        <f>0*(1-0.8198)</f>
        <v>0</v>
      </c>
      <c r="C1878" s="1">
        <v>3</v>
      </c>
    </row>
    <row r="1879" spans="1:3" x14ac:dyDescent="0.3">
      <c r="A1879" t="s">
        <v>1878</v>
      </c>
      <c r="B1879">
        <f>0*(1-0.8198)</f>
        <v>0</v>
      </c>
      <c r="C1879" s="1">
        <v>2</v>
      </c>
    </row>
    <row r="1880" spans="1:3" x14ac:dyDescent="0.3">
      <c r="A1880" t="s">
        <v>1879</v>
      </c>
      <c r="B1880">
        <f>0*(1-0.8198)</f>
        <v>0</v>
      </c>
      <c r="C1880" s="1">
        <v>3</v>
      </c>
    </row>
    <row r="1881" spans="1:3" x14ac:dyDescent="0.3">
      <c r="A1881" t="s">
        <v>1880</v>
      </c>
      <c r="B1881">
        <f>12.9870553428571*(1-0.8198)</f>
        <v>2.3402673727828578</v>
      </c>
      <c r="C1881" s="1">
        <v>10</v>
      </c>
    </row>
    <row r="1882" spans="1:3" x14ac:dyDescent="0.3">
      <c r="A1882" t="s">
        <v>1881</v>
      </c>
      <c r="B1882">
        <f>28.3124314585714*(1-0.8198)</f>
        <v>5.1019001488345737</v>
      </c>
      <c r="C1882" s="1">
        <v>14</v>
      </c>
    </row>
    <row r="1883" spans="1:3" x14ac:dyDescent="0.3">
      <c r="A1883" t="s">
        <v>1882</v>
      </c>
      <c r="B1883">
        <f>40.7180172128571*(1-0.8198)</f>
        <v>7.3373867017568584</v>
      </c>
      <c r="C1883" s="1">
        <v>18</v>
      </c>
    </row>
    <row r="1884" spans="1:3" x14ac:dyDescent="0.3">
      <c r="A1884" t="s">
        <v>1883</v>
      </c>
      <c r="B1884">
        <f>49.5088352414286*(1-0.8198)</f>
        <v>8.9214921105054312</v>
      </c>
      <c r="C1884" s="1">
        <v>14</v>
      </c>
    </row>
    <row r="1885" spans="1:3" x14ac:dyDescent="0.3">
      <c r="A1885" t="s">
        <v>1884</v>
      </c>
      <c r="B1885">
        <f>54.8158658171429*(1-0.8198)</f>
        <v>9.8778190202491452</v>
      </c>
      <c r="C1885" s="1">
        <v>15</v>
      </c>
    </row>
    <row r="1886" spans="1:3" x14ac:dyDescent="0.3">
      <c r="A1886" t="s">
        <v>1885</v>
      </c>
      <c r="B1886">
        <f>56.2641001042857*(1-0.8198)</f>
        <v>10.138790838792287</v>
      </c>
      <c r="C1886" s="1">
        <v>17</v>
      </c>
    </row>
    <row r="1887" spans="1:3" x14ac:dyDescent="0.3">
      <c r="A1887" t="s">
        <v>1886</v>
      </c>
      <c r="B1887">
        <f>52.43954189*(1-0.8198)</f>
        <v>9.4496054485780032</v>
      </c>
      <c r="C1887" s="1">
        <v>15</v>
      </c>
    </row>
    <row r="1888" spans="1:3" x14ac:dyDescent="0.3">
      <c r="A1888" t="s">
        <v>1887</v>
      </c>
      <c r="B1888">
        <f>43.8210529957143*(1-0.8198)</f>
        <v>7.8965537498277145</v>
      </c>
      <c r="C1888" s="1">
        <v>11</v>
      </c>
    </row>
    <row r="1889" spans="1:3" x14ac:dyDescent="0.3">
      <c r="A1889" t="s">
        <v>1888</v>
      </c>
      <c r="B1889">
        <f>31.2977803571429*(1-0.8198)</f>
        <v>5.6398600203571441</v>
      </c>
      <c r="C1889" s="1">
        <v>10</v>
      </c>
    </row>
    <row r="1890" spans="1:3" x14ac:dyDescent="0.3">
      <c r="A1890" t="s">
        <v>1889</v>
      </c>
      <c r="B1890">
        <f>17.6890770857143*(1-0.8198)</f>
        <v>3.187571690845715</v>
      </c>
      <c r="C1890" s="1">
        <v>9</v>
      </c>
    </row>
    <row r="1891" spans="1:3" x14ac:dyDescent="0.3">
      <c r="A1891" t="s">
        <v>1890</v>
      </c>
      <c r="B1891">
        <f>4.91596216142857*(1-0.8198)</f>
        <v>0.88585638148942869</v>
      </c>
      <c r="C1891" s="1">
        <v>6</v>
      </c>
    </row>
    <row r="1892" spans="1:3" x14ac:dyDescent="0.3">
      <c r="A1892" t="s">
        <v>1891</v>
      </c>
      <c r="B1892">
        <f>0*(1-0.8198)</f>
        <v>0</v>
      </c>
      <c r="C1892" s="1">
        <v>6</v>
      </c>
    </row>
    <row r="1893" spans="1:3" x14ac:dyDescent="0.3">
      <c r="A1893" t="s">
        <v>1892</v>
      </c>
      <c r="B1893">
        <f>0*(1-0.8198)</f>
        <v>0</v>
      </c>
      <c r="C1893" s="1">
        <v>9</v>
      </c>
    </row>
    <row r="1894" spans="1:3" x14ac:dyDescent="0.3">
      <c r="A1894" t="s">
        <v>1893</v>
      </c>
      <c r="B1894">
        <f>0*(1-0.8198)</f>
        <v>0</v>
      </c>
      <c r="C1894" s="1">
        <v>8</v>
      </c>
    </row>
    <row r="1895" spans="1:3" x14ac:dyDescent="0.3">
      <c r="A1895" t="s">
        <v>1894</v>
      </c>
      <c r="B1895">
        <f>0*(1-0.8198)</f>
        <v>0</v>
      </c>
      <c r="C1895" s="1">
        <v>5</v>
      </c>
    </row>
    <row r="1896" spans="1:3" x14ac:dyDescent="0.3">
      <c r="A1896" t="s">
        <v>1895</v>
      </c>
      <c r="B1896">
        <f>0*(1-0.8198)</f>
        <v>0</v>
      </c>
      <c r="C1896" s="1">
        <v>6</v>
      </c>
    </row>
    <row r="1897" spans="1:3" x14ac:dyDescent="0.3">
      <c r="A1897" t="s">
        <v>1896</v>
      </c>
      <c r="B1897">
        <f>0*(1-0.8198)</f>
        <v>0</v>
      </c>
      <c r="C1897" s="1">
        <v>4</v>
      </c>
    </row>
    <row r="1898" spans="1:3" x14ac:dyDescent="0.3">
      <c r="A1898" t="s">
        <v>1897</v>
      </c>
      <c r="B1898">
        <f>0*(1-0.8198)</f>
        <v>0</v>
      </c>
      <c r="C1898" s="1">
        <v>3</v>
      </c>
    </row>
    <row r="1899" spans="1:3" x14ac:dyDescent="0.3">
      <c r="A1899" t="s">
        <v>1898</v>
      </c>
      <c r="B1899">
        <f>0*(1-0.8198)</f>
        <v>0</v>
      </c>
      <c r="C1899" s="1">
        <v>3</v>
      </c>
    </row>
    <row r="1900" spans="1:3" x14ac:dyDescent="0.3">
      <c r="A1900" t="s">
        <v>1899</v>
      </c>
      <c r="B1900">
        <f>0*(1-0.8198)</f>
        <v>0</v>
      </c>
      <c r="C1900" s="1">
        <v>3</v>
      </c>
    </row>
    <row r="1901" spans="1:3" x14ac:dyDescent="0.3">
      <c r="A1901" t="s">
        <v>1900</v>
      </c>
      <c r="B1901">
        <f>0*(1-0.8198)</f>
        <v>0</v>
      </c>
      <c r="C1901" s="1">
        <v>3</v>
      </c>
    </row>
    <row r="1902" spans="1:3" x14ac:dyDescent="0.3">
      <c r="A1902" t="s">
        <v>1901</v>
      </c>
      <c r="B1902">
        <f>0*(1-0.8198)</f>
        <v>0</v>
      </c>
      <c r="C1902" s="1">
        <v>2</v>
      </c>
    </row>
    <row r="1903" spans="1:3" x14ac:dyDescent="0.3">
      <c r="A1903" t="s">
        <v>1902</v>
      </c>
      <c r="B1903">
        <f>0*(1-0.8198)</f>
        <v>0</v>
      </c>
      <c r="C1903" s="1">
        <v>3</v>
      </c>
    </row>
    <row r="1904" spans="1:3" x14ac:dyDescent="0.3">
      <c r="A1904" t="s">
        <v>1903</v>
      </c>
      <c r="B1904">
        <f>0.00946*(1-0.8198)</f>
        <v>1.7046920000000003E-3</v>
      </c>
      <c r="C1904" s="1">
        <v>3</v>
      </c>
    </row>
    <row r="1905" spans="1:3" x14ac:dyDescent="0.3">
      <c r="A1905" t="s">
        <v>1904</v>
      </c>
      <c r="B1905">
        <f>0*(1-0.8198)</f>
        <v>0</v>
      </c>
      <c r="C1905" s="1">
        <v>9</v>
      </c>
    </row>
    <row r="1906" spans="1:3" x14ac:dyDescent="0.3">
      <c r="A1906" t="s">
        <v>1905</v>
      </c>
      <c r="B1906">
        <f>0*(1-0.8198)</f>
        <v>0</v>
      </c>
      <c r="C1906" s="1">
        <v>14</v>
      </c>
    </row>
    <row r="1907" spans="1:3" x14ac:dyDescent="0.3">
      <c r="A1907" t="s">
        <v>1906</v>
      </c>
      <c r="B1907">
        <f>40.1472822057143*(1-0.8198)</f>
        <v>7.2345402534697154</v>
      </c>
      <c r="C1907" s="1">
        <v>15</v>
      </c>
    </row>
    <row r="1908" spans="1:3" x14ac:dyDescent="0.3">
      <c r="A1908" t="s">
        <v>1907</v>
      </c>
      <c r="B1908">
        <f>45.7561383814286*(1-0.8198)</f>
        <v>8.2452561363334329</v>
      </c>
      <c r="C1908" s="1">
        <v>12</v>
      </c>
    </row>
    <row r="1909" spans="1:3" x14ac:dyDescent="0.3">
      <c r="A1909" t="s">
        <v>1908</v>
      </c>
      <c r="B1909">
        <f>48.5596706257143*(1-0.8198)</f>
        <v>8.7504526467537147</v>
      </c>
      <c r="C1909" s="1">
        <v>19</v>
      </c>
    </row>
    <row r="1910" spans="1:3" x14ac:dyDescent="0.3">
      <c r="A1910" t="s">
        <v>1909</v>
      </c>
      <c r="B1910">
        <f>52.4792679314286*(1-0.8198)</f>
        <v>9.4567640812434295</v>
      </c>
      <c r="C1910" s="1">
        <v>14</v>
      </c>
    </row>
    <row r="1911" spans="1:3" x14ac:dyDescent="0.3">
      <c r="A1911" t="s">
        <v>1910</v>
      </c>
      <c r="B1911">
        <f>45.5832617342857*(1-0.8198)</f>
        <v>8.2141037645182884</v>
      </c>
      <c r="C1911" s="1">
        <v>16</v>
      </c>
    </row>
    <row r="1912" spans="1:3" x14ac:dyDescent="0.3">
      <c r="A1912" t="s">
        <v>1911</v>
      </c>
      <c r="B1912">
        <f>34.5444500842857*(1-0.8198)</f>
        <v>6.2249099051882864</v>
      </c>
      <c r="C1912" s="1">
        <v>13</v>
      </c>
    </row>
    <row r="1913" spans="1:3" x14ac:dyDescent="0.3">
      <c r="A1913" t="s">
        <v>1912</v>
      </c>
      <c r="B1913">
        <f>29.0951654957143*(1-0.8198)</f>
        <v>5.2429488223277145</v>
      </c>
      <c r="C1913" s="1">
        <v>9</v>
      </c>
    </row>
    <row r="1914" spans="1:3" x14ac:dyDescent="0.3">
      <c r="A1914" t="s">
        <v>1913</v>
      </c>
      <c r="B1914">
        <f>19.2319480457143*(1-0.8198)</f>
        <v>3.465597037837715</v>
      </c>
      <c r="C1914" s="1">
        <v>8</v>
      </c>
    </row>
    <row r="1915" spans="1:3" x14ac:dyDescent="0.3">
      <c r="A1915" t="s">
        <v>1914</v>
      </c>
      <c r="B1915">
        <f>3.90496311571429*(1-0.8198)</f>
        <v>0.70367435345171436</v>
      </c>
      <c r="C1915" s="1">
        <v>7</v>
      </c>
    </row>
    <row r="1916" spans="1:3" x14ac:dyDescent="0.3">
      <c r="A1916" t="s">
        <v>1915</v>
      </c>
      <c r="B1916">
        <f>0*(1-0.8198)</f>
        <v>0</v>
      </c>
      <c r="C1916" s="1">
        <v>6</v>
      </c>
    </row>
    <row r="1917" spans="1:3" x14ac:dyDescent="0.3">
      <c r="A1917" t="s">
        <v>1916</v>
      </c>
      <c r="B1917">
        <f>0*(1-0.8198)</f>
        <v>0</v>
      </c>
      <c r="C1917" s="1">
        <v>9</v>
      </c>
    </row>
    <row r="1918" spans="1:3" x14ac:dyDescent="0.3">
      <c r="A1918" t="s">
        <v>1917</v>
      </c>
      <c r="B1918">
        <f>0*(1-0.8198)</f>
        <v>0</v>
      </c>
      <c r="C1918" s="1">
        <v>6</v>
      </c>
    </row>
    <row r="1919" spans="1:3" x14ac:dyDescent="0.3">
      <c r="A1919" t="s">
        <v>1918</v>
      </c>
      <c r="B1919">
        <f>0*(1-0.8198)</f>
        <v>0</v>
      </c>
      <c r="C1919" s="1">
        <v>6</v>
      </c>
    </row>
    <row r="1920" spans="1:3" x14ac:dyDescent="0.3">
      <c r="A1920" t="s">
        <v>1919</v>
      </c>
      <c r="B1920">
        <f>0*(1-0.8198)</f>
        <v>0</v>
      </c>
      <c r="C1920" s="1">
        <v>5</v>
      </c>
    </row>
    <row r="1921" spans="1:3" x14ac:dyDescent="0.3">
      <c r="A1921" t="s">
        <v>1920</v>
      </c>
      <c r="B1921">
        <f>0*(1-0.8198)</f>
        <v>0</v>
      </c>
      <c r="C1921" s="1">
        <v>5</v>
      </c>
    </row>
    <row r="1922" spans="1:3" x14ac:dyDescent="0.3">
      <c r="A1922" t="s">
        <v>1921</v>
      </c>
      <c r="B1922">
        <f>0*(1-0.8198)</f>
        <v>0</v>
      </c>
      <c r="C1922" s="1">
        <v>3</v>
      </c>
    </row>
    <row r="1923" spans="1:3" x14ac:dyDescent="0.3">
      <c r="A1923" t="s">
        <v>1922</v>
      </c>
      <c r="B1923">
        <f>0*(1-0.8198)</f>
        <v>0</v>
      </c>
      <c r="C1923" s="1">
        <v>2</v>
      </c>
    </row>
    <row r="1924" spans="1:3" x14ac:dyDescent="0.3">
      <c r="A1924" t="s">
        <v>1923</v>
      </c>
      <c r="B1924">
        <f>0*(1-0.8198)</f>
        <v>0</v>
      </c>
      <c r="C1924" s="1">
        <v>3</v>
      </c>
    </row>
    <row r="1925" spans="1:3" x14ac:dyDescent="0.3">
      <c r="A1925" t="s">
        <v>1924</v>
      </c>
      <c r="B1925">
        <f>0*(1-0.8198)</f>
        <v>0</v>
      </c>
      <c r="C1925" s="1">
        <v>3</v>
      </c>
    </row>
    <row r="1926" spans="1:3" x14ac:dyDescent="0.3">
      <c r="A1926" t="s">
        <v>1925</v>
      </c>
      <c r="B1926">
        <f>0*(1-0.8198)</f>
        <v>0</v>
      </c>
      <c r="C1926" s="1">
        <v>3</v>
      </c>
    </row>
    <row r="1927" spans="1:3" x14ac:dyDescent="0.3">
      <c r="A1927" t="s">
        <v>1926</v>
      </c>
      <c r="B1927">
        <f>0*(1-0.8198)</f>
        <v>0</v>
      </c>
      <c r="C1927" s="1">
        <v>2</v>
      </c>
    </row>
    <row r="1928" spans="1:3" x14ac:dyDescent="0.3">
      <c r="A1928" t="s">
        <v>1927</v>
      </c>
      <c r="B1928">
        <f>0.07912*(1-0.8198)</f>
        <v>1.4257424000000005E-2</v>
      </c>
      <c r="C1928" s="1">
        <v>4</v>
      </c>
    </row>
    <row r="1929" spans="1:3" x14ac:dyDescent="0.3">
      <c r="A1929" t="s">
        <v>1928</v>
      </c>
      <c r="B1929">
        <f>0*(1-0.8198)</f>
        <v>0</v>
      </c>
      <c r="C1929" s="1">
        <v>4</v>
      </c>
    </row>
    <row r="1930" spans="1:3" x14ac:dyDescent="0.3">
      <c r="A1930" t="s">
        <v>1929</v>
      </c>
      <c r="B1930">
        <f>26.7782429357143*(1-0.8198)</f>
        <v>4.8254393770157158</v>
      </c>
      <c r="C1930" s="1">
        <v>6</v>
      </c>
    </row>
    <row r="1931" spans="1:3" x14ac:dyDescent="0.3">
      <c r="A1931" t="s">
        <v>1930</v>
      </c>
      <c r="B1931">
        <f>40.6471025342857*(1-0.8198)</f>
        <v>7.3246078766782885</v>
      </c>
      <c r="C1931" s="1">
        <v>9</v>
      </c>
    </row>
    <row r="1932" spans="1:3" x14ac:dyDescent="0.3">
      <c r="A1932" t="s">
        <v>1931</v>
      </c>
      <c r="B1932">
        <f>49.9002818714286*(1-0.8198)</f>
        <v>8.9920307932314323</v>
      </c>
      <c r="C1932" s="1">
        <v>8</v>
      </c>
    </row>
    <row r="1933" spans="1:3" x14ac:dyDescent="0.3">
      <c r="A1933" t="s">
        <v>1932</v>
      </c>
      <c r="B1933">
        <f>55.18701356*(1-0.8198)</f>
        <v>9.9446998435120015</v>
      </c>
      <c r="C1933" s="1">
        <v>7</v>
      </c>
    </row>
    <row r="1934" spans="1:3" x14ac:dyDescent="0.3">
      <c r="A1934" t="s">
        <v>1933</v>
      </c>
      <c r="B1934">
        <f>58.1746059528571*(1-0.8198)</f>
        <v>10.48306399270486</v>
      </c>
      <c r="C1934" s="1">
        <v>7</v>
      </c>
    </row>
    <row r="1935" spans="1:3" x14ac:dyDescent="0.3">
      <c r="A1935" t="s">
        <v>1934</v>
      </c>
      <c r="B1935">
        <f>53.7104052314286*(1-0.8198)</f>
        <v>9.6786150227034309</v>
      </c>
      <c r="C1935" s="1">
        <v>5</v>
      </c>
    </row>
    <row r="1936" spans="1:3" x14ac:dyDescent="0.3">
      <c r="A1936" t="s">
        <v>1935</v>
      </c>
      <c r="B1936">
        <f>45.5689592585714*(1-0.8198)</f>
        <v>8.2115264583945731</v>
      </c>
      <c r="C1936" s="1">
        <v>4</v>
      </c>
    </row>
    <row r="1937" spans="1:3" x14ac:dyDescent="0.3">
      <c r="A1937" t="s">
        <v>1936</v>
      </c>
      <c r="B1937">
        <f>32.5428314742857*(1-0.8198)</f>
        <v>5.8642182316662863</v>
      </c>
      <c r="C1937" s="1">
        <v>5</v>
      </c>
    </row>
    <row r="1938" spans="1:3" x14ac:dyDescent="0.3">
      <c r="A1938" t="s">
        <v>1937</v>
      </c>
      <c r="B1938">
        <f>19.3434963114286*(1-0.8198)</f>
        <v>3.4856980353194293</v>
      </c>
      <c r="C1938" s="1">
        <v>5</v>
      </c>
    </row>
    <row r="1939" spans="1:3" x14ac:dyDescent="0.3">
      <c r="A1939" t="s">
        <v>1938</v>
      </c>
      <c r="B1939">
        <f>5.05729978285714*(1-0.8198)</f>
        <v>0.91132542087085733</v>
      </c>
      <c r="C1939" s="1">
        <v>5</v>
      </c>
    </row>
    <row r="1940" spans="1:3" x14ac:dyDescent="0.3">
      <c r="A1940" t="s">
        <v>1939</v>
      </c>
      <c r="B1940">
        <f>0*(1-0.8198)</f>
        <v>0</v>
      </c>
      <c r="C1940" s="1">
        <v>5</v>
      </c>
    </row>
    <row r="1941" spans="1:3" x14ac:dyDescent="0.3">
      <c r="A1941" t="s">
        <v>1940</v>
      </c>
      <c r="B1941">
        <f>0*(1-0.8198)</f>
        <v>0</v>
      </c>
      <c r="C1941" s="1">
        <v>5</v>
      </c>
    </row>
    <row r="1942" spans="1:3" x14ac:dyDescent="0.3">
      <c r="A1942" t="s">
        <v>1941</v>
      </c>
      <c r="B1942">
        <f>0*(1-0.8198)</f>
        <v>0</v>
      </c>
      <c r="C1942" s="1">
        <v>6</v>
      </c>
    </row>
    <row r="1943" spans="1:3" x14ac:dyDescent="0.3">
      <c r="A1943" t="s">
        <v>1942</v>
      </c>
      <c r="B1943">
        <f>0*(1-0.8198)</f>
        <v>0</v>
      </c>
      <c r="C1943" s="1">
        <v>4</v>
      </c>
    </row>
    <row r="1944" spans="1:3" x14ac:dyDescent="0.3">
      <c r="A1944" t="s">
        <v>1943</v>
      </c>
      <c r="B1944">
        <f>0*(1-0.8198)</f>
        <v>0</v>
      </c>
      <c r="C1944" s="1">
        <v>6</v>
      </c>
    </row>
    <row r="1945" spans="1:3" x14ac:dyDescent="0.3">
      <c r="A1945" t="s">
        <v>1944</v>
      </c>
      <c r="B1945">
        <f>0*(1-0.8198)</f>
        <v>0</v>
      </c>
      <c r="C1945" s="1">
        <v>4</v>
      </c>
    </row>
    <row r="1946" spans="1:3" x14ac:dyDescent="0.3">
      <c r="A1946" t="s">
        <v>1945</v>
      </c>
      <c r="B1946">
        <f>0*(1-0.8198)</f>
        <v>0</v>
      </c>
      <c r="C1946" s="1">
        <v>3</v>
      </c>
    </row>
    <row r="1947" spans="1:3" x14ac:dyDescent="0.3">
      <c r="A1947" t="s">
        <v>1946</v>
      </c>
      <c r="B1947">
        <f>0*(1-0.8198)</f>
        <v>0</v>
      </c>
      <c r="C1947" s="1">
        <v>2</v>
      </c>
    </row>
    <row r="1948" spans="1:3" x14ac:dyDescent="0.3">
      <c r="A1948" t="s">
        <v>1947</v>
      </c>
      <c r="B1948">
        <f>0*(1-0.8198)</f>
        <v>0</v>
      </c>
      <c r="C1948" s="1">
        <v>3</v>
      </c>
    </row>
    <row r="1949" spans="1:3" x14ac:dyDescent="0.3">
      <c r="A1949" t="s">
        <v>1948</v>
      </c>
      <c r="B1949">
        <f>0*(1-0.8198)</f>
        <v>0</v>
      </c>
      <c r="C1949" s="1">
        <v>2</v>
      </c>
    </row>
    <row r="1950" spans="1:3" x14ac:dyDescent="0.3">
      <c r="A1950" t="s">
        <v>1949</v>
      </c>
      <c r="B1950">
        <f>0*(1-0.8198)</f>
        <v>0</v>
      </c>
      <c r="C1950" s="1">
        <v>3</v>
      </c>
    </row>
    <row r="1951" spans="1:3" x14ac:dyDescent="0.3">
      <c r="A1951" t="s">
        <v>1950</v>
      </c>
      <c r="B1951">
        <f>0*(1-0.8198)</f>
        <v>0</v>
      </c>
      <c r="C1951" s="1">
        <v>3</v>
      </c>
    </row>
    <row r="1952" spans="1:3" x14ac:dyDescent="0.3">
      <c r="A1952" t="s">
        <v>1951</v>
      </c>
      <c r="B1952">
        <f>0.20296*(1-0.8198)</f>
        <v>3.6573392000000003E-2</v>
      </c>
      <c r="C1952" s="1">
        <v>2</v>
      </c>
    </row>
    <row r="1953" spans="1:3" x14ac:dyDescent="0.3">
      <c r="A1953" t="s">
        <v>1952</v>
      </c>
      <c r="B1953">
        <f>13.2077554228571*(1-0.8198)</f>
        <v>2.3800375271988576</v>
      </c>
      <c r="C1953" s="1">
        <v>3</v>
      </c>
    </row>
    <row r="1954" spans="1:3" x14ac:dyDescent="0.3">
      <c r="A1954" t="s">
        <v>1953</v>
      </c>
      <c r="B1954">
        <f>27.5626512085714*(1-0.8198)</f>
        <v>4.9667897477845733</v>
      </c>
      <c r="C1954" s="1">
        <v>3</v>
      </c>
    </row>
    <row r="1955" spans="1:3" x14ac:dyDescent="0.3">
      <c r="A1955" t="s">
        <v>1954</v>
      </c>
      <c r="B1955">
        <f>39.7494574471429*(1-0.8198)</f>
        <v>7.162852231975144</v>
      </c>
      <c r="C1955" s="1">
        <v>2</v>
      </c>
    </row>
    <row r="1956" spans="1:3" x14ac:dyDescent="0.3">
      <c r="A1956" t="s">
        <v>1955</v>
      </c>
      <c r="B1956">
        <f>49.9842468042857*(1-0.8198)</f>
        <v>9.0071612741322884</v>
      </c>
      <c r="C1956" s="1">
        <v>3</v>
      </c>
    </row>
    <row r="1957" spans="1:3" x14ac:dyDescent="0.3">
      <c r="A1957" t="s">
        <v>1956</v>
      </c>
      <c r="B1957">
        <f>55.7996975857143*(1-0.8198)</f>
        <v>10.055105504945718</v>
      </c>
      <c r="C1957" s="1">
        <v>3</v>
      </c>
    </row>
    <row r="1958" spans="1:3" x14ac:dyDescent="0.3">
      <c r="A1958" t="s">
        <v>1957</v>
      </c>
      <c r="B1958">
        <f>58.2421211128572*(1-0.8198)</f>
        <v>10.495230224536861</v>
      </c>
      <c r="C1958" s="1">
        <v>2</v>
      </c>
    </row>
    <row r="1959" spans="1:3" x14ac:dyDescent="0.3">
      <c r="A1959" t="s">
        <v>1958</v>
      </c>
      <c r="B1959">
        <f>52.4034579485714*(1-0.8198)</f>
        <v>9.4431031223325697</v>
      </c>
      <c r="C1959" s="1">
        <v>3</v>
      </c>
    </row>
    <row r="1960" spans="1:3" x14ac:dyDescent="0.3">
      <c r="A1960" t="s">
        <v>1959</v>
      </c>
      <c r="B1960">
        <f>45.4386880557143*(1-0.8198)</f>
        <v>8.188051587639718</v>
      </c>
      <c r="C1960" s="1">
        <v>3</v>
      </c>
    </row>
    <row r="1961" spans="1:3" x14ac:dyDescent="0.3">
      <c r="A1961" t="s">
        <v>1960</v>
      </c>
      <c r="B1961">
        <f>33.3128636185714*(1-0.8198)</f>
        <v>6.0029780240665733</v>
      </c>
      <c r="C1961" s="1">
        <v>2</v>
      </c>
    </row>
    <row r="1962" spans="1:3" x14ac:dyDescent="0.3">
      <c r="A1962" t="s">
        <v>1961</v>
      </c>
      <c r="B1962">
        <f>19.6478744528571*(1-0.8198)</f>
        <v>3.5405469764048583</v>
      </c>
      <c r="C1962" s="1">
        <v>3</v>
      </c>
    </row>
    <row r="1963" spans="1:3" x14ac:dyDescent="0.3">
      <c r="A1963" t="s">
        <v>1962</v>
      </c>
      <c r="B1963">
        <f>5.75704719857143*(1-0.8198)</f>
        <v>1.0374199051825714</v>
      </c>
      <c r="C1963" s="1">
        <v>3</v>
      </c>
    </row>
    <row r="1964" spans="1:3" x14ac:dyDescent="0.3">
      <c r="A1964" t="s">
        <v>1963</v>
      </c>
      <c r="B1964">
        <f>0*(1-0.8198)</f>
        <v>0</v>
      </c>
      <c r="C1964" s="1">
        <v>2</v>
      </c>
    </row>
    <row r="1965" spans="1:3" x14ac:dyDescent="0.3">
      <c r="A1965" t="s">
        <v>1964</v>
      </c>
      <c r="B1965">
        <f>0*(1-0.8198)</f>
        <v>0</v>
      </c>
      <c r="C1965" s="1">
        <v>3</v>
      </c>
    </row>
    <row r="1966" spans="1:3" x14ac:dyDescent="0.3">
      <c r="A1966" t="s">
        <v>1965</v>
      </c>
      <c r="B1966">
        <f>0*(1-0.8198)</f>
        <v>0</v>
      </c>
      <c r="C1966" s="1">
        <v>2</v>
      </c>
    </row>
    <row r="1967" spans="1:3" x14ac:dyDescent="0.3">
      <c r="A1967" t="s">
        <v>1966</v>
      </c>
      <c r="B1967">
        <f>0*(1-0.8198)</f>
        <v>0</v>
      </c>
      <c r="C1967" s="1">
        <v>3</v>
      </c>
    </row>
    <row r="1968" spans="1:3" x14ac:dyDescent="0.3">
      <c r="A1968" t="s">
        <v>1967</v>
      </c>
      <c r="B1968">
        <f>0*(1-0.8198)</f>
        <v>0</v>
      </c>
      <c r="C1968" s="1">
        <v>3</v>
      </c>
    </row>
    <row r="1969" spans="1:3" x14ac:dyDescent="0.3">
      <c r="A1969" t="s">
        <v>1968</v>
      </c>
      <c r="B1969">
        <f>0*(1-0.8198)</f>
        <v>0</v>
      </c>
      <c r="C1969" s="1">
        <v>2</v>
      </c>
    </row>
    <row r="1970" spans="1:3" x14ac:dyDescent="0.3">
      <c r="A1970" t="s">
        <v>1969</v>
      </c>
      <c r="B1970">
        <f>0*(1-0.8198)</f>
        <v>0</v>
      </c>
      <c r="C1970" s="1">
        <v>3</v>
      </c>
    </row>
    <row r="1971" spans="1:3" x14ac:dyDescent="0.3">
      <c r="A1971" t="s">
        <v>1970</v>
      </c>
      <c r="B1971">
        <f>0*(1-0.8198)</f>
        <v>0</v>
      </c>
      <c r="C1971" s="1">
        <v>3</v>
      </c>
    </row>
    <row r="1972" spans="1:3" x14ac:dyDescent="0.3">
      <c r="A1972" t="s">
        <v>1971</v>
      </c>
      <c r="B1972">
        <f>0*(1-0.8198)</f>
        <v>0</v>
      </c>
      <c r="C1972" s="1">
        <v>3</v>
      </c>
    </row>
    <row r="1973" spans="1:3" x14ac:dyDescent="0.3">
      <c r="A1973" t="s">
        <v>1972</v>
      </c>
      <c r="B1973">
        <f>0*(1-0.8198)</f>
        <v>0</v>
      </c>
      <c r="C1973" s="1">
        <v>2</v>
      </c>
    </row>
    <row r="1974" spans="1:3" x14ac:dyDescent="0.3">
      <c r="A1974" t="s">
        <v>1973</v>
      </c>
      <c r="B1974">
        <f>0*(1-0.8198)</f>
        <v>0</v>
      </c>
      <c r="C1974" s="1">
        <v>3</v>
      </c>
    </row>
    <row r="1975" spans="1:3" x14ac:dyDescent="0.3">
      <c r="A1975" t="s">
        <v>1974</v>
      </c>
      <c r="B1975">
        <f>0*(1-0.8198)</f>
        <v>0</v>
      </c>
      <c r="C1975" s="1">
        <v>2</v>
      </c>
    </row>
    <row r="1976" spans="1:3" x14ac:dyDescent="0.3">
      <c r="A1976" t="s">
        <v>1975</v>
      </c>
      <c r="B1976">
        <f>0.07998*(1-0.8198)</f>
        <v>1.4412396000000004E-2</v>
      </c>
      <c r="C1976" s="1">
        <v>3</v>
      </c>
    </row>
    <row r="1977" spans="1:3" x14ac:dyDescent="0.3">
      <c r="A1977" t="s">
        <v>1976</v>
      </c>
      <c r="B1977">
        <f>14.03506885*(1-0.8198)</f>
        <v>2.5291194067700009</v>
      </c>
      <c r="C1977" s="1">
        <v>2</v>
      </c>
    </row>
    <row r="1978" spans="1:3" x14ac:dyDescent="0.3">
      <c r="A1978" t="s">
        <v>1977</v>
      </c>
      <c r="B1978">
        <f>28.7447468857143*(1-0.8198)</f>
        <v>5.1798033888057153</v>
      </c>
      <c r="C1978" s="1">
        <v>3</v>
      </c>
    </row>
    <row r="1979" spans="1:3" x14ac:dyDescent="0.3">
      <c r="A1979" t="s">
        <v>1978</v>
      </c>
      <c r="B1979">
        <f>33.4182815585714*(1-0.8198)</f>
        <v>6.0219743368545737</v>
      </c>
      <c r="C1979" s="1">
        <v>3</v>
      </c>
    </row>
    <row r="1980" spans="1:3" x14ac:dyDescent="0.3">
      <c r="A1980" t="s">
        <v>1979</v>
      </c>
      <c r="B1980">
        <f>49.6294055214286*(1-0.8198)</f>
        <v>8.9432188749614294</v>
      </c>
      <c r="C1980" s="1">
        <v>2</v>
      </c>
    </row>
    <row r="1981" spans="1:3" x14ac:dyDescent="0.3">
      <c r="A1981" t="s">
        <v>1980</v>
      </c>
      <c r="B1981">
        <f>40.2376165442857*(1-0.8198)</f>
        <v>7.2508185012802864</v>
      </c>
      <c r="C1981" s="1">
        <v>3</v>
      </c>
    </row>
    <row r="1982" spans="1:3" x14ac:dyDescent="0.3">
      <c r="A1982" t="s">
        <v>1981</v>
      </c>
      <c r="B1982">
        <f>50.0356788585714*(1-0.8198)</f>
        <v>9.0164293303145744</v>
      </c>
      <c r="C1982" s="1">
        <v>2</v>
      </c>
    </row>
    <row r="1983" spans="1:3" x14ac:dyDescent="0.3">
      <c r="A1983" t="s">
        <v>1982</v>
      </c>
      <c r="B1983">
        <f>30.9601755628571*(1-0.8198)</f>
        <v>5.5790236364268582</v>
      </c>
      <c r="C1983" s="1">
        <v>3</v>
      </c>
    </row>
    <row r="1984" spans="1:3" x14ac:dyDescent="0.3">
      <c r="A1984" t="s">
        <v>1983</v>
      </c>
      <c r="B1984">
        <f>17.4876707371429*(1-0.8198)</f>
        <v>3.151278266833144</v>
      </c>
      <c r="C1984" s="1">
        <v>3</v>
      </c>
    </row>
    <row r="1985" spans="1:3" x14ac:dyDescent="0.3">
      <c r="A1985" t="s">
        <v>1984</v>
      </c>
      <c r="B1985">
        <f>12.5848831614286*(1-0.8198)</f>
        <v>2.2677959456894294</v>
      </c>
      <c r="C1985" s="1">
        <v>2</v>
      </c>
    </row>
    <row r="1986" spans="1:3" x14ac:dyDescent="0.3">
      <c r="A1986" t="s">
        <v>1985</v>
      </c>
      <c r="B1986">
        <f>10.2452811114286*(1-0.8198)</f>
        <v>1.8461996562794292</v>
      </c>
      <c r="C1986" s="1">
        <v>3</v>
      </c>
    </row>
    <row r="1987" spans="1:3" x14ac:dyDescent="0.3">
      <c r="A1987" t="s">
        <v>1986</v>
      </c>
      <c r="B1987">
        <f>4.69596341142857*(1-0.8198)</f>
        <v>0.84621260673942877</v>
      </c>
      <c r="C1987" s="1">
        <v>2</v>
      </c>
    </row>
    <row r="1988" spans="1:3" x14ac:dyDescent="0.3">
      <c r="A1988" t="s">
        <v>1987</v>
      </c>
      <c r="B1988">
        <f>0*(1-0.8198)</f>
        <v>0</v>
      </c>
      <c r="C1988" s="1">
        <v>3</v>
      </c>
    </row>
    <row r="1989" spans="1:3" x14ac:dyDescent="0.3">
      <c r="A1989" t="s">
        <v>1988</v>
      </c>
      <c r="B1989">
        <f>0*(1-0.8198)</f>
        <v>0</v>
      </c>
      <c r="C1989" s="1">
        <v>3</v>
      </c>
    </row>
    <row r="1990" spans="1:3" x14ac:dyDescent="0.3">
      <c r="A1990" t="s">
        <v>1989</v>
      </c>
      <c r="B1990">
        <f>0*(1-0.8198)</f>
        <v>0</v>
      </c>
      <c r="C1990" s="1">
        <v>2</v>
      </c>
    </row>
    <row r="1991" spans="1:3" x14ac:dyDescent="0.3">
      <c r="A1991" t="s">
        <v>1990</v>
      </c>
      <c r="B1991">
        <f>0*(1-0.8198)</f>
        <v>0</v>
      </c>
      <c r="C1991" s="1">
        <v>3</v>
      </c>
    </row>
    <row r="1992" spans="1:3" x14ac:dyDescent="0.3">
      <c r="A1992" t="s">
        <v>1991</v>
      </c>
      <c r="B1992">
        <f>0*(1-0.8198)</f>
        <v>0</v>
      </c>
      <c r="C1992" s="1">
        <v>3</v>
      </c>
    </row>
    <row r="1993" spans="1:3" x14ac:dyDescent="0.3">
      <c r="A1993" t="s">
        <v>1992</v>
      </c>
      <c r="B1993">
        <f>0*(1-0.8198)</f>
        <v>0</v>
      </c>
      <c r="C1993" s="1">
        <v>2</v>
      </c>
    </row>
    <row r="1994" spans="1:3" x14ac:dyDescent="0.3">
      <c r="A1994" t="s">
        <v>1993</v>
      </c>
      <c r="B1994">
        <f>0*(1-0.8198)</f>
        <v>0</v>
      </c>
      <c r="C1994" s="1">
        <v>3</v>
      </c>
    </row>
    <row r="1995" spans="1:3" x14ac:dyDescent="0.3">
      <c r="A1995" t="s">
        <v>1994</v>
      </c>
      <c r="B1995">
        <f>0*(1-0.8198)</f>
        <v>0</v>
      </c>
      <c r="C1995" s="1">
        <v>2</v>
      </c>
    </row>
    <row r="1996" spans="1:3" x14ac:dyDescent="0.3">
      <c r="A1996" t="s">
        <v>1995</v>
      </c>
      <c r="B1996">
        <f>0*(1-0.8198)</f>
        <v>0</v>
      </c>
      <c r="C1996" s="1">
        <v>3</v>
      </c>
    </row>
    <row r="1997" spans="1:3" x14ac:dyDescent="0.3">
      <c r="A1997" t="s">
        <v>1996</v>
      </c>
      <c r="B1997">
        <f>0*(1-0.8198)</f>
        <v>0</v>
      </c>
      <c r="C1997" s="1">
        <v>3</v>
      </c>
    </row>
    <row r="1998" spans="1:3" x14ac:dyDescent="0.3">
      <c r="A1998" t="s">
        <v>1997</v>
      </c>
      <c r="B1998">
        <f>0*(1-0.8198)</f>
        <v>0</v>
      </c>
      <c r="C1998" s="1">
        <v>2</v>
      </c>
    </row>
    <row r="1999" spans="1:3" x14ac:dyDescent="0.3">
      <c r="A1999" t="s">
        <v>1998</v>
      </c>
      <c r="B1999">
        <f>0*(1-0.8198)</f>
        <v>0</v>
      </c>
      <c r="C1999" s="1">
        <v>3</v>
      </c>
    </row>
    <row r="2000" spans="1:3" x14ac:dyDescent="0.3">
      <c r="A2000" t="s">
        <v>1999</v>
      </c>
      <c r="B2000">
        <f>0.4386*(1-0.8198)</f>
        <v>7.9035720000000004E-2</v>
      </c>
      <c r="C2000" s="1">
        <v>5</v>
      </c>
    </row>
    <row r="2001" spans="1:3" x14ac:dyDescent="0.3">
      <c r="A2001" t="s">
        <v>2000</v>
      </c>
      <c r="B2001">
        <f>13.5008536814286*(1-0.8198)</f>
        <v>2.4328538333934291</v>
      </c>
      <c r="C2001" s="1">
        <v>6</v>
      </c>
    </row>
    <row r="2002" spans="1:3" x14ac:dyDescent="0.3">
      <c r="A2002" t="s">
        <v>2001</v>
      </c>
      <c r="B2002">
        <f>27.82864884*(1-0.8198)</f>
        <v>5.0147225209680011</v>
      </c>
      <c r="C2002" s="1">
        <v>5</v>
      </c>
    </row>
    <row r="2003" spans="1:3" x14ac:dyDescent="0.3">
      <c r="A2003" t="s">
        <v>2002</v>
      </c>
      <c r="B2003">
        <f>42.0047737842857*(1-0.8198)</f>
        <v>7.5692602359282875</v>
      </c>
      <c r="C2003" s="1">
        <v>5</v>
      </c>
    </row>
    <row r="2004" spans="1:3" x14ac:dyDescent="0.3">
      <c r="A2004" t="s">
        <v>2003</v>
      </c>
      <c r="B2004">
        <f>50.2569241785714*(1-0.8198)</f>
        <v>9.0562977369785749</v>
      </c>
      <c r="C2004" s="1">
        <v>5</v>
      </c>
    </row>
    <row r="2005" spans="1:3" x14ac:dyDescent="0.3">
      <c r="A2005" t="s">
        <v>2004</v>
      </c>
      <c r="B2005">
        <f>54.7678021371429*(1-0.8198)</f>
        <v>9.8691579451131464</v>
      </c>
      <c r="C2005" s="1">
        <v>5</v>
      </c>
    </row>
    <row r="2006" spans="1:3" x14ac:dyDescent="0.3">
      <c r="A2006" t="s">
        <v>2005</v>
      </c>
      <c r="B2006">
        <f>59.12799968*(1-0.8198)</f>
        <v>10.654865542336001</v>
      </c>
      <c r="C2006" s="1">
        <v>5</v>
      </c>
    </row>
    <row r="2007" spans="1:3" x14ac:dyDescent="0.3">
      <c r="A2007" t="s">
        <v>2006</v>
      </c>
      <c r="B2007">
        <f>54.7013125271429*(1-0.8198)</f>
        <v>9.8571765173911441</v>
      </c>
      <c r="C2007" s="1">
        <v>4</v>
      </c>
    </row>
    <row r="2008" spans="1:3" x14ac:dyDescent="0.3">
      <c r="A2008" t="s">
        <v>2007</v>
      </c>
      <c r="B2008">
        <f>46.4599315442857*(1-0.8198)</f>
        <v>8.3720796642802888</v>
      </c>
      <c r="C2008" s="1">
        <v>2</v>
      </c>
    </row>
    <row r="2009" spans="1:3" x14ac:dyDescent="0.3">
      <c r="A2009" t="s">
        <v>2008</v>
      </c>
      <c r="B2009">
        <f>34.9786274114286*(1-0.8198)</f>
        <v>6.3031486595394295</v>
      </c>
      <c r="C2009" s="1">
        <v>3</v>
      </c>
    </row>
    <row r="2010" spans="1:3" x14ac:dyDescent="0.3">
      <c r="A2010" t="s">
        <v>2009</v>
      </c>
      <c r="B2010">
        <f>17.9952718542857*(1-0.8198)</f>
        <v>3.2427479881422872</v>
      </c>
      <c r="C2010" s="1">
        <v>3</v>
      </c>
    </row>
    <row r="2011" spans="1:3" x14ac:dyDescent="0.3">
      <c r="A2011" t="s">
        <v>2010</v>
      </c>
      <c r="B2011">
        <f>5.99981561571429*(1-0.8198)</f>
        <v>1.0811667739517148</v>
      </c>
      <c r="C2011" s="1">
        <v>2</v>
      </c>
    </row>
    <row r="2012" spans="1:3" x14ac:dyDescent="0.3">
      <c r="A2012" t="s">
        <v>2011</v>
      </c>
      <c r="B2012">
        <f>0*(1-0.8198)</f>
        <v>0</v>
      </c>
      <c r="C2012" s="1">
        <v>3</v>
      </c>
    </row>
    <row r="2013" spans="1:3" x14ac:dyDescent="0.3">
      <c r="A2013" t="s">
        <v>2012</v>
      </c>
      <c r="B2013">
        <f>0*(1-0.8198)</f>
        <v>0</v>
      </c>
      <c r="C2013" s="1">
        <v>3</v>
      </c>
    </row>
    <row r="2014" spans="1:3" x14ac:dyDescent="0.3">
      <c r="A2014" t="s">
        <v>2013</v>
      </c>
      <c r="B2014">
        <f>0*(1-0.8198)</f>
        <v>0</v>
      </c>
      <c r="C2014" s="1">
        <v>2</v>
      </c>
    </row>
    <row r="2015" spans="1:3" x14ac:dyDescent="0.3">
      <c r="A2015" t="s">
        <v>2014</v>
      </c>
      <c r="B2015">
        <f>0*(1-0.8198)</f>
        <v>0</v>
      </c>
      <c r="C2015" s="1">
        <v>3</v>
      </c>
    </row>
    <row r="2016" spans="1:3" x14ac:dyDescent="0.3">
      <c r="A2016" t="s">
        <v>2015</v>
      </c>
      <c r="B2016">
        <f>0*(1-0.8198)</f>
        <v>0</v>
      </c>
      <c r="C2016" s="1">
        <v>2</v>
      </c>
    </row>
    <row r="2017" spans="1:3" x14ac:dyDescent="0.3">
      <c r="A2017" t="s">
        <v>2016</v>
      </c>
      <c r="B2017">
        <f>0*(1-0.8198)</f>
        <v>0</v>
      </c>
      <c r="C2017" s="1">
        <v>3</v>
      </c>
    </row>
    <row r="2018" spans="1:3" x14ac:dyDescent="0.3">
      <c r="A2018" t="s">
        <v>2017</v>
      </c>
      <c r="B2018">
        <f>0*(1-0.8198)</f>
        <v>0</v>
      </c>
      <c r="C2018" s="1">
        <v>2</v>
      </c>
    </row>
    <row r="2019" spans="1:3" x14ac:dyDescent="0.3">
      <c r="A2019" t="s">
        <v>2018</v>
      </c>
      <c r="B2019">
        <f>0*(1-0.8198)</f>
        <v>0</v>
      </c>
      <c r="C2019" s="1">
        <v>3</v>
      </c>
    </row>
    <row r="2020" spans="1:3" x14ac:dyDescent="0.3">
      <c r="A2020" t="s">
        <v>2019</v>
      </c>
      <c r="B2020">
        <f>0*(1-0.8198)</f>
        <v>0</v>
      </c>
      <c r="C2020" s="1">
        <v>2</v>
      </c>
    </row>
    <row r="2021" spans="1:3" x14ac:dyDescent="0.3">
      <c r="A2021" t="s">
        <v>2020</v>
      </c>
      <c r="B2021">
        <f>0*(1-0.8198)</f>
        <v>0</v>
      </c>
      <c r="C2021" s="1">
        <v>3</v>
      </c>
    </row>
    <row r="2022" spans="1:3" x14ac:dyDescent="0.3">
      <c r="A2022" t="s">
        <v>2021</v>
      </c>
      <c r="B2022">
        <f>0*(1-0.8198)</f>
        <v>0</v>
      </c>
      <c r="C2022" s="1">
        <v>3</v>
      </c>
    </row>
    <row r="2023" spans="1:3" x14ac:dyDescent="0.3">
      <c r="A2023" t="s">
        <v>2022</v>
      </c>
      <c r="B2023">
        <f>0*(1-0.8198)</f>
        <v>0</v>
      </c>
      <c r="C2023" s="1">
        <v>3</v>
      </c>
    </row>
    <row r="2024" spans="1:3" x14ac:dyDescent="0.3">
      <c r="A2024" t="s">
        <v>2023</v>
      </c>
      <c r="B2024">
        <f>0.602*(1-0.8198)</f>
        <v>0.10848040000000003</v>
      </c>
      <c r="C2024" s="1">
        <v>5</v>
      </c>
    </row>
    <row r="2025" spans="1:3" x14ac:dyDescent="0.3">
      <c r="A2025" t="s">
        <v>2024</v>
      </c>
      <c r="B2025">
        <f>14.1889050357143*(1-0.8198)</f>
        <v>2.5568406874357144</v>
      </c>
      <c r="C2025" s="1">
        <v>6</v>
      </c>
    </row>
    <row r="2026" spans="1:3" x14ac:dyDescent="0.3">
      <c r="A2026" t="s">
        <v>2025</v>
      </c>
      <c r="B2026">
        <f>25.0489302414286*(1-0.8198)</f>
        <v>4.5138172295054302</v>
      </c>
      <c r="C2026" s="1">
        <v>5</v>
      </c>
    </row>
    <row r="2027" spans="1:3" x14ac:dyDescent="0.3">
      <c r="A2027" t="s">
        <v>2026</v>
      </c>
      <c r="B2027">
        <f>39.8092568714286*(1-0.8198)</f>
        <v>7.1736280882314301</v>
      </c>
      <c r="C2027" s="1">
        <v>4</v>
      </c>
    </row>
    <row r="2028" spans="1:3" x14ac:dyDescent="0.3">
      <c r="A2028" t="s">
        <v>2027</v>
      </c>
      <c r="B2028">
        <f>51.65139704*(1-0.8198)</f>
        <v>9.3075817466080029</v>
      </c>
      <c r="C2028" s="1">
        <v>5</v>
      </c>
    </row>
    <row r="2029" spans="1:3" x14ac:dyDescent="0.3">
      <c r="A2029" t="s">
        <v>2028</v>
      </c>
      <c r="B2029">
        <f>48.8371933628571*(1-0.8198)</f>
        <v>8.8004622439868587</v>
      </c>
      <c r="C2029" s="1">
        <v>4</v>
      </c>
    </row>
    <row r="2030" spans="1:3" x14ac:dyDescent="0.3">
      <c r="A2030" t="s">
        <v>2029</v>
      </c>
      <c r="B2030">
        <f>56.8981271185714*(1-0.8198)</f>
        <v>10.253042506766572</v>
      </c>
      <c r="C2030" s="1">
        <v>5</v>
      </c>
    </row>
    <row r="2031" spans="1:3" x14ac:dyDescent="0.3">
      <c r="A2031" t="s">
        <v>2030</v>
      </c>
      <c r="B2031">
        <f>53.5035155842857*(1-0.8198)</f>
        <v>9.6413335082882892</v>
      </c>
      <c r="C2031" s="1">
        <v>4</v>
      </c>
    </row>
    <row r="2032" spans="1:3" x14ac:dyDescent="0.3">
      <c r="A2032" t="s">
        <v>2031</v>
      </c>
      <c r="B2032">
        <f>45.9768949757143*(1-0.8198)</f>
        <v>8.2850364746237162</v>
      </c>
      <c r="C2032" s="1">
        <v>2</v>
      </c>
    </row>
    <row r="2033" spans="1:3" x14ac:dyDescent="0.3">
      <c r="A2033" t="s">
        <v>2032</v>
      </c>
      <c r="B2033">
        <f>34.2477814128571*(1-0.8198)</f>
        <v>6.1714502105968583</v>
      </c>
      <c r="C2033" s="1">
        <v>3</v>
      </c>
    </row>
    <row r="2034" spans="1:3" x14ac:dyDescent="0.3">
      <c r="A2034" t="s">
        <v>2033</v>
      </c>
      <c r="B2034">
        <f>20.23438229*(1-0.8198)</f>
        <v>3.6462356886580012</v>
      </c>
      <c r="C2034" s="1">
        <v>3</v>
      </c>
    </row>
    <row r="2035" spans="1:3" x14ac:dyDescent="0.3">
      <c r="A2035" t="s">
        <v>2034</v>
      </c>
      <c r="B2035">
        <f>6.31047114285714*(1-0.8198)</f>
        <v>1.1371468999428573</v>
      </c>
      <c r="C2035" s="1">
        <v>2</v>
      </c>
    </row>
    <row r="2036" spans="1:3" x14ac:dyDescent="0.3">
      <c r="A2036" t="s">
        <v>2035</v>
      </c>
      <c r="B2036">
        <f>0*(1-0.8198)</f>
        <v>0</v>
      </c>
      <c r="C2036" s="1">
        <v>3</v>
      </c>
    </row>
    <row r="2037" spans="1:3" x14ac:dyDescent="0.3">
      <c r="A2037" t="s">
        <v>2036</v>
      </c>
      <c r="B2037">
        <f>0*(1-0.8198)</f>
        <v>0</v>
      </c>
      <c r="C2037" s="1">
        <v>2</v>
      </c>
    </row>
    <row r="2038" spans="1:3" x14ac:dyDescent="0.3">
      <c r="A2038" t="s">
        <v>2037</v>
      </c>
      <c r="B2038">
        <f>0*(1-0.8198)</f>
        <v>0</v>
      </c>
      <c r="C2038" s="1">
        <v>3</v>
      </c>
    </row>
    <row r="2039" spans="1:3" x14ac:dyDescent="0.3">
      <c r="A2039" t="s">
        <v>2038</v>
      </c>
      <c r="B2039">
        <f>0*(1-0.8198)</f>
        <v>0</v>
      </c>
      <c r="C2039" s="1">
        <v>3</v>
      </c>
    </row>
    <row r="2040" spans="1:3" x14ac:dyDescent="0.3">
      <c r="A2040" t="s">
        <v>2039</v>
      </c>
      <c r="B2040">
        <f>0*(1-0.8198)</f>
        <v>0</v>
      </c>
      <c r="C2040" s="1">
        <v>2</v>
      </c>
    </row>
    <row r="2041" spans="1:3" x14ac:dyDescent="0.3">
      <c r="A2041" t="s">
        <v>2040</v>
      </c>
      <c r="B2041">
        <f>0*(1-0.8198)</f>
        <v>0</v>
      </c>
      <c r="C2041" s="1">
        <v>3</v>
      </c>
    </row>
    <row r="2042" spans="1:3" x14ac:dyDescent="0.3">
      <c r="A2042" t="s">
        <v>2041</v>
      </c>
      <c r="B2042">
        <f>0*(1-0.8198)</f>
        <v>0</v>
      </c>
      <c r="C2042" s="1">
        <v>2</v>
      </c>
    </row>
    <row r="2043" spans="1:3" x14ac:dyDescent="0.3">
      <c r="A2043" t="s">
        <v>2042</v>
      </c>
      <c r="B2043">
        <f>0*(1-0.8198)</f>
        <v>0</v>
      </c>
      <c r="C2043" s="1">
        <v>3</v>
      </c>
    </row>
    <row r="2044" spans="1:3" x14ac:dyDescent="0.3">
      <c r="A2044" t="s">
        <v>2043</v>
      </c>
      <c r="B2044">
        <f>0*(1-0.8198)</f>
        <v>0</v>
      </c>
      <c r="C2044" s="1">
        <v>2</v>
      </c>
    </row>
    <row r="2045" spans="1:3" x14ac:dyDescent="0.3">
      <c r="A2045" t="s">
        <v>2044</v>
      </c>
      <c r="B2045">
        <f>0*(1-0.8198)</f>
        <v>0</v>
      </c>
      <c r="C2045" s="1">
        <v>3</v>
      </c>
    </row>
    <row r="2046" spans="1:3" x14ac:dyDescent="0.3">
      <c r="A2046" t="s">
        <v>2045</v>
      </c>
      <c r="B2046">
        <f>0*(1-0.8198)</f>
        <v>0</v>
      </c>
      <c r="C2046" s="1">
        <v>2</v>
      </c>
    </row>
    <row r="2047" spans="1:3" x14ac:dyDescent="0.3">
      <c r="A2047" t="s">
        <v>2046</v>
      </c>
      <c r="B2047">
        <f>0*(1-0.8198)</f>
        <v>0</v>
      </c>
      <c r="C2047" s="1">
        <v>3</v>
      </c>
    </row>
    <row r="2048" spans="1:3" x14ac:dyDescent="0.3">
      <c r="A2048" t="s">
        <v>2047</v>
      </c>
      <c r="B2048">
        <f>0.70864*(1-0.8198)</f>
        <v>0.12769692800000002</v>
      </c>
      <c r="C2048" s="1">
        <v>5</v>
      </c>
    </row>
    <row r="2049" spans="1:3" x14ac:dyDescent="0.3">
      <c r="A2049" t="s">
        <v>2048</v>
      </c>
      <c r="B2049">
        <f>15.9375209214286*(1-0.8198)</f>
        <v>2.8719412700414289</v>
      </c>
      <c r="C2049" s="1">
        <v>4</v>
      </c>
    </row>
    <row r="2050" spans="1:3" x14ac:dyDescent="0.3">
      <c r="A2050" t="s">
        <v>2049</v>
      </c>
      <c r="B2050">
        <f>31.2262247942857*(1-0.8198)</f>
        <v>5.6269657079302879</v>
      </c>
      <c r="C2050" s="1">
        <v>4</v>
      </c>
    </row>
    <row r="2051" spans="1:3" x14ac:dyDescent="0.3">
      <c r="A2051" t="s">
        <v>2050</v>
      </c>
      <c r="B2051">
        <f>43.9137595828571*(1-0.8198)</f>
        <v>7.9132594768308575</v>
      </c>
      <c r="C2051" s="1">
        <v>5</v>
      </c>
    </row>
    <row r="2052" spans="1:3" x14ac:dyDescent="0.3">
      <c r="A2052" t="s">
        <v>2051</v>
      </c>
      <c r="B2052">
        <f>52.4371311257143*(1-0.8198)</f>
        <v>9.4491710288537156</v>
      </c>
      <c r="C2052" s="1">
        <v>4</v>
      </c>
    </row>
    <row r="2053" spans="1:3" x14ac:dyDescent="0.3">
      <c r="A2053" t="s">
        <v>2052</v>
      </c>
      <c r="B2053">
        <f>58.08279696*(1-0.8198)</f>
        <v>10.466520012192003</v>
      </c>
      <c r="C2053" s="1">
        <v>4</v>
      </c>
    </row>
    <row r="2054" spans="1:3" x14ac:dyDescent="0.3">
      <c r="A2054" t="s">
        <v>2053</v>
      </c>
      <c r="B2054">
        <f>60.0582036914286*(1-0.8198)</f>
        <v>10.822488305195433</v>
      </c>
      <c r="C2054" s="1">
        <v>4</v>
      </c>
    </row>
    <row r="2055" spans="1:3" x14ac:dyDescent="0.3">
      <c r="A2055" t="s">
        <v>2054</v>
      </c>
      <c r="B2055">
        <f>56.5058937114286*(1-0.8198)</f>
        <v>10.182362046799433</v>
      </c>
      <c r="C2055" s="1">
        <v>4</v>
      </c>
    </row>
    <row r="2056" spans="1:3" x14ac:dyDescent="0.3">
      <c r="A2056" t="s">
        <v>2055</v>
      </c>
      <c r="B2056">
        <f>48.3955764214286*(1-0.8198)</f>
        <v>8.7208828711414306</v>
      </c>
      <c r="C2056" s="1">
        <v>2</v>
      </c>
    </row>
    <row r="2057" spans="1:3" x14ac:dyDescent="0.3">
      <c r="A2057" t="s">
        <v>2056</v>
      </c>
      <c r="B2057">
        <f>36.3811479685714*(1-0.8198)</f>
        <v>6.5558828639365734</v>
      </c>
      <c r="C2057" s="1">
        <v>3</v>
      </c>
    </row>
    <row r="2058" spans="1:3" x14ac:dyDescent="0.3">
      <c r="A2058" t="s">
        <v>2057</v>
      </c>
      <c r="B2058">
        <f>21.3694765714286*(1-0.8198)</f>
        <v>3.850779678171429</v>
      </c>
      <c r="C2058" s="1">
        <v>2</v>
      </c>
    </row>
    <row r="2059" spans="1:3" x14ac:dyDescent="0.3">
      <c r="A2059" t="s">
        <v>2058</v>
      </c>
      <c r="B2059">
        <f>6.82871979714286*(1-0.8198)</f>
        <v>1.2305353074451433</v>
      </c>
      <c r="C2059" s="1">
        <v>3</v>
      </c>
    </row>
    <row r="2060" spans="1:3" x14ac:dyDescent="0.3">
      <c r="A2060" t="s">
        <v>2059</v>
      </c>
      <c r="B2060">
        <f>0*(1-0.8198)</f>
        <v>0</v>
      </c>
      <c r="C2060" s="1">
        <v>3</v>
      </c>
    </row>
    <row r="2061" spans="1:3" x14ac:dyDescent="0.3">
      <c r="A2061" t="s">
        <v>2060</v>
      </c>
      <c r="B2061">
        <f>0*(1-0.8198)</f>
        <v>0</v>
      </c>
      <c r="C2061" s="1">
        <v>2</v>
      </c>
    </row>
    <row r="2062" spans="1:3" x14ac:dyDescent="0.3">
      <c r="A2062" t="s">
        <v>2061</v>
      </c>
      <c r="B2062">
        <f>0*(1-0.8198)</f>
        <v>0</v>
      </c>
      <c r="C2062" s="1">
        <v>3</v>
      </c>
    </row>
    <row r="2063" spans="1:3" x14ac:dyDescent="0.3">
      <c r="A2063" t="s">
        <v>2062</v>
      </c>
      <c r="B2063">
        <f>0*(1-0.8198)</f>
        <v>0</v>
      </c>
      <c r="C2063" s="1">
        <v>2</v>
      </c>
    </row>
    <row r="2064" spans="1:3" x14ac:dyDescent="0.3">
      <c r="A2064" t="s">
        <v>2063</v>
      </c>
      <c r="B2064">
        <f>0*(1-0.8198)</f>
        <v>0</v>
      </c>
      <c r="C2064" s="1">
        <v>3</v>
      </c>
    </row>
    <row r="2065" spans="1:3" x14ac:dyDescent="0.3">
      <c r="A2065" t="s">
        <v>2064</v>
      </c>
      <c r="B2065">
        <f>0*(1-0.8198)</f>
        <v>0</v>
      </c>
      <c r="C2065" s="1">
        <v>2</v>
      </c>
    </row>
    <row r="2066" spans="1:3" x14ac:dyDescent="0.3">
      <c r="A2066" t="s">
        <v>2065</v>
      </c>
      <c r="B2066">
        <f>0*(1-0.8198)</f>
        <v>0</v>
      </c>
      <c r="C2066" s="1">
        <v>2</v>
      </c>
    </row>
    <row r="2067" spans="1:3" x14ac:dyDescent="0.3">
      <c r="A2067" t="s">
        <v>2066</v>
      </c>
      <c r="B2067">
        <f>0*(1-0.8198)</f>
        <v>0</v>
      </c>
      <c r="C2067" s="1">
        <v>3</v>
      </c>
    </row>
    <row r="2068" spans="1:3" x14ac:dyDescent="0.3">
      <c r="A2068" t="s">
        <v>2067</v>
      </c>
      <c r="B2068">
        <f>0*(1-0.8198)</f>
        <v>0</v>
      </c>
      <c r="C2068" s="1">
        <v>2</v>
      </c>
    </row>
    <row r="2069" spans="1:3" x14ac:dyDescent="0.3">
      <c r="A2069" t="s">
        <v>2068</v>
      </c>
      <c r="B2069">
        <f>0*(1-0.8198)</f>
        <v>0</v>
      </c>
      <c r="C2069" s="1">
        <v>3</v>
      </c>
    </row>
    <row r="2070" spans="1:3" x14ac:dyDescent="0.3">
      <c r="A2070" t="s">
        <v>2069</v>
      </c>
      <c r="B2070">
        <f>0*(1-0.8198)</f>
        <v>0</v>
      </c>
      <c r="C2070" s="1">
        <v>2</v>
      </c>
    </row>
    <row r="2071" spans="1:3" x14ac:dyDescent="0.3">
      <c r="A2071" t="s">
        <v>2070</v>
      </c>
      <c r="B2071">
        <f>0*(1-0.8198)</f>
        <v>0</v>
      </c>
      <c r="C2071" s="1">
        <v>3</v>
      </c>
    </row>
    <row r="2072" spans="1:3" x14ac:dyDescent="0.3">
      <c r="A2072" t="s">
        <v>2071</v>
      </c>
      <c r="B2072">
        <f>0.0086*(1-0.8198)</f>
        <v>1.5497200000000005E-3</v>
      </c>
      <c r="C2072" s="1">
        <v>5</v>
      </c>
    </row>
    <row r="2073" spans="1:3" x14ac:dyDescent="0.3">
      <c r="A2073" t="s">
        <v>2072</v>
      </c>
      <c r="B2073">
        <f>8.42745230285714*(1-0.8198)</f>
        <v>1.5186269049748577</v>
      </c>
      <c r="C2073" s="1">
        <v>4</v>
      </c>
    </row>
    <row r="2074" spans="1:3" x14ac:dyDescent="0.3">
      <c r="A2074" t="s">
        <v>2073</v>
      </c>
      <c r="B2074">
        <f>14.3910790571429*(1-0.8198)</f>
        <v>2.593272446097143</v>
      </c>
      <c r="C2074" s="1">
        <v>4</v>
      </c>
    </row>
    <row r="2075" spans="1:3" x14ac:dyDescent="0.3">
      <c r="A2075" t="s">
        <v>2074</v>
      </c>
      <c r="B2075">
        <f>29.5233344328571*(1-0.8198)</f>
        <v>5.3201048648008591</v>
      </c>
      <c r="C2075" s="1">
        <v>5</v>
      </c>
    </row>
    <row r="2076" spans="1:3" x14ac:dyDescent="0.3">
      <c r="A2076" t="s">
        <v>2075</v>
      </c>
      <c r="B2076">
        <f>14.6157*(1-0.8198)</f>
        <v>2.6337491399999999</v>
      </c>
      <c r="C2076" s="1">
        <v>4</v>
      </c>
    </row>
    <row r="2077" spans="1:3" x14ac:dyDescent="0.3">
      <c r="A2077" t="s">
        <v>2076</v>
      </c>
      <c r="B2077">
        <f>27.9089670657143*(1-0.8198)</f>
        <v>5.0291958652417152</v>
      </c>
      <c r="C2077" s="1">
        <v>5</v>
      </c>
    </row>
    <row r="2078" spans="1:3" x14ac:dyDescent="0.3">
      <c r="A2078" t="s">
        <v>2077</v>
      </c>
      <c r="B2078">
        <f>49.32599918*(1-0.8198)</f>
        <v>8.888545052236001</v>
      </c>
      <c r="C2078" s="1">
        <v>5</v>
      </c>
    </row>
    <row r="2079" spans="1:3" x14ac:dyDescent="0.3">
      <c r="A2079" t="s">
        <v>2078</v>
      </c>
      <c r="B2079">
        <f>48.1879185485714*(1-0.8198)</f>
        <v>8.6834629224525735</v>
      </c>
      <c r="C2079" s="1">
        <v>4</v>
      </c>
    </row>
    <row r="2080" spans="1:3" x14ac:dyDescent="0.3">
      <c r="A2080" t="s">
        <v>2079</v>
      </c>
      <c r="B2080">
        <f>42.4851499428571*(1-0.8198)</f>
        <v>7.655824019702858</v>
      </c>
      <c r="C2080" s="1">
        <v>3</v>
      </c>
    </row>
    <row r="2081" spans="1:3" x14ac:dyDescent="0.3">
      <c r="A2081" t="s">
        <v>2080</v>
      </c>
      <c r="B2081">
        <f>34.5516309*(1-0.8198)</f>
        <v>6.2262038881800006</v>
      </c>
      <c r="C2081" s="1">
        <v>2</v>
      </c>
    </row>
    <row r="2082" spans="1:3" x14ac:dyDescent="0.3">
      <c r="A2082" t="s">
        <v>2081</v>
      </c>
      <c r="B2082">
        <f>21.2727913171429*(1-0.8198)</f>
        <v>3.8333569953491442</v>
      </c>
      <c r="C2082" s="1">
        <v>2</v>
      </c>
    </row>
    <row r="2083" spans="1:3" x14ac:dyDescent="0.3">
      <c r="A2083" t="s">
        <v>2082</v>
      </c>
      <c r="B2083">
        <f>6.89309866*(1-0.8198)</f>
        <v>1.2421363785319999</v>
      </c>
      <c r="C2083" s="1">
        <v>3</v>
      </c>
    </row>
    <row r="2084" spans="1:3" x14ac:dyDescent="0.3">
      <c r="A2084" t="s">
        <v>2083</v>
      </c>
      <c r="B2084">
        <f>0*(1-0.8198)</f>
        <v>0</v>
      </c>
      <c r="C2084" s="1">
        <v>3</v>
      </c>
    </row>
    <row r="2085" spans="1:3" x14ac:dyDescent="0.3">
      <c r="A2085" t="s">
        <v>2084</v>
      </c>
      <c r="B2085">
        <f>0*(1-0.8198)</f>
        <v>0</v>
      </c>
      <c r="C2085" s="1">
        <v>2</v>
      </c>
    </row>
    <row r="2086" spans="1:3" x14ac:dyDescent="0.3">
      <c r="A2086" t="s">
        <v>2085</v>
      </c>
      <c r="B2086">
        <f>0*(1-0.8198)</f>
        <v>0</v>
      </c>
      <c r="C2086" s="1">
        <v>3</v>
      </c>
    </row>
    <row r="2087" spans="1:3" x14ac:dyDescent="0.3">
      <c r="A2087" t="s">
        <v>2086</v>
      </c>
      <c r="B2087">
        <f>0*(1-0.8198)</f>
        <v>0</v>
      </c>
      <c r="C2087" s="1">
        <v>2</v>
      </c>
    </row>
    <row r="2088" spans="1:3" x14ac:dyDescent="0.3">
      <c r="A2088" t="s">
        <v>2087</v>
      </c>
      <c r="B2088">
        <f>0*(1-0.8198)</f>
        <v>0</v>
      </c>
      <c r="C2088" s="1">
        <v>3</v>
      </c>
    </row>
    <row r="2089" spans="1:3" x14ac:dyDescent="0.3">
      <c r="A2089" t="s">
        <v>2088</v>
      </c>
      <c r="B2089">
        <f>0*(1-0.8198)</f>
        <v>0</v>
      </c>
      <c r="C2089" s="1">
        <v>2</v>
      </c>
    </row>
    <row r="2090" spans="1:3" x14ac:dyDescent="0.3">
      <c r="A2090" t="s">
        <v>2089</v>
      </c>
      <c r="B2090">
        <f>0*(1-0.8198)</f>
        <v>0</v>
      </c>
      <c r="C2090" s="1">
        <v>3</v>
      </c>
    </row>
    <row r="2091" spans="1:3" x14ac:dyDescent="0.3">
      <c r="A2091" t="s">
        <v>2090</v>
      </c>
      <c r="B2091">
        <f>0*(1-0.8198)</f>
        <v>0</v>
      </c>
      <c r="C2091" s="1">
        <v>2</v>
      </c>
    </row>
    <row r="2092" spans="1:3" x14ac:dyDescent="0.3">
      <c r="A2092" t="s">
        <v>2091</v>
      </c>
      <c r="B2092">
        <f>0*(1-0.8198)</f>
        <v>0</v>
      </c>
      <c r="C2092" s="1">
        <v>3</v>
      </c>
    </row>
    <row r="2093" spans="1:3" x14ac:dyDescent="0.3">
      <c r="A2093" t="s">
        <v>2092</v>
      </c>
      <c r="B2093">
        <f>0*(1-0.8198)</f>
        <v>0</v>
      </c>
      <c r="C2093" s="1">
        <v>2</v>
      </c>
    </row>
    <row r="2094" spans="1:3" x14ac:dyDescent="0.3">
      <c r="A2094" t="s">
        <v>2093</v>
      </c>
      <c r="B2094">
        <f>0*(1-0.8198)</f>
        <v>0</v>
      </c>
      <c r="C2094" s="1">
        <v>2</v>
      </c>
    </row>
    <row r="2095" spans="1:3" x14ac:dyDescent="0.3">
      <c r="A2095" t="s">
        <v>2094</v>
      </c>
      <c r="B2095">
        <f>0*(1-0.8198)</f>
        <v>0</v>
      </c>
      <c r="C2095" s="1">
        <v>3</v>
      </c>
    </row>
    <row r="2096" spans="1:3" x14ac:dyDescent="0.3">
      <c r="A2096" t="s">
        <v>2095</v>
      </c>
      <c r="B2096">
        <f>1.00018*(1-0.8198)</f>
        <v>0.18023243600000005</v>
      </c>
      <c r="C2096" s="1">
        <v>3</v>
      </c>
    </row>
    <row r="2097" spans="1:3" x14ac:dyDescent="0.3">
      <c r="A2097" t="s">
        <v>2096</v>
      </c>
      <c r="B2097">
        <f>16.4120613657143*(1-0.8198)</f>
        <v>2.9574534581017149</v>
      </c>
      <c r="C2097" s="1">
        <v>2</v>
      </c>
    </row>
    <row r="2098" spans="1:3" x14ac:dyDescent="0.3">
      <c r="A2098" t="s">
        <v>2097</v>
      </c>
      <c r="B2098">
        <f>32.0198799714286*(1-0.8198)</f>
        <v>5.7699823708514293</v>
      </c>
      <c r="C2098" s="1">
        <v>3</v>
      </c>
    </row>
    <row r="2099" spans="1:3" x14ac:dyDescent="0.3">
      <c r="A2099" t="s">
        <v>2098</v>
      </c>
      <c r="B2099">
        <f>44.0995638728571*(1-0.8198)</f>
        <v>7.9467414098888574</v>
      </c>
      <c r="C2099" s="1">
        <v>2</v>
      </c>
    </row>
    <row r="2100" spans="1:3" x14ac:dyDescent="0.3">
      <c r="A2100" t="s">
        <v>2099</v>
      </c>
      <c r="B2100">
        <f>53.8127042585714*(1-0.8198)</f>
        <v>9.6970493073945736</v>
      </c>
      <c r="C2100" s="1">
        <v>3</v>
      </c>
    </row>
    <row r="2101" spans="1:3" x14ac:dyDescent="0.3">
      <c r="A2101" t="s">
        <v>2100</v>
      </c>
      <c r="B2101">
        <f>57.4413797814286*(1-0.8198)</f>
        <v>10.350936636613431</v>
      </c>
      <c r="C2101" s="1">
        <v>2</v>
      </c>
    </row>
    <row r="2102" spans="1:3" x14ac:dyDescent="0.3">
      <c r="A2102" t="s">
        <v>2101</v>
      </c>
      <c r="B2102">
        <f>60.85730961*(1-0.8198)</f>
        <v>10.966487191722003</v>
      </c>
      <c r="C2102" s="1">
        <v>3</v>
      </c>
    </row>
    <row r="2103" spans="1:3" x14ac:dyDescent="0.3">
      <c r="A2103" t="s">
        <v>2102</v>
      </c>
      <c r="B2103">
        <f>55.9748107857143*(1-0.8198)</f>
        <v>10.086660903585717</v>
      </c>
      <c r="C2103" s="1">
        <v>2</v>
      </c>
    </row>
    <row r="2104" spans="1:3" x14ac:dyDescent="0.3">
      <c r="A2104" t="s">
        <v>2103</v>
      </c>
      <c r="B2104">
        <f>47.79834162*(1-0.8198)</f>
        <v>8.6132611599240025</v>
      </c>
      <c r="C2104" s="1">
        <v>3</v>
      </c>
    </row>
    <row r="2105" spans="1:3" x14ac:dyDescent="0.3">
      <c r="A2105" t="s">
        <v>2104</v>
      </c>
      <c r="B2105">
        <f>36.1138387142857*(1-0.8198)</f>
        <v>6.5077137363142867</v>
      </c>
      <c r="C2105" s="1">
        <v>2</v>
      </c>
    </row>
    <row r="2106" spans="1:3" x14ac:dyDescent="0.3">
      <c r="A2106" t="s">
        <v>2105</v>
      </c>
      <c r="B2106">
        <f>20.5434526528571*(1-0.8198)</f>
        <v>3.7019301680448575</v>
      </c>
      <c r="C2106" s="1">
        <v>3</v>
      </c>
    </row>
    <row r="2107" spans="1:3" x14ac:dyDescent="0.3">
      <c r="A2107" t="s">
        <v>2106</v>
      </c>
      <c r="B2107">
        <f>7.01856958857143*(1-0.8198)</f>
        <v>1.2647462398605718</v>
      </c>
      <c r="C2107" s="1">
        <v>2</v>
      </c>
    </row>
    <row r="2108" spans="1:3" x14ac:dyDescent="0.3">
      <c r="A2108" t="s">
        <v>2107</v>
      </c>
      <c r="B2108">
        <f>0*(1-0.8198)</f>
        <v>0</v>
      </c>
      <c r="C2108" s="1">
        <v>3</v>
      </c>
    </row>
    <row r="2109" spans="1:3" x14ac:dyDescent="0.3">
      <c r="A2109" t="s">
        <v>2108</v>
      </c>
      <c r="B2109">
        <f>0*(1-0.8198)</f>
        <v>0</v>
      </c>
      <c r="C2109" s="1">
        <v>3</v>
      </c>
    </row>
    <row r="2110" spans="1:3" x14ac:dyDescent="0.3">
      <c r="A2110" t="s">
        <v>2109</v>
      </c>
      <c r="B2110">
        <f>0*(1-0.8198)</f>
        <v>0</v>
      </c>
      <c r="C2110" s="1">
        <v>2</v>
      </c>
    </row>
    <row r="2111" spans="1:3" x14ac:dyDescent="0.3">
      <c r="A2111" t="s">
        <v>2110</v>
      </c>
      <c r="B2111">
        <f>0*(1-0.8198)</f>
        <v>0</v>
      </c>
      <c r="C2111" s="1">
        <v>3</v>
      </c>
    </row>
    <row r="2112" spans="1:3" x14ac:dyDescent="0.3">
      <c r="A2112" t="s">
        <v>2111</v>
      </c>
      <c r="B2112">
        <f>0*(1-0.8198)</f>
        <v>0</v>
      </c>
      <c r="C2112" s="1">
        <v>2</v>
      </c>
    </row>
    <row r="2113" spans="1:3" x14ac:dyDescent="0.3">
      <c r="A2113" t="s">
        <v>2112</v>
      </c>
      <c r="B2113">
        <f>0*(1-0.8198)</f>
        <v>0</v>
      </c>
      <c r="C2113" s="1">
        <v>3</v>
      </c>
    </row>
    <row r="2114" spans="1:3" x14ac:dyDescent="0.3">
      <c r="A2114" t="s">
        <v>2113</v>
      </c>
      <c r="B2114">
        <f>0*(1-0.8198)</f>
        <v>0</v>
      </c>
      <c r="C2114" s="1">
        <v>2</v>
      </c>
    </row>
    <row r="2115" spans="1:3" x14ac:dyDescent="0.3">
      <c r="A2115" t="s">
        <v>2114</v>
      </c>
      <c r="B2115">
        <f>0*(1-0.8198)</f>
        <v>0</v>
      </c>
      <c r="C2115" s="1">
        <v>2</v>
      </c>
    </row>
    <row r="2116" spans="1:3" x14ac:dyDescent="0.3">
      <c r="A2116" t="s">
        <v>2115</v>
      </c>
      <c r="B2116">
        <f>0*(1-0.8198)</f>
        <v>0</v>
      </c>
      <c r="C2116" s="1">
        <v>3</v>
      </c>
    </row>
    <row r="2117" spans="1:3" x14ac:dyDescent="0.3">
      <c r="A2117" t="s">
        <v>2116</v>
      </c>
      <c r="B2117">
        <f>0*(1-0.8198)</f>
        <v>0</v>
      </c>
      <c r="C2117" s="1">
        <v>3</v>
      </c>
    </row>
    <row r="2118" spans="1:3" x14ac:dyDescent="0.3">
      <c r="A2118" t="s">
        <v>2117</v>
      </c>
      <c r="B2118">
        <f>0*(1-0.8198)</f>
        <v>0</v>
      </c>
      <c r="C2118" s="1">
        <v>2</v>
      </c>
    </row>
    <row r="2119" spans="1:3" x14ac:dyDescent="0.3">
      <c r="A2119" t="s">
        <v>2118</v>
      </c>
      <c r="B2119">
        <f>0*(1-0.8198)</f>
        <v>0</v>
      </c>
      <c r="C2119" s="1">
        <v>2</v>
      </c>
    </row>
    <row r="2120" spans="1:3" x14ac:dyDescent="0.3">
      <c r="A2120" t="s">
        <v>2119</v>
      </c>
      <c r="B2120">
        <f>0.20382*(1-0.8198)</f>
        <v>3.6728364000000006E-2</v>
      </c>
      <c r="C2120" s="1">
        <v>3</v>
      </c>
    </row>
    <row r="2121" spans="1:3" x14ac:dyDescent="0.3">
      <c r="A2121" t="s">
        <v>2120</v>
      </c>
      <c r="B2121">
        <f>10.5241084071429*(1-0.8198)</f>
        <v>1.8964443349671434</v>
      </c>
      <c r="C2121" s="1">
        <v>3</v>
      </c>
    </row>
    <row r="2122" spans="1:3" x14ac:dyDescent="0.3">
      <c r="A2122" t="s">
        <v>2121</v>
      </c>
      <c r="B2122">
        <f>31.5602018014286*(1-0.8198)</f>
        <v>5.6871483646174292</v>
      </c>
      <c r="C2122" s="1">
        <v>2</v>
      </c>
    </row>
    <row r="2123" spans="1:3" x14ac:dyDescent="0.3">
      <c r="A2123" t="s">
        <v>2122</v>
      </c>
      <c r="B2123">
        <f>44.0257299857143*(1-0.8198)</f>
        <v>7.9334365434257155</v>
      </c>
      <c r="C2123" s="1">
        <v>3</v>
      </c>
    </row>
    <row r="2124" spans="1:3" x14ac:dyDescent="0.3">
      <c r="A2124" t="s">
        <v>2123</v>
      </c>
      <c r="B2124">
        <f>52.3452193628572*(1-0.8198)</f>
        <v>9.4326085291868598</v>
      </c>
      <c r="C2124" s="1">
        <v>2</v>
      </c>
    </row>
    <row r="2125" spans="1:3" x14ac:dyDescent="0.3">
      <c r="A2125" t="s">
        <v>2124</v>
      </c>
      <c r="B2125">
        <f>53.3974764785714*(1-0.8198)</f>
        <v>9.6222252614385724</v>
      </c>
      <c r="C2125" s="1">
        <v>3</v>
      </c>
    </row>
    <row r="2126" spans="1:3" x14ac:dyDescent="0.3">
      <c r="A2126" t="s">
        <v>2125</v>
      </c>
      <c r="B2126">
        <f>58.5860223971429*(1-0.8198)</f>
        <v>10.557201235965143</v>
      </c>
      <c r="C2126" s="1">
        <v>2</v>
      </c>
    </row>
    <row r="2127" spans="1:3" x14ac:dyDescent="0.3">
      <c r="A2127" t="s">
        <v>2126</v>
      </c>
      <c r="B2127">
        <f>42.4670030214286*(1-0.8198)</f>
        <v>7.6525539444614319</v>
      </c>
      <c r="C2127" s="1">
        <v>2</v>
      </c>
    </row>
    <row r="2128" spans="1:3" x14ac:dyDescent="0.3">
      <c r="A2128" t="s">
        <v>2127</v>
      </c>
      <c r="B2128">
        <f>38.4572129085714*(1-0.8198)</f>
        <v>6.9299897661245735</v>
      </c>
      <c r="C2128" s="1">
        <v>3</v>
      </c>
    </row>
    <row r="2129" spans="1:3" x14ac:dyDescent="0.3">
      <c r="A2129" t="s">
        <v>2128</v>
      </c>
      <c r="B2129">
        <f>20.8694946857143*(1-0.8198)</f>
        <v>3.7606829423657149</v>
      </c>
      <c r="C2129" s="1">
        <v>3</v>
      </c>
    </row>
    <row r="2130" spans="1:3" x14ac:dyDescent="0.3">
      <c r="A2130" t="s">
        <v>2129</v>
      </c>
      <c r="B2130">
        <f>22.0287372757143*(1-0.8198)</f>
        <v>3.9695784570837152</v>
      </c>
      <c r="C2130" s="1">
        <v>2</v>
      </c>
    </row>
    <row r="2131" spans="1:3" x14ac:dyDescent="0.3">
      <c r="A2131" t="s">
        <v>2130</v>
      </c>
      <c r="B2131">
        <f>7.04630446571429*(1-0.8198)</f>
        <v>1.2697440647217144</v>
      </c>
      <c r="C2131" s="1">
        <v>2</v>
      </c>
    </row>
    <row r="2132" spans="1:3" x14ac:dyDescent="0.3">
      <c r="A2132" t="s">
        <v>2131</v>
      </c>
      <c r="B2132">
        <f>0*(1-0.8198)</f>
        <v>0</v>
      </c>
      <c r="C2132" s="1">
        <v>3</v>
      </c>
    </row>
    <row r="2133" spans="1:3" x14ac:dyDescent="0.3">
      <c r="A2133" t="s">
        <v>2132</v>
      </c>
      <c r="B2133">
        <f>0*(1-0.8198)</f>
        <v>0</v>
      </c>
      <c r="C2133" s="1">
        <v>3</v>
      </c>
    </row>
    <row r="2134" spans="1:3" x14ac:dyDescent="0.3">
      <c r="A2134" t="s">
        <v>2133</v>
      </c>
      <c r="B2134">
        <f>0*(1-0.8198)</f>
        <v>0</v>
      </c>
      <c r="C2134" s="1">
        <v>2</v>
      </c>
    </row>
    <row r="2135" spans="1:3" x14ac:dyDescent="0.3">
      <c r="A2135" t="s">
        <v>2134</v>
      </c>
      <c r="B2135">
        <f>0*(1-0.8198)</f>
        <v>0</v>
      </c>
      <c r="C2135" s="1">
        <v>3</v>
      </c>
    </row>
    <row r="2136" spans="1:3" x14ac:dyDescent="0.3">
      <c r="A2136" t="s">
        <v>2135</v>
      </c>
      <c r="B2136">
        <f>0*(1-0.8198)</f>
        <v>0</v>
      </c>
      <c r="C2136" s="1">
        <v>2</v>
      </c>
    </row>
    <row r="2137" spans="1:3" x14ac:dyDescent="0.3">
      <c r="A2137" t="s">
        <v>2136</v>
      </c>
      <c r="B2137">
        <f>0*(1-0.8198)</f>
        <v>0</v>
      </c>
      <c r="C2137" s="1">
        <v>3</v>
      </c>
    </row>
    <row r="2138" spans="1:3" x14ac:dyDescent="0.3">
      <c r="A2138" t="s">
        <v>2137</v>
      </c>
      <c r="B2138">
        <f>0*(1-0.8198)</f>
        <v>0</v>
      </c>
      <c r="C2138" s="1">
        <v>2</v>
      </c>
    </row>
    <row r="2139" spans="1:3" x14ac:dyDescent="0.3">
      <c r="A2139" t="s">
        <v>2138</v>
      </c>
      <c r="B2139">
        <f>0*(1-0.8198)</f>
        <v>0</v>
      </c>
      <c r="C2139" s="1">
        <v>2</v>
      </c>
    </row>
    <row r="2140" spans="1:3" x14ac:dyDescent="0.3">
      <c r="A2140" t="s">
        <v>2139</v>
      </c>
      <c r="B2140">
        <f>0*(1-0.8198)</f>
        <v>0</v>
      </c>
      <c r="C2140" s="1">
        <v>3</v>
      </c>
    </row>
    <row r="2141" spans="1:3" x14ac:dyDescent="0.3">
      <c r="A2141" t="s">
        <v>2140</v>
      </c>
      <c r="B2141">
        <f>0*(1-0.8198)</f>
        <v>0</v>
      </c>
      <c r="C2141" s="1">
        <v>3</v>
      </c>
    </row>
    <row r="2142" spans="1:3" x14ac:dyDescent="0.3">
      <c r="A2142" t="s">
        <v>2141</v>
      </c>
      <c r="B2142">
        <f>0*(1-0.8198)</f>
        <v>0</v>
      </c>
      <c r="C2142" s="1">
        <v>2</v>
      </c>
    </row>
    <row r="2143" spans="1:3" x14ac:dyDescent="0.3">
      <c r="A2143" t="s">
        <v>2142</v>
      </c>
      <c r="B2143">
        <f>0*(1-0.8198)</f>
        <v>0</v>
      </c>
      <c r="C2143" s="1">
        <v>2</v>
      </c>
    </row>
    <row r="2144" spans="1:3" x14ac:dyDescent="0.3">
      <c r="A2144" t="s">
        <v>2143</v>
      </c>
      <c r="B2144">
        <f>1.03888*(1-0.8198)</f>
        <v>0.18720617600000009</v>
      </c>
      <c r="C2144" s="1">
        <v>3</v>
      </c>
    </row>
    <row r="2145" spans="1:3" x14ac:dyDescent="0.3">
      <c r="A2145" t="s">
        <v>2144</v>
      </c>
      <c r="B2145">
        <f>9.41534204285714*(1-0.8198)</f>
        <v>1.6966446361228573</v>
      </c>
      <c r="C2145" s="1">
        <v>3</v>
      </c>
    </row>
    <row r="2146" spans="1:3" x14ac:dyDescent="0.3">
      <c r="A2146" t="s">
        <v>2145</v>
      </c>
      <c r="B2146">
        <f>27.3927743028571*(1-0.8198)</f>
        <v>4.9361779293748578</v>
      </c>
      <c r="C2146" s="1">
        <v>2</v>
      </c>
    </row>
    <row r="2147" spans="1:3" x14ac:dyDescent="0.3">
      <c r="A2147" t="s">
        <v>2146</v>
      </c>
      <c r="B2147">
        <f>42.0571723557143*(1-0.8198)</f>
        <v>7.5787024584997171</v>
      </c>
      <c r="C2147" s="1">
        <v>3</v>
      </c>
    </row>
    <row r="2148" spans="1:3" x14ac:dyDescent="0.3">
      <c r="A2148" t="s">
        <v>2147</v>
      </c>
      <c r="B2148">
        <f>51.0993734214286*(1-0.8198)</f>
        <v>9.2081070905414304</v>
      </c>
      <c r="C2148" s="1">
        <v>2</v>
      </c>
    </row>
    <row r="2149" spans="1:3" x14ac:dyDescent="0.3">
      <c r="A2149" t="s">
        <v>2148</v>
      </c>
      <c r="B2149">
        <f>54.4455343371429*(1-0.8198)</f>
        <v>9.811085287553146</v>
      </c>
      <c r="C2149" s="1">
        <v>3</v>
      </c>
    </row>
    <row r="2150" spans="1:3" x14ac:dyDescent="0.3">
      <c r="A2150" t="s">
        <v>2149</v>
      </c>
      <c r="B2150">
        <f>50.2352688257143*(1-0.8198)</f>
        <v>9.0523954423937152</v>
      </c>
      <c r="C2150" s="1">
        <v>2</v>
      </c>
    </row>
    <row r="2151" spans="1:3" x14ac:dyDescent="0.3">
      <c r="A2151" t="s">
        <v>2150</v>
      </c>
      <c r="B2151">
        <f>43.93371232*(1-0.8198)</f>
        <v>7.9168549600640032</v>
      </c>
      <c r="C2151" s="1">
        <v>2</v>
      </c>
    </row>
    <row r="2152" spans="1:3" x14ac:dyDescent="0.3">
      <c r="A2152" t="s">
        <v>2151</v>
      </c>
      <c r="B2152">
        <f>41.6384070271429*(1-0.8198)</f>
        <v>7.5032409462911449</v>
      </c>
      <c r="C2152" s="1">
        <v>3</v>
      </c>
    </row>
    <row r="2153" spans="1:3" x14ac:dyDescent="0.3">
      <c r="A2153" t="s">
        <v>2152</v>
      </c>
      <c r="B2153">
        <f>34.76385568*(1-0.8198)</f>
        <v>6.2644467935360009</v>
      </c>
      <c r="C2153" s="1">
        <v>2</v>
      </c>
    </row>
    <row r="2154" spans="1:3" x14ac:dyDescent="0.3">
      <c r="A2154" t="s">
        <v>2153</v>
      </c>
      <c r="B2154">
        <f>15.43504995*(1-0.8198)</f>
        <v>2.7813960009900005</v>
      </c>
      <c r="C2154" s="1">
        <v>3</v>
      </c>
    </row>
    <row r="2155" spans="1:3" x14ac:dyDescent="0.3">
      <c r="A2155" t="s">
        <v>2154</v>
      </c>
      <c r="B2155">
        <f>6.26503531571429*(1-0.8198)</f>
        <v>1.1289593638917148</v>
      </c>
      <c r="C2155" s="1">
        <v>2</v>
      </c>
    </row>
    <row r="2156" spans="1:3" x14ac:dyDescent="0.3">
      <c r="A2156" t="s">
        <v>2155</v>
      </c>
      <c r="B2156">
        <f>0*(1-0.8198)</f>
        <v>0</v>
      </c>
      <c r="C2156" s="1">
        <v>3</v>
      </c>
    </row>
    <row r="2157" spans="1:3" x14ac:dyDescent="0.3">
      <c r="A2157" t="s">
        <v>2156</v>
      </c>
      <c r="B2157">
        <f>0*(1-0.8198)</f>
        <v>0</v>
      </c>
      <c r="C2157" s="1">
        <v>2</v>
      </c>
    </row>
    <row r="2158" spans="1:3" x14ac:dyDescent="0.3">
      <c r="A2158" t="s">
        <v>2157</v>
      </c>
      <c r="B2158">
        <f>0*(1-0.8198)</f>
        <v>0</v>
      </c>
      <c r="C2158" s="1">
        <v>3</v>
      </c>
    </row>
    <row r="2159" spans="1:3" x14ac:dyDescent="0.3">
      <c r="A2159" t="s">
        <v>2158</v>
      </c>
      <c r="B2159">
        <f>0*(1-0.8198)</f>
        <v>0</v>
      </c>
      <c r="C2159" s="1">
        <v>2</v>
      </c>
    </row>
    <row r="2160" spans="1:3" x14ac:dyDescent="0.3">
      <c r="A2160" t="s">
        <v>2159</v>
      </c>
      <c r="B2160">
        <f>0*(1-0.8198)</f>
        <v>0</v>
      </c>
      <c r="C2160" s="1">
        <v>3</v>
      </c>
    </row>
    <row r="2161" spans="1:3" x14ac:dyDescent="0.3">
      <c r="A2161" t="s">
        <v>2160</v>
      </c>
      <c r="B2161">
        <f>0*(1-0.8198)</f>
        <v>0</v>
      </c>
      <c r="C2161" s="1">
        <v>2.6280000000000001</v>
      </c>
    </row>
    <row r="2162" spans="1:3" x14ac:dyDescent="0.3">
      <c r="A2162" t="s">
        <v>2161</v>
      </c>
      <c r="B2162">
        <f>0*(1-0.8198)</f>
        <v>0</v>
      </c>
      <c r="C2162" s="1">
        <v>2.6280000000000001</v>
      </c>
    </row>
    <row r="2163" spans="1:3" x14ac:dyDescent="0.3">
      <c r="A2163" t="s">
        <v>2162</v>
      </c>
      <c r="B2163">
        <f>0*(1-0.8198)</f>
        <v>0</v>
      </c>
      <c r="C2163" s="1">
        <v>2.6280000000000001</v>
      </c>
    </row>
    <row r="2164" spans="1:3" x14ac:dyDescent="0.3">
      <c r="A2164" t="s">
        <v>2163</v>
      </c>
      <c r="B2164">
        <f>0*(1-0.8198)</f>
        <v>0</v>
      </c>
      <c r="C2164" s="1">
        <v>2.6280000000000001</v>
      </c>
    </row>
    <row r="2165" spans="1:3" x14ac:dyDescent="0.3">
      <c r="A2165" t="s">
        <v>2164</v>
      </c>
      <c r="B2165">
        <f>0*(1-0.8198)</f>
        <v>0</v>
      </c>
      <c r="C2165" s="1">
        <v>2.6280000000000001</v>
      </c>
    </row>
    <row r="2166" spans="1:3" x14ac:dyDescent="0.3">
      <c r="A2166" t="s">
        <v>2165</v>
      </c>
      <c r="B2166">
        <f>0*(1-0.8198)</f>
        <v>0</v>
      </c>
      <c r="C2166" s="1">
        <v>2.6280000000000001</v>
      </c>
    </row>
    <row r="2167" spans="1:3" x14ac:dyDescent="0.3">
      <c r="A2167" t="s">
        <v>2166</v>
      </c>
      <c r="B2167">
        <f>0*(1-0.8198)</f>
        <v>0</v>
      </c>
      <c r="C2167" s="1">
        <v>2.6280000000000001</v>
      </c>
    </row>
    <row r="2168" spans="1:3" x14ac:dyDescent="0.3">
      <c r="A2168" t="s">
        <v>2167</v>
      </c>
      <c r="B2168">
        <f>0.2451*(1-0.8198)</f>
        <v>4.4167020000000008E-2</v>
      </c>
      <c r="C2168" s="1">
        <v>2.6280000000000001</v>
      </c>
    </row>
    <row r="2169" spans="1:3" x14ac:dyDescent="0.3">
      <c r="A2169" t="s">
        <v>2168</v>
      </c>
      <c r="B2169">
        <f>1.48436*(1-0.8198)</f>
        <v>0.26748167200000006</v>
      </c>
      <c r="C2169" s="1">
        <v>5.7469999999999999</v>
      </c>
    </row>
    <row r="2170" spans="1:3" x14ac:dyDescent="0.3">
      <c r="A2170" t="s">
        <v>2169</v>
      </c>
      <c r="B2170">
        <f>4.2871*(1-0.8198)</f>
        <v>0.77253542000000019</v>
      </c>
      <c r="C2170" s="1">
        <v>7.258</v>
      </c>
    </row>
    <row r="2171" spans="1:3" x14ac:dyDescent="0.3">
      <c r="A2171" t="s">
        <v>2170</v>
      </c>
      <c r="B2171">
        <f>12.48892*(1-0.8198)</f>
        <v>2.2505033840000008</v>
      </c>
      <c r="C2171" s="1">
        <v>7.258</v>
      </c>
    </row>
    <row r="2172" spans="1:3" x14ac:dyDescent="0.3">
      <c r="A2172" t="s">
        <v>2171</v>
      </c>
      <c r="B2172">
        <f>50.7111144428572*(1-0.8198)</f>
        <v>9.1381428226028607</v>
      </c>
      <c r="C2172" s="1">
        <v>7.258</v>
      </c>
    </row>
    <row r="2173" spans="1:3" x14ac:dyDescent="0.3">
      <c r="A2173" t="s">
        <v>2172</v>
      </c>
      <c r="B2173">
        <f>58.3491981771429*(1-0.8198)</f>
        <v>10.514525511521146</v>
      </c>
      <c r="C2173" s="1">
        <v>7.258</v>
      </c>
    </row>
    <row r="2174" spans="1:3" x14ac:dyDescent="0.3">
      <c r="A2174" t="s">
        <v>2173</v>
      </c>
      <c r="B2174">
        <f>59.1685928471429*(1-0.8198)</f>
        <v>10.662180431055148</v>
      </c>
      <c r="C2174" s="1">
        <v>7.258</v>
      </c>
    </row>
    <row r="2175" spans="1:3" x14ac:dyDescent="0.3">
      <c r="A2175" t="s">
        <v>2174</v>
      </c>
      <c r="B2175">
        <f>52.6259706628571*(1-0.8198)</f>
        <v>9.4831999134468585</v>
      </c>
      <c r="C2175" s="1">
        <v>5.7469999999999999</v>
      </c>
    </row>
    <row r="2176" spans="1:3" x14ac:dyDescent="0.3">
      <c r="A2176" t="s">
        <v>2175</v>
      </c>
      <c r="B2176">
        <f>29.2805091328571*(1-0.8198)</f>
        <v>5.2763477457408579</v>
      </c>
      <c r="C2176" s="1">
        <v>5.7469999999999999</v>
      </c>
    </row>
    <row r="2177" spans="1:3" x14ac:dyDescent="0.3">
      <c r="A2177" t="s">
        <v>2176</v>
      </c>
      <c r="B2177">
        <f>28.2857212714286*(1-0.8198)</f>
        <v>5.0970869731114297</v>
      </c>
      <c r="C2177" s="1">
        <v>5.7469999999999999</v>
      </c>
    </row>
    <row r="2178" spans="1:3" x14ac:dyDescent="0.3">
      <c r="A2178" t="s">
        <v>2177</v>
      </c>
      <c r="B2178">
        <f>21.6429691028571*(1-0.8198)</f>
        <v>3.9000630323348586</v>
      </c>
      <c r="C2178" s="1">
        <v>5.7469999999999999</v>
      </c>
    </row>
    <row r="2179" spans="1:3" x14ac:dyDescent="0.3">
      <c r="A2179" t="s">
        <v>2178</v>
      </c>
      <c r="B2179">
        <f>7.41754318428571*(1-0.8198)</f>
        <v>1.336641281808286</v>
      </c>
      <c r="C2179" s="1">
        <v>7.258</v>
      </c>
    </row>
    <row r="2180" spans="1:3" x14ac:dyDescent="0.3">
      <c r="A2180" t="s">
        <v>2179</v>
      </c>
      <c r="B2180">
        <f>0*(1-0.8198)</f>
        <v>0</v>
      </c>
      <c r="C2180" s="1">
        <v>7.258</v>
      </c>
    </row>
    <row r="2181" spans="1:3" x14ac:dyDescent="0.3">
      <c r="A2181" t="s">
        <v>2180</v>
      </c>
      <c r="B2181">
        <f>0*(1-0.8198)</f>
        <v>0</v>
      </c>
      <c r="C2181" s="1">
        <v>7.258</v>
      </c>
    </row>
    <row r="2182" spans="1:3" x14ac:dyDescent="0.3">
      <c r="A2182" t="s">
        <v>2181</v>
      </c>
      <c r="B2182">
        <f>0*(1-0.8198)</f>
        <v>0</v>
      </c>
      <c r="C2182" s="1">
        <v>7.258</v>
      </c>
    </row>
    <row r="2183" spans="1:3" x14ac:dyDescent="0.3">
      <c r="A2183" t="s">
        <v>2182</v>
      </c>
      <c r="B2183">
        <f>0*(1-0.8198)</f>
        <v>0</v>
      </c>
      <c r="C2183" s="1">
        <v>5.7469999999999999</v>
      </c>
    </row>
    <row r="2184" spans="1:3" x14ac:dyDescent="0.3">
      <c r="A2184" t="s">
        <v>2183</v>
      </c>
      <c r="B2184">
        <f>0*(1-0.8198)</f>
        <v>0</v>
      </c>
      <c r="C2184" s="1">
        <v>5.7469999999999999</v>
      </c>
    </row>
    <row r="2185" spans="1:3" x14ac:dyDescent="0.3">
      <c r="A2185" t="s">
        <v>2184</v>
      </c>
      <c r="B2185">
        <f>0*(1-0.8198)</f>
        <v>0</v>
      </c>
      <c r="C2185" s="1">
        <v>2.6280000000000001</v>
      </c>
    </row>
    <row r="2186" spans="1:3" x14ac:dyDescent="0.3">
      <c r="A2186" t="s">
        <v>2185</v>
      </c>
      <c r="B2186">
        <f>0*(1-0.8198)</f>
        <v>0</v>
      </c>
      <c r="C2186" s="1">
        <v>2.6280000000000001</v>
      </c>
    </row>
    <row r="2187" spans="1:3" x14ac:dyDescent="0.3">
      <c r="A2187" t="s">
        <v>2186</v>
      </c>
      <c r="B2187">
        <f>0*(1-0.8198)</f>
        <v>0</v>
      </c>
      <c r="C2187" s="1">
        <v>2.6280000000000001</v>
      </c>
    </row>
    <row r="2188" spans="1:3" x14ac:dyDescent="0.3">
      <c r="A2188" t="s">
        <v>2187</v>
      </c>
      <c r="B2188">
        <f>0*(1-0.8198)</f>
        <v>0</v>
      </c>
      <c r="C2188" s="1">
        <v>2.6280000000000001</v>
      </c>
    </row>
    <row r="2189" spans="1:3" x14ac:dyDescent="0.3">
      <c r="A2189" t="s">
        <v>2188</v>
      </c>
      <c r="B2189">
        <f>0*(1-0.8198)</f>
        <v>0</v>
      </c>
      <c r="C2189" s="1">
        <v>2.6280000000000001</v>
      </c>
    </row>
    <row r="2190" spans="1:3" x14ac:dyDescent="0.3">
      <c r="A2190" t="s">
        <v>2189</v>
      </c>
      <c r="B2190">
        <f>0*(1-0.8198)</f>
        <v>0</v>
      </c>
      <c r="C2190" s="1">
        <v>2.6280000000000001</v>
      </c>
    </row>
    <row r="2191" spans="1:3" x14ac:dyDescent="0.3">
      <c r="A2191" t="s">
        <v>2190</v>
      </c>
      <c r="B2191">
        <f>0*(1-0.8198)</f>
        <v>0</v>
      </c>
      <c r="C2191" s="1">
        <v>2.6280000000000001</v>
      </c>
    </row>
    <row r="2192" spans="1:3" x14ac:dyDescent="0.3">
      <c r="A2192" t="s">
        <v>2191</v>
      </c>
      <c r="B2192">
        <f>1.37514*(1-0.8198)</f>
        <v>0.24780022800000012</v>
      </c>
      <c r="C2192" s="1">
        <v>2.6280000000000001</v>
      </c>
    </row>
    <row r="2193" spans="1:3" x14ac:dyDescent="0.3">
      <c r="A2193" t="s">
        <v>2192</v>
      </c>
      <c r="B2193">
        <f>18.8245756285714*(1-0.8198)</f>
        <v>3.3921885282685724</v>
      </c>
      <c r="C2193" s="1">
        <v>5.7469999999999999</v>
      </c>
    </row>
    <row r="2194" spans="1:3" x14ac:dyDescent="0.3">
      <c r="A2194" t="s">
        <v>2193</v>
      </c>
      <c r="B2194">
        <f>34.9794272114286*(1-0.8198)</f>
        <v>6.3032927834994297</v>
      </c>
      <c r="C2194" s="1">
        <v>7.258</v>
      </c>
    </row>
    <row r="2195" spans="1:3" x14ac:dyDescent="0.3">
      <c r="A2195" t="s">
        <v>2194</v>
      </c>
      <c r="B2195">
        <f>47.9767349214286*(1-0.8198)</f>
        <v>8.6454076328414295</v>
      </c>
      <c r="C2195" s="1">
        <v>7.258</v>
      </c>
    </row>
    <row r="2196" spans="1:3" x14ac:dyDescent="0.3">
      <c r="A2196" t="s">
        <v>2195</v>
      </c>
      <c r="B2196">
        <f>56.3656531428571*(1-0.8198)</f>
        <v>10.157090696342859</v>
      </c>
      <c r="C2196" s="1">
        <v>7.258</v>
      </c>
    </row>
    <row r="2197" spans="1:3" x14ac:dyDescent="0.3">
      <c r="A2197" t="s">
        <v>2196</v>
      </c>
      <c r="B2197">
        <f>60.7354444157143*(1-0.8198)</f>
        <v>10.944527083711719</v>
      </c>
      <c r="C2197" s="1">
        <v>7.258</v>
      </c>
    </row>
    <row r="2198" spans="1:3" x14ac:dyDescent="0.3">
      <c r="A2198" t="s">
        <v>2197</v>
      </c>
      <c r="B2198">
        <f>60.1892783185714*(1-0.8198)</f>
        <v>10.846107953006575</v>
      </c>
      <c r="C2198" s="1">
        <v>7.258</v>
      </c>
    </row>
    <row r="2199" spans="1:3" x14ac:dyDescent="0.3">
      <c r="A2199" t="s">
        <v>2198</v>
      </c>
      <c r="B2199">
        <f>54.88890488*(1-0.8198)</f>
        <v>9.8909806593760017</v>
      </c>
      <c r="C2199" s="1">
        <v>5.7469999999999999</v>
      </c>
    </row>
    <row r="2200" spans="1:3" x14ac:dyDescent="0.3">
      <c r="A2200" t="s">
        <v>2199</v>
      </c>
      <c r="B2200">
        <f>45.3339057785714*(1-0.8198)</f>
        <v>8.1691698212985742</v>
      </c>
      <c r="C2200" s="1">
        <v>5.7469999999999999</v>
      </c>
    </row>
    <row r="2201" spans="1:3" x14ac:dyDescent="0.3">
      <c r="A2201" t="s">
        <v>2200</v>
      </c>
      <c r="B2201">
        <f>18.9613115128571*(1-0.8198)</f>
        <v>3.4168283346168571</v>
      </c>
      <c r="C2201" s="1">
        <v>5.7469999999999999</v>
      </c>
    </row>
    <row r="2202" spans="1:3" x14ac:dyDescent="0.3">
      <c r="A2202" t="s">
        <v>2201</v>
      </c>
      <c r="B2202">
        <f>18.8272235071429*(1-0.8198)</f>
        <v>3.3926656759871436</v>
      </c>
      <c r="C2202" s="1">
        <v>5.7469999999999999</v>
      </c>
    </row>
    <row r="2203" spans="1:3" x14ac:dyDescent="0.3">
      <c r="A2203" t="s">
        <v>2202</v>
      </c>
      <c r="B2203">
        <f>6.75651063428571*(1-0.8198)</f>
        <v>1.2175232162982859</v>
      </c>
      <c r="C2203" s="1">
        <v>7.258</v>
      </c>
    </row>
    <row r="2204" spans="1:3" x14ac:dyDescent="0.3">
      <c r="A2204" t="s">
        <v>2203</v>
      </c>
      <c r="B2204">
        <f>0*(1-0.8198)</f>
        <v>0</v>
      </c>
      <c r="C2204" s="1">
        <v>7.258</v>
      </c>
    </row>
    <row r="2205" spans="1:3" x14ac:dyDescent="0.3">
      <c r="A2205" t="s">
        <v>2204</v>
      </c>
      <c r="B2205">
        <f>0*(1-0.8198)</f>
        <v>0</v>
      </c>
      <c r="C2205" s="1">
        <v>7.258</v>
      </c>
    </row>
    <row r="2206" spans="1:3" x14ac:dyDescent="0.3">
      <c r="A2206" t="s">
        <v>2205</v>
      </c>
      <c r="B2206">
        <f>0*(1-0.8198)</f>
        <v>0</v>
      </c>
      <c r="C2206" s="1">
        <v>7.258</v>
      </c>
    </row>
    <row r="2207" spans="1:3" x14ac:dyDescent="0.3">
      <c r="A2207" t="s">
        <v>2206</v>
      </c>
      <c r="B2207">
        <f>0*(1-0.8198)</f>
        <v>0</v>
      </c>
      <c r="C2207" s="1">
        <v>5.7469999999999999</v>
      </c>
    </row>
    <row r="2208" spans="1:3" x14ac:dyDescent="0.3">
      <c r="A2208" t="s">
        <v>2207</v>
      </c>
      <c r="B2208">
        <f>0*(1-0.8198)</f>
        <v>0</v>
      </c>
      <c r="C2208" s="1">
        <v>5.7469999999999999</v>
      </c>
    </row>
    <row r="2209" spans="1:3" x14ac:dyDescent="0.3">
      <c r="A2209" t="s">
        <v>2208</v>
      </c>
      <c r="B2209">
        <f>0*(1-0.8198)</f>
        <v>0</v>
      </c>
      <c r="C2209" s="1">
        <v>2.6280000000000001</v>
      </c>
    </row>
    <row r="2210" spans="1:3" x14ac:dyDescent="0.3">
      <c r="A2210" t="s">
        <v>2209</v>
      </c>
      <c r="B2210">
        <f>0*(1-0.8198)</f>
        <v>0</v>
      </c>
      <c r="C2210" s="1">
        <v>2.6280000000000001</v>
      </c>
    </row>
    <row r="2211" spans="1:3" x14ac:dyDescent="0.3">
      <c r="A2211" t="s">
        <v>2210</v>
      </c>
      <c r="B2211">
        <f>0*(1-0.8198)</f>
        <v>0</v>
      </c>
      <c r="C2211" s="1">
        <v>2.6280000000000001</v>
      </c>
    </row>
    <row r="2212" spans="1:3" x14ac:dyDescent="0.3">
      <c r="A2212" t="s">
        <v>2211</v>
      </c>
      <c r="B2212">
        <f>0*(1-0.8198)</f>
        <v>0</v>
      </c>
      <c r="C2212" s="1">
        <v>2.6280000000000001</v>
      </c>
    </row>
    <row r="2213" spans="1:3" x14ac:dyDescent="0.3">
      <c r="A2213" t="s">
        <v>2212</v>
      </c>
      <c r="B2213">
        <f>0*(1-0.8198)</f>
        <v>0</v>
      </c>
      <c r="C2213" s="1">
        <v>2.6280000000000001</v>
      </c>
    </row>
    <row r="2214" spans="1:3" x14ac:dyDescent="0.3">
      <c r="A2214" t="s">
        <v>2213</v>
      </c>
      <c r="B2214">
        <f>0*(1-0.8198)</f>
        <v>0</v>
      </c>
      <c r="C2214" s="1">
        <v>2.6280000000000001</v>
      </c>
    </row>
    <row r="2215" spans="1:3" x14ac:dyDescent="0.3">
      <c r="A2215" t="s">
        <v>2214</v>
      </c>
      <c r="B2215">
        <f>0*(1-0.8198)</f>
        <v>0</v>
      </c>
      <c r="C2215" s="1">
        <v>2.6280000000000001</v>
      </c>
    </row>
    <row r="2216" spans="1:3" x14ac:dyDescent="0.3">
      <c r="A2216" t="s">
        <v>2215</v>
      </c>
      <c r="B2216">
        <f>4.40990241*(1-0.8198)</f>
        <v>0.79466441428200008</v>
      </c>
      <c r="C2216" s="1">
        <v>2.6280000000000001</v>
      </c>
    </row>
    <row r="2217" spans="1:3" x14ac:dyDescent="0.3">
      <c r="A2217" t="s">
        <v>2216</v>
      </c>
      <c r="B2217">
        <f>18.9096080671429*(1-0.8198)</f>
        <v>3.4075113736991431</v>
      </c>
      <c r="C2217" s="1">
        <v>5.7469999999999999</v>
      </c>
    </row>
    <row r="2218" spans="1:3" x14ac:dyDescent="0.3">
      <c r="A2218" t="s">
        <v>2217</v>
      </c>
      <c r="B2218">
        <f>33.7722579271429*(1-0.8198)</f>
        <v>6.0857608784711443</v>
      </c>
      <c r="C2218" s="1">
        <v>7.258</v>
      </c>
    </row>
    <row r="2219" spans="1:3" x14ac:dyDescent="0.3">
      <c r="A2219" t="s">
        <v>2218</v>
      </c>
      <c r="B2219">
        <f>45.1635840071429*(1-0.8198)</f>
        <v>8.1384778380871445</v>
      </c>
      <c r="C2219" s="1">
        <v>7.258</v>
      </c>
    </row>
    <row r="2220" spans="1:3" x14ac:dyDescent="0.3">
      <c r="A2220" t="s">
        <v>2219</v>
      </c>
      <c r="B2220">
        <f>53.6653114385714*(1-0.8198)</f>
        <v>9.6704891212305739</v>
      </c>
      <c r="C2220" s="1">
        <v>7.258</v>
      </c>
    </row>
    <row r="2221" spans="1:3" x14ac:dyDescent="0.3">
      <c r="A2221" t="s">
        <v>2220</v>
      </c>
      <c r="B2221">
        <f>60.0246550914286*(1-0.8198)</f>
        <v>10.816442847475431</v>
      </c>
      <c r="C2221" s="1">
        <v>7.258</v>
      </c>
    </row>
    <row r="2222" spans="1:3" x14ac:dyDescent="0.3">
      <c r="A2222" t="s">
        <v>2221</v>
      </c>
      <c r="B2222">
        <f>61.4285714285714*(1-0.8198)</f>
        <v>11.069428571428574</v>
      </c>
      <c r="C2222" s="1">
        <v>7.258</v>
      </c>
    </row>
    <row r="2223" spans="1:3" x14ac:dyDescent="0.3">
      <c r="A2223" t="s">
        <v>2222</v>
      </c>
      <c r="B2223">
        <f>57.6853604914286*(1-0.8198)</f>
        <v>10.394901960555432</v>
      </c>
      <c r="C2223" s="1">
        <v>5.7469999999999999</v>
      </c>
    </row>
    <row r="2224" spans="1:3" x14ac:dyDescent="0.3">
      <c r="A2224" t="s">
        <v>2223</v>
      </c>
      <c r="B2224">
        <f>49.98856726*(1-0.8198)</f>
        <v>9.0079398202520018</v>
      </c>
      <c r="C2224" s="1">
        <v>5.7469999999999999</v>
      </c>
    </row>
    <row r="2225" spans="1:3" x14ac:dyDescent="0.3">
      <c r="A2225" t="s">
        <v>2224</v>
      </c>
      <c r="B2225">
        <f>38.3196051071429*(1-0.8198)</f>
        <v>6.9051928403071452</v>
      </c>
      <c r="C2225" s="1">
        <v>5.7469999999999999</v>
      </c>
    </row>
    <row r="2226" spans="1:3" x14ac:dyDescent="0.3">
      <c r="A2226" t="s">
        <v>2225</v>
      </c>
      <c r="B2226">
        <f>23.1637661971429*(1-0.8198)</f>
        <v>4.1741106687251435</v>
      </c>
      <c r="C2226" s="1">
        <v>5.7469999999999999</v>
      </c>
    </row>
    <row r="2227" spans="1:3" x14ac:dyDescent="0.3">
      <c r="A2227" t="s">
        <v>2226</v>
      </c>
      <c r="B2227">
        <f>8.03337849571429*(1-0.8198)</f>
        <v>1.4476148049277147</v>
      </c>
      <c r="C2227" s="1">
        <v>7.258</v>
      </c>
    </row>
    <row r="2228" spans="1:3" x14ac:dyDescent="0.3">
      <c r="A2228" t="s">
        <v>2227</v>
      </c>
      <c r="B2228">
        <f>0*(1-0.8198)</f>
        <v>0</v>
      </c>
      <c r="C2228" s="1">
        <v>7.258</v>
      </c>
    </row>
    <row r="2229" spans="1:3" x14ac:dyDescent="0.3">
      <c r="A2229" t="s">
        <v>2228</v>
      </c>
      <c r="B2229">
        <f>0*(1-0.8198)</f>
        <v>0</v>
      </c>
      <c r="C2229" s="1">
        <v>7.258</v>
      </c>
    </row>
    <row r="2230" spans="1:3" x14ac:dyDescent="0.3">
      <c r="A2230" t="s">
        <v>2229</v>
      </c>
      <c r="B2230">
        <f>0*(1-0.8198)</f>
        <v>0</v>
      </c>
      <c r="C2230" s="1">
        <v>7.258</v>
      </c>
    </row>
    <row r="2231" spans="1:3" x14ac:dyDescent="0.3">
      <c r="A2231" t="s">
        <v>2230</v>
      </c>
      <c r="B2231">
        <f>0*(1-0.8198)</f>
        <v>0</v>
      </c>
      <c r="C2231" s="1">
        <v>5.7469999999999999</v>
      </c>
    </row>
    <row r="2232" spans="1:3" x14ac:dyDescent="0.3">
      <c r="A2232" t="s">
        <v>2231</v>
      </c>
      <c r="B2232">
        <f>0*(1-0.8198)</f>
        <v>0</v>
      </c>
      <c r="C2232" s="1">
        <v>5.7469999999999999</v>
      </c>
    </row>
    <row r="2233" spans="1:3" x14ac:dyDescent="0.3">
      <c r="A2233" t="s">
        <v>2232</v>
      </c>
      <c r="B2233">
        <f>0*(1-0.8198)</f>
        <v>0</v>
      </c>
      <c r="C2233" s="1">
        <v>2.6280000000000001</v>
      </c>
    </row>
    <row r="2234" spans="1:3" x14ac:dyDescent="0.3">
      <c r="A2234" t="s">
        <v>2233</v>
      </c>
      <c r="B2234">
        <f>0*(1-0.8198)</f>
        <v>0</v>
      </c>
      <c r="C2234" s="1">
        <v>2.6280000000000001</v>
      </c>
    </row>
    <row r="2235" spans="1:3" x14ac:dyDescent="0.3">
      <c r="A2235" t="s">
        <v>2234</v>
      </c>
      <c r="B2235">
        <f>0*(1-0.8198)</f>
        <v>0</v>
      </c>
      <c r="C2235" s="1">
        <v>2.6280000000000001</v>
      </c>
    </row>
    <row r="2236" spans="1:3" x14ac:dyDescent="0.3">
      <c r="A2236" t="s">
        <v>2235</v>
      </c>
      <c r="B2236">
        <f>0*(1-0.8198)</f>
        <v>0</v>
      </c>
      <c r="C2236" s="1">
        <v>2.6280000000000001</v>
      </c>
    </row>
    <row r="2237" spans="1:3" x14ac:dyDescent="0.3">
      <c r="A2237" t="s">
        <v>2236</v>
      </c>
      <c r="B2237">
        <f>0*(1-0.8198)</f>
        <v>0</v>
      </c>
      <c r="C2237" s="1">
        <v>2.6280000000000001</v>
      </c>
    </row>
    <row r="2238" spans="1:3" x14ac:dyDescent="0.3">
      <c r="A2238" t="s">
        <v>2237</v>
      </c>
      <c r="B2238">
        <f>0*(1-0.8198)</f>
        <v>0</v>
      </c>
      <c r="C2238" s="1">
        <v>2.6280000000000001</v>
      </c>
    </row>
    <row r="2239" spans="1:3" x14ac:dyDescent="0.3">
      <c r="A2239" t="s">
        <v>2238</v>
      </c>
      <c r="B2239">
        <f>0*(1-0.8198)</f>
        <v>0</v>
      </c>
      <c r="C2239" s="1">
        <v>2.6280000000000001</v>
      </c>
    </row>
    <row r="2240" spans="1:3" x14ac:dyDescent="0.3">
      <c r="A2240" t="s">
        <v>2239</v>
      </c>
      <c r="B2240">
        <f>4.71504410857143*(1-0.8198)</f>
        <v>0.84965094836457167</v>
      </c>
      <c r="C2240" s="1">
        <v>2.6280000000000001</v>
      </c>
    </row>
    <row r="2241" spans="1:3" x14ac:dyDescent="0.3">
      <c r="A2241" t="s">
        <v>2240</v>
      </c>
      <c r="B2241">
        <f>19.22117028*(1-0.8198)</f>
        <v>3.4636548844560009</v>
      </c>
      <c r="C2241" s="1">
        <v>5.7469999999999999</v>
      </c>
    </row>
    <row r="2242" spans="1:3" x14ac:dyDescent="0.3">
      <c r="A2242" t="s">
        <v>2241</v>
      </c>
      <c r="B2242">
        <f>34.2638659314286*(1-0.8198)</f>
        <v>6.1743486408434292</v>
      </c>
      <c r="C2242" s="1">
        <v>7.258</v>
      </c>
    </row>
    <row r="2243" spans="1:3" x14ac:dyDescent="0.3">
      <c r="A2243" t="s">
        <v>2242</v>
      </c>
      <c r="B2243">
        <f>46.9241492857143*(1-0.8198)</f>
        <v>8.4557317012857158</v>
      </c>
      <c r="C2243" s="1">
        <v>7.258</v>
      </c>
    </row>
    <row r="2244" spans="1:3" x14ac:dyDescent="0.3">
      <c r="A2244" t="s">
        <v>2243</v>
      </c>
      <c r="B2244">
        <f>49.9380528257143*(1-0.8198)</f>
        <v>8.9988371191937162</v>
      </c>
      <c r="C2244" s="1">
        <v>7.258</v>
      </c>
    </row>
    <row r="2245" spans="1:3" x14ac:dyDescent="0.3">
      <c r="A2245" t="s">
        <v>2244</v>
      </c>
      <c r="B2245">
        <f>56.9222047842857*(1-0.8198)</f>
        <v>10.257381302128287</v>
      </c>
      <c r="C2245" s="1">
        <v>7.258</v>
      </c>
    </row>
    <row r="2246" spans="1:3" x14ac:dyDescent="0.3">
      <c r="A2246" t="s">
        <v>2245</v>
      </c>
      <c r="B2246">
        <f>61.4285714285714*(1-0.8198)</f>
        <v>11.069428571428574</v>
      </c>
      <c r="C2246" s="1">
        <v>7.258</v>
      </c>
    </row>
    <row r="2247" spans="1:3" x14ac:dyDescent="0.3">
      <c r="A2247" t="s">
        <v>2246</v>
      </c>
      <c r="B2247">
        <f>58.0422265214286*(1-0.8198)</f>
        <v>10.45920921916143</v>
      </c>
      <c r="C2247" s="1">
        <v>5.7469999999999999</v>
      </c>
    </row>
    <row r="2248" spans="1:3" x14ac:dyDescent="0.3">
      <c r="A2248" t="s">
        <v>2247</v>
      </c>
      <c r="B2248">
        <f>47.8171040557143*(1-0.8198)</f>
        <v>8.6166421508397182</v>
      </c>
      <c r="C2248" s="1">
        <v>5.7469999999999999</v>
      </c>
    </row>
    <row r="2249" spans="1:3" x14ac:dyDescent="0.3">
      <c r="A2249" t="s">
        <v>2248</v>
      </c>
      <c r="B2249">
        <f>28.7588871285714*(1-0.8198)</f>
        <v>5.1823514605685732</v>
      </c>
      <c r="C2249" s="1">
        <v>5.7469999999999999</v>
      </c>
    </row>
    <row r="2250" spans="1:3" x14ac:dyDescent="0.3">
      <c r="A2250" t="s">
        <v>2249</v>
      </c>
      <c r="B2250">
        <f>21.4330953785714*(1-0.8198)</f>
        <v>3.8622437872185724</v>
      </c>
      <c r="C2250" s="1">
        <v>5.7469999999999999</v>
      </c>
    </row>
    <row r="2251" spans="1:3" x14ac:dyDescent="0.3">
      <c r="A2251" t="s">
        <v>2250</v>
      </c>
      <c r="B2251">
        <f>8.40855165285715*(1-0.8198)</f>
        <v>1.5152210078448578</v>
      </c>
      <c r="C2251" s="1">
        <v>7.258</v>
      </c>
    </row>
    <row r="2252" spans="1:3" x14ac:dyDescent="0.3">
      <c r="A2252" t="s">
        <v>2251</v>
      </c>
      <c r="B2252">
        <f>0*(1-0.8198)</f>
        <v>0</v>
      </c>
      <c r="C2252" s="1">
        <v>7.258</v>
      </c>
    </row>
    <row r="2253" spans="1:3" x14ac:dyDescent="0.3">
      <c r="A2253" t="s">
        <v>2252</v>
      </c>
      <c r="B2253">
        <f>0*(1-0.8198)</f>
        <v>0</v>
      </c>
      <c r="C2253" s="1">
        <v>7.258</v>
      </c>
    </row>
    <row r="2254" spans="1:3" x14ac:dyDescent="0.3">
      <c r="A2254" t="s">
        <v>2253</v>
      </c>
      <c r="B2254">
        <f>0*(1-0.8198)</f>
        <v>0</v>
      </c>
      <c r="C2254" s="1">
        <v>7.258</v>
      </c>
    </row>
    <row r="2255" spans="1:3" x14ac:dyDescent="0.3">
      <c r="A2255" t="s">
        <v>2254</v>
      </c>
      <c r="B2255">
        <f>0*(1-0.8198)</f>
        <v>0</v>
      </c>
      <c r="C2255" s="1">
        <v>5.7469999999999999</v>
      </c>
    </row>
    <row r="2256" spans="1:3" x14ac:dyDescent="0.3">
      <c r="A2256" t="s">
        <v>2255</v>
      </c>
      <c r="B2256">
        <f>0*(1-0.8198)</f>
        <v>0</v>
      </c>
      <c r="C2256" s="1">
        <v>5.7469999999999999</v>
      </c>
    </row>
    <row r="2257" spans="1:3" x14ac:dyDescent="0.3">
      <c r="A2257" t="s">
        <v>2256</v>
      </c>
      <c r="B2257">
        <f>0*(1-0.8198)</f>
        <v>0</v>
      </c>
      <c r="C2257" s="1">
        <v>2.6280000000000001</v>
      </c>
    </row>
    <row r="2258" spans="1:3" x14ac:dyDescent="0.3">
      <c r="A2258" t="s">
        <v>2257</v>
      </c>
      <c r="B2258">
        <f>0*(1-0.8198)</f>
        <v>0</v>
      </c>
      <c r="C2258" s="1">
        <v>2.6280000000000001</v>
      </c>
    </row>
    <row r="2259" spans="1:3" x14ac:dyDescent="0.3">
      <c r="A2259" t="s">
        <v>2258</v>
      </c>
      <c r="B2259">
        <f>0*(1-0.8198)</f>
        <v>0</v>
      </c>
      <c r="C2259" s="1">
        <v>2.6280000000000001</v>
      </c>
    </row>
    <row r="2260" spans="1:3" x14ac:dyDescent="0.3">
      <c r="A2260" t="s">
        <v>2259</v>
      </c>
      <c r="B2260">
        <f>0*(1-0.8198)</f>
        <v>0</v>
      </c>
      <c r="C2260" s="1">
        <v>2.6280000000000001</v>
      </c>
    </row>
    <row r="2261" spans="1:3" x14ac:dyDescent="0.3">
      <c r="A2261" t="s">
        <v>2260</v>
      </c>
      <c r="B2261">
        <f>0*(1-0.8198)</f>
        <v>0</v>
      </c>
      <c r="C2261" s="1">
        <v>2.6280000000000001</v>
      </c>
    </row>
    <row r="2262" spans="1:3" x14ac:dyDescent="0.3">
      <c r="A2262" t="s">
        <v>2261</v>
      </c>
      <c r="B2262">
        <f>0*(1-0.8198)</f>
        <v>0</v>
      </c>
      <c r="C2262" s="1">
        <v>2.6280000000000001</v>
      </c>
    </row>
    <row r="2263" spans="1:3" x14ac:dyDescent="0.3">
      <c r="A2263" t="s">
        <v>2262</v>
      </c>
      <c r="B2263">
        <f>0*(1-0.8198)</f>
        <v>0</v>
      </c>
      <c r="C2263" s="1">
        <v>2.6280000000000001</v>
      </c>
    </row>
    <row r="2264" spans="1:3" x14ac:dyDescent="0.3">
      <c r="A2264" t="s">
        <v>2263</v>
      </c>
      <c r="B2264">
        <f>5.10853391428572*(1-0.8198)</f>
        <v>0.92055781135428605</v>
      </c>
      <c r="C2264" s="1">
        <v>2.6280000000000001</v>
      </c>
    </row>
    <row r="2265" spans="1:3" x14ac:dyDescent="0.3">
      <c r="A2265" t="s">
        <v>2264</v>
      </c>
      <c r="B2265">
        <f>19.89550531*(1-0.8198)</f>
        <v>3.5851700568620006</v>
      </c>
      <c r="C2265" s="1">
        <v>5.7469999999999999</v>
      </c>
    </row>
    <row r="2266" spans="1:3" x14ac:dyDescent="0.3">
      <c r="A2266" t="s">
        <v>2265</v>
      </c>
      <c r="B2266">
        <f>34.93073524*(1-0.8198)</f>
        <v>6.2945184902480005</v>
      </c>
      <c r="C2266" s="1">
        <v>7.258</v>
      </c>
    </row>
    <row r="2267" spans="1:3" x14ac:dyDescent="0.3">
      <c r="A2267" t="s">
        <v>2266</v>
      </c>
      <c r="B2267">
        <f>46.4539710685714*(1-0.8198)</f>
        <v>8.3710055865565707</v>
      </c>
      <c r="C2267" s="1">
        <v>7.258</v>
      </c>
    </row>
    <row r="2268" spans="1:3" x14ac:dyDescent="0.3">
      <c r="A2268" t="s">
        <v>2267</v>
      </c>
      <c r="B2268">
        <f>54.8782093057143*(1-0.8198)</f>
        <v>9.8890533168897186</v>
      </c>
      <c r="C2268" s="1">
        <v>7.258</v>
      </c>
    </row>
    <row r="2269" spans="1:3" x14ac:dyDescent="0.3">
      <c r="A2269" t="s">
        <v>2268</v>
      </c>
      <c r="B2269">
        <f>61.1590175742857*(1-0.8198)</f>
        <v>11.020854966886288</v>
      </c>
      <c r="C2269" s="1">
        <v>7.258</v>
      </c>
    </row>
    <row r="2270" spans="1:3" x14ac:dyDescent="0.3">
      <c r="A2270" t="s">
        <v>2269</v>
      </c>
      <c r="B2270">
        <f>61.4285714285714*(1-0.8198)</f>
        <v>11.069428571428574</v>
      </c>
      <c r="C2270" s="1">
        <v>7.258</v>
      </c>
    </row>
    <row r="2271" spans="1:3" x14ac:dyDescent="0.3">
      <c r="A2271" t="s">
        <v>2270</v>
      </c>
      <c r="B2271">
        <f>58.5206388085714*(1-0.8198)</f>
        <v>10.545419113304574</v>
      </c>
      <c r="C2271" s="1">
        <v>5.7469999999999999</v>
      </c>
    </row>
    <row r="2272" spans="1:3" x14ac:dyDescent="0.3">
      <c r="A2272" t="s">
        <v>2271</v>
      </c>
      <c r="B2272">
        <f>51.0587055571429*(1-0.8198)</f>
        <v>9.200778741397146</v>
      </c>
      <c r="C2272" s="1">
        <v>5.7469999999999999</v>
      </c>
    </row>
    <row r="2273" spans="1:3" x14ac:dyDescent="0.3">
      <c r="A2273" t="s">
        <v>2272</v>
      </c>
      <c r="B2273">
        <f>39.0336698642857*(1-0.8198)</f>
        <v>7.0338673095442878</v>
      </c>
      <c r="C2273" s="1">
        <v>5.7469999999999999</v>
      </c>
    </row>
    <row r="2274" spans="1:3" x14ac:dyDescent="0.3">
      <c r="A2274" t="s">
        <v>2273</v>
      </c>
      <c r="B2274">
        <f>23.5878595942857*(1-0.8198)</f>
        <v>4.2505322988902865</v>
      </c>
      <c r="C2274" s="1">
        <v>5.7469999999999999</v>
      </c>
    </row>
    <row r="2275" spans="1:3" x14ac:dyDescent="0.3">
      <c r="A2275" t="s">
        <v>2274</v>
      </c>
      <c r="B2275">
        <f>8.40396711571429*(1-0.8198)</f>
        <v>1.5143948742517148</v>
      </c>
      <c r="C2275" s="1">
        <v>7.258</v>
      </c>
    </row>
    <row r="2276" spans="1:3" x14ac:dyDescent="0.3">
      <c r="A2276" t="s">
        <v>2275</v>
      </c>
      <c r="B2276">
        <f>0*(1-0.8198)</f>
        <v>0</v>
      </c>
      <c r="C2276" s="1">
        <v>7.258</v>
      </c>
    </row>
    <row r="2277" spans="1:3" x14ac:dyDescent="0.3">
      <c r="A2277" t="s">
        <v>2276</v>
      </c>
      <c r="B2277">
        <f>0*(1-0.8198)</f>
        <v>0</v>
      </c>
      <c r="C2277" s="1">
        <v>7.258</v>
      </c>
    </row>
    <row r="2278" spans="1:3" x14ac:dyDescent="0.3">
      <c r="A2278" t="s">
        <v>2277</v>
      </c>
      <c r="B2278">
        <f>0*(1-0.8198)</f>
        <v>0</v>
      </c>
      <c r="C2278" s="1">
        <v>7.258</v>
      </c>
    </row>
    <row r="2279" spans="1:3" x14ac:dyDescent="0.3">
      <c r="A2279" t="s">
        <v>2278</v>
      </c>
      <c r="B2279">
        <f>0*(1-0.8198)</f>
        <v>0</v>
      </c>
      <c r="C2279" s="1">
        <v>5.7469999999999999</v>
      </c>
    </row>
    <row r="2280" spans="1:3" x14ac:dyDescent="0.3">
      <c r="A2280" t="s">
        <v>2279</v>
      </c>
      <c r="B2280">
        <f>0*(1-0.8198)</f>
        <v>0</v>
      </c>
      <c r="C2280" s="1">
        <v>5.7469999999999999</v>
      </c>
    </row>
    <row r="2281" spans="1:3" x14ac:dyDescent="0.3">
      <c r="A2281" t="s">
        <v>2280</v>
      </c>
      <c r="B2281">
        <f>0*(1-0.8198)</f>
        <v>0</v>
      </c>
      <c r="C2281" s="1">
        <v>2.6280000000000001</v>
      </c>
    </row>
    <row r="2282" spans="1:3" x14ac:dyDescent="0.3">
      <c r="A2282" t="s">
        <v>2281</v>
      </c>
      <c r="B2282">
        <f>0*(1-0.8198)</f>
        <v>0</v>
      </c>
      <c r="C2282" s="1">
        <v>2.6280000000000001</v>
      </c>
    </row>
    <row r="2283" spans="1:3" x14ac:dyDescent="0.3">
      <c r="A2283" t="s">
        <v>2282</v>
      </c>
      <c r="B2283">
        <f>0*(1-0.8198)</f>
        <v>0</v>
      </c>
      <c r="C2283" s="1">
        <v>2.6280000000000001</v>
      </c>
    </row>
    <row r="2284" spans="1:3" x14ac:dyDescent="0.3">
      <c r="A2284" t="s">
        <v>2283</v>
      </c>
      <c r="B2284">
        <f>0*(1-0.8198)</f>
        <v>0</v>
      </c>
      <c r="C2284" s="1">
        <v>2.6280000000000001</v>
      </c>
    </row>
    <row r="2285" spans="1:3" x14ac:dyDescent="0.3">
      <c r="A2285" t="s">
        <v>2284</v>
      </c>
      <c r="B2285">
        <f>0*(1-0.8198)</f>
        <v>0</v>
      </c>
      <c r="C2285" s="1">
        <v>2.6280000000000001</v>
      </c>
    </row>
    <row r="2286" spans="1:3" x14ac:dyDescent="0.3">
      <c r="A2286" t="s">
        <v>2285</v>
      </c>
      <c r="B2286">
        <f>0*(1-0.8198)</f>
        <v>0</v>
      </c>
      <c r="C2286" s="1">
        <v>2.6280000000000001</v>
      </c>
    </row>
    <row r="2287" spans="1:3" x14ac:dyDescent="0.3">
      <c r="A2287" t="s">
        <v>2286</v>
      </c>
      <c r="B2287">
        <f>0*(1-0.8198)</f>
        <v>0</v>
      </c>
      <c r="C2287" s="1">
        <v>2.6280000000000001</v>
      </c>
    </row>
    <row r="2288" spans="1:3" x14ac:dyDescent="0.3">
      <c r="A2288" t="s">
        <v>2287</v>
      </c>
      <c r="B2288">
        <f>5.43477497571429*(1-0.8198)</f>
        <v>0.97934645062371473</v>
      </c>
      <c r="C2288" s="1">
        <v>2.6280000000000001</v>
      </c>
    </row>
    <row r="2289" spans="1:3" x14ac:dyDescent="0.3">
      <c r="A2289" t="s">
        <v>2288</v>
      </c>
      <c r="B2289">
        <f>17.9700570228571*(1-0.8198)</f>
        <v>3.238204275518858</v>
      </c>
      <c r="C2289" s="1">
        <v>2.6280000000000001</v>
      </c>
    </row>
    <row r="2290" spans="1:3" x14ac:dyDescent="0.3">
      <c r="A2290" t="s">
        <v>2289</v>
      </c>
      <c r="B2290">
        <f>30.4043839771429*(1-0.8198)</f>
        <v>5.4788699926811439</v>
      </c>
      <c r="C2290" s="1">
        <v>2.6280000000000001</v>
      </c>
    </row>
    <row r="2291" spans="1:3" x14ac:dyDescent="0.3">
      <c r="A2291" t="s">
        <v>2290</v>
      </c>
      <c r="B2291">
        <f>42.6162699657143*(1-0.8198)</f>
        <v>7.6794518478217171</v>
      </c>
      <c r="C2291" s="1">
        <v>2.6280000000000001</v>
      </c>
    </row>
    <row r="2292" spans="1:3" x14ac:dyDescent="0.3">
      <c r="A2292" t="s">
        <v>2291</v>
      </c>
      <c r="B2292">
        <f>45.2725562657143*(1-0.8198)</f>
        <v>8.1581146390817167</v>
      </c>
      <c r="C2292" s="1">
        <v>2.6280000000000001</v>
      </c>
    </row>
    <row r="2293" spans="1:3" x14ac:dyDescent="0.3">
      <c r="A2293" t="s">
        <v>2292</v>
      </c>
      <c r="B2293">
        <f>47.7526195971429*(1-0.8198)</f>
        <v>8.6050220514051468</v>
      </c>
      <c r="C2293" s="1">
        <v>2.6280000000000001</v>
      </c>
    </row>
    <row r="2294" spans="1:3" x14ac:dyDescent="0.3">
      <c r="A2294" t="s">
        <v>2293</v>
      </c>
      <c r="B2294">
        <f>52.90159925*(1-0.8198)</f>
        <v>9.5328681848500025</v>
      </c>
      <c r="C2294" s="1">
        <v>2.6280000000000001</v>
      </c>
    </row>
    <row r="2295" spans="1:3" x14ac:dyDescent="0.3">
      <c r="A2295" t="s">
        <v>2294</v>
      </c>
      <c r="B2295">
        <f>55.51684248*(1-0.8198)</f>
        <v>10.004135014896002</v>
      </c>
      <c r="C2295" s="1">
        <v>2.6280000000000001</v>
      </c>
    </row>
    <row r="2296" spans="1:3" x14ac:dyDescent="0.3">
      <c r="A2296" t="s">
        <v>2295</v>
      </c>
      <c r="B2296">
        <f>50.5396970928572*(1-0.8198)</f>
        <v>9.1072534161328598</v>
      </c>
      <c r="C2296" s="1">
        <v>2.6280000000000001</v>
      </c>
    </row>
    <row r="2297" spans="1:3" x14ac:dyDescent="0.3">
      <c r="A2297" t="s">
        <v>2296</v>
      </c>
      <c r="B2297">
        <f>38.6640688314286*(1-0.8198)</f>
        <v>6.9672652034234295</v>
      </c>
      <c r="C2297" s="1">
        <v>2.6280000000000001</v>
      </c>
    </row>
    <row r="2298" spans="1:3" x14ac:dyDescent="0.3">
      <c r="A2298" t="s">
        <v>2297</v>
      </c>
      <c r="B2298">
        <f>23.5736099471429*(1-0.8198)</f>
        <v>4.2479645124751437</v>
      </c>
      <c r="C2298" s="1">
        <v>2.6280000000000001</v>
      </c>
    </row>
    <row r="2299" spans="1:3" x14ac:dyDescent="0.3">
      <c r="A2299" t="s">
        <v>2298</v>
      </c>
      <c r="B2299">
        <f>8.52268090142857*(1-0.8198)</f>
        <v>1.5357870984374289</v>
      </c>
      <c r="C2299" s="1">
        <v>2.6280000000000001</v>
      </c>
    </row>
    <row r="2300" spans="1:3" x14ac:dyDescent="0.3">
      <c r="A2300" t="s">
        <v>2299</v>
      </c>
      <c r="B2300">
        <f>0*(1-0.8198)</f>
        <v>0</v>
      </c>
      <c r="C2300" s="1">
        <v>2.6280000000000001</v>
      </c>
    </row>
    <row r="2301" spans="1:3" x14ac:dyDescent="0.3">
      <c r="A2301" t="s">
        <v>2300</v>
      </c>
      <c r="B2301">
        <f>0*(1-0.8198)</f>
        <v>0</v>
      </c>
      <c r="C2301" s="1">
        <v>2.6280000000000001</v>
      </c>
    </row>
    <row r="2302" spans="1:3" x14ac:dyDescent="0.3">
      <c r="A2302" t="s">
        <v>2301</v>
      </c>
      <c r="B2302">
        <f>0*(1-0.8198)</f>
        <v>0</v>
      </c>
      <c r="C2302" s="1">
        <v>2.6280000000000001</v>
      </c>
    </row>
    <row r="2303" spans="1:3" x14ac:dyDescent="0.3">
      <c r="A2303" t="s">
        <v>2302</v>
      </c>
      <c r="B2303">
        <f>0*(1-0.8198)</f>
        <v>0</v>
      </c>
      <c r="C2303" s="1">
        <v>2.6280000000000001</v>
      </c>
    </row>
    <row r="2304" spans="1:3" x14ac:dyDescent="0.3">
      <c r="A2304" t="s">
        <v>2303</v>
      </c>
      <c r="B2304">
        <f>0*(1-0.8198)</f>
        <v>0</v>
      </c>
      <c r="C2304" s="1">
        <v>2.6280000000000001</v>
      </c>
    </row>
    <row r="2305" spans="1:3" x14ac:dyDescent="0.3">
      <c r="A2305" t="s">
        <v>2304</v>
      </c>
      <c r="B2305">
        <f>0*(1-0.8198)</f>
        <v>0</v>
      </c>
      <c r="C2305" s="1">
        <v>2.6280000000000001</v>
      </c>
    </row>
    <row r="2306" spans="1:3" x14ac:dyDescent="0.3">
      <c r="A2306" t="s">
        <v>2305</v>
      </c>
      <c r="B2306">
        <f>0*(1-0.8198)</f>
        <v>0</v>
      </c>
      <c r="C2306" s="1">
        <v>2.6280000000000001</v>
      </c>
    </row>
    <row r="2307" spans="1:3" x14ac:dyDescent="0.3">
      <c r="A2307" t="s">
        <v>2306</v>
      </c>
      <c r="B2307">
        <f>0*(1-0.8198)</f>
        <v>0</v>
      </c>
      <c r="C2307" s="1">
        <v>2.6280000000000001</v>
      </c>
    </row>
    <row r="2308" spans="1:3" x14ac:dyDescent="0.3">
      <c r="A2308" t="s">
        <v>2307</v>
      </c>
      <c r="B2308">
        <f>0*(1-0.8198)</f>
        <v>0</v>
      </c>
      <c r="C2308" s="1">
        <v>2.6280000000000001</v>
      </c>
    </row>
    <row r="2309" spans="1:3" x14ac:dyDescent="0.3">
      <c r="A2309" t="s">
        <v>2308</v>
      </c>
      <c r="B2309">
        <f>0*(1-0.8198)</f>
        <v>0</v>
      </c>
      <c r="C2309" s="1">
        <v>2.6280000000000001</v>
      </c>
    </row>
    <row r="2310" spans="1:3" x14ac:dyDescent="0.3">
      <c r="A2310" t="s">
        <v>2309</v>
      </c>
      <c r="B2310">
        <f>0*(1-0.8198)</f>
        <v>0</v>
      </c>
      <c r="C2310" s="1">
        <v>2.6280000000000001</v>
      </c>
    </row>
    <row r="2311" spans="1:3" x14ac:dyDescent="0.3">
      <c r="A2311" t="s">
        <v>2310</v>
      </c>
      <c r="B2311">
        <f>0*(1-0.8198)</f>
        <v>0</v>
      </c>
      <c r="C2311" s="1">
        <v>2.6280000000000001</v>
      </c>
    </row>
    <row r="2312" spans="1:3" x14ac:dyDescent="0.3">
      <c r="A2312" t="s">
        <v>2311</v>
      </c>
      <c r="B2312">
        <f>5.59113292714286*(1-0.8198)</f>
        <v>1.0075221534711429</v>
      </c>
      <c r="C2312" s="1">
        <v>2.6280000000000001</v>
      </c>
    </row>
    <row r="2313" spans="1:3" x14ac:dyDescent="0.3">
      <c r="A2313" t="s">
        <v>2312</v>
      </c>
      <c r="B2313">
        <f>20.1663497785714*(1-0.8198)</f>
        <v>3.6339762300985727</v>
      </c>
      <c r="C2313" s="1">
        <v>2.6280000000000001</v>
      </c>
    </row>
    <row r="2314" spans="1:3" x14ac:dyDescent="0.3">
      <c r="A2314" t="s">
        <v>2313</v>
      </c>
      <c r="B2314">
        <f>34.7820720771429*(1-0.8198)</f>
        <v>6.2677293883011451</v>
      </c>
      <c r="C2314" s="1">
        <v>2.6280000000000001</v>
      </c>
    </row>
    <row r="2315" spans="1:3" x14ac:dyDescent="0.3">
      <c r="A2315" t="s">
        <v>2314</v>
      </c>
      <c r="B2315">
        <f>47.5744175228571*(1-0.8198)</f>
        <v>8.5729100376188576</v>
      </c>
      <c r="C2315" s="1">
        <v>2.6280000000000001</v>
      </c>
    </row>
    <row r="2316" spans="1:3" x14ac:dyDescent="0.3">
      <c r="A2316" t="s">
        <v>2315</v>
      </c>
      <c r="B2316">
        <f>56.3038071642857*(1-0.8198)</f>
        <v>10.145946051004289</v>
      </c>
      <c r="C2316" s="1">
        <v>2.6280000000000001</v>
      </c>
    </row>
    <row r="2317" spans="1:3" x14ac:dyDescent="0.3">
      <c r="A2317" t="s">
        <v>2316</v>
      </c>
      <c r="B2317">
        <f>61.0780633171429*(1-0.8198)</f>
        <v>11.006267009749145</v>
      </c>
      <c r="C2317" s="1">
        <v>2.6280000000000001</v>
      </c>
    </row>
    <row r="2318" spans="1:3" x14ac:dyDescent="0.3">
      <c r="A2318" t="s">
        <v>2317</v>
      </c>
      <c r="B2318">
        <f>61.4285714285714*(1-0.8198)</f>
        <v>11.069428571428574</v>
      </c>
      <c r="C2318" s="1">
        <v>2.6280000000000001</v>
      </c>
    </row>
    <row r="2319" spans="1:3" x14ac:dyDescent="0.3">
      <c r="A2319" t="s">
        <v>2318</v>
      </c>
      <c r="B2319">
        <f>58.9550010357143*(1-0.8198)</f>
        <v>10.623691186635718</v>
      </c>
      <c r="C2319" s="1">
        <v>2.6280000000000001</v>
      </c>
    </row>
    <row r="2320" spans="1:3" x14ac:dyDescent="0.3">
      <c r="A2320" t="s">
        <v>2319</v>
      </c>
      <c r="B2320">
        <f>50.6488685028571*(1-0.8198)</f>
        <v>9.1269261042148582</v>
      </c>
      <c r="C2320" s="1">
        <v>2.6280000000000001</v>
      </c>
    </row>
    <row r="2321" spans="1:3" x14ac:dyDescent="0.3">
      <c r="A2321" t="s">
        <v>2320</v>
      </c>
      <c r="B2321">
        <f>38.6989749414286*(1-0.8198)</f>
        <v>6.9735552844454309</v>
      </c>
      <c r="C2321" s="1">
        <v>2.6280000000000001</v>
      </c>
    </row>
    <row r="2322" spans="1:3" x14ac:dyDescent="0.3">
      <c r="A2322" t="s">
        <v>2321</v>
      </c>
      <c r="B2322">
        <f>23.7965090471429*(1-0.8198)</f>
        <v>4.2881309302951438</v>
      </c>
      <c r="C2322" s="1">
        <v>2.6280000000000001</v>
      </c>
    </row>
    <row r="2323" spans="1:3" x14ac:dyDescent="0.3">
      <c r="A2323" t="s">
        <v>2322</v>
      </c>
      <c r="B2323">
        <f>8.77712240571429*(1-0.8198)</f>
        <v>1.5816374575097145</v>
      </c>
      <c r="C2323" s="1">
        <v>2.6280000000000001</v>
      </c>
    </row>
    <row r="2324" spans="1:3" x14ac:dyDescent="0.3">
      <c r="A2324" t="s">
        <v>2323</v>
      </c>
      <c r="B2324">
        <f>0*(1-0.8198)</f>
        <v>0</v>
      </c>
      <c r="C2324" s="1">
        <v>2.6280000000000001</v>
      </c>
    </row>
    <row r="2325" spans="1:3" x14ac:dyDescent="0.3">
      <c r="A2325" t="s">
        <v>2324</v>
      </c>
      <c r="B2325">
        <f>0*(1-0.8198)</f>
        <v>0</v>
      </c>
      <c r="C2325" s="1">
        <v>2.6280000000000001</v>
      </c>
    </row>
    <row r="2326" spans="1:3" x14ac:dyDescent="0.3">
      <c r="A2326" t="s">
        <v>2325</v>
      </c>
      <c r="B2326">
        <f>0*(1-0.8198)</f>
        <v>0</v>
      </c>
      <c r="C2326" s="1">
        <v>2.6280000000000001</v>
      </c>
    </row>
    <row r="2327" spans="1:3" x14ac:dyDescent="0.3">
      <c r="A2327" t="s">
        <v>2326</v>
      </c>
      <c r="B2327">
        <f>0*(1-0.8198)</f>
        <v>0</v>
      </c>
      <c r="C2327" s="1">
        <v>2.6280000000000001</v>
      </c>
    </row>
    <row r="2328" spans="1:3" x14ac:dyDescent="0.3">
      <c r="A2328" t="s">
        <v>2327</v>
      </c>
      <c r="B2328">
        <f>0*(1-0.8198)</f>
        <v>0</v>
      </c>
      <c r="C2328" s="1">
        <v>2.6280000000000001</v>
      </c>
    </row>
    <row r="2329" spans="1:3" x14ac:dyDescent="0.3">
      <c r="A2329" t="s">
        <v>2328</v>
      </c>
      <c r="B2329">
        <f>0*(1-0.8198)</f>
        <v>0</v>
      </c>
      <c r="C2329" s="1">
        <v>2.6280000000000001</v>
      </c>
    </row>
    <row r="2330" spans="1:3" x14ac:dyDescent="0.3">
      <c r="A2330" t="s">
        <v>2329</v>
      </c>
      <c r="B2330">
        <f>0*(1-0.8198)</f>
        <v>0</v>
      </c>
      <c r="C2330" s="1">
        <v>2.6280000000000001</v>
      </c>
    </row>
    <row r="2331" spans="1:3" x14ac:dyDescent="0.3">
      <c r="A2331" t="s">
        <v>2330</v>
      </c>
      <c r="B2331">
        <f>0*(1-0.8198)</f>
        <v>0</v>
      </c>
      <c r="C2331" s="1">
        <v>2.6280000000000001</v>
      </c>
    </row>
    <row r="2332" spans="1:3" x14ac:dyDescent="0.3">
      <c r="A2332" t="s">
        <v>2331</v>
      </c>
      <c r="B2332">
        <f>0*(1-0.8198)</f>
        <v>0</v>
      </c>
      <c r="C2332" s="1">
        <v>2.6280000000000001</v>
      </c>
    </row>
    <row r="2333" spans="1:3" x14ac:dyDescent="0.3">
      <c r="A2333" t="s">
        <v>2332</v>
      </c>
      <c r="B2333">
        <f>0*(1-0.8198)</f>
        <v>0</v>
      </c>
      <c r="C2333" s="1">
        <v>2.6280000000000001</v>
      </c>
    </row>
    <row r="2334" spans="1:3" x14ac:dyDescent="0.3">
      <c r="A2334" t="s">
        <v>2333</v>
      </c>
      <c r="B2334">
        <f>0*(1-0.8198)</f>
        <v>0</v>
      </c>
      <c r="C2334" s="1">
        <v>2.6280000000000001</v>
      </c>
    </row>
    <row r="2335" spans="1:3" x14ac:dyDescent="0.3">
      <c r="A2335" t="s">
        <v>2334</v>
      </c>
      <c r="B2335">
        <f>0*(1-0.8198)</f>
        <v>0</v>
      </c>
      <c r="C2335" s="1">
        <v>2.6280000000000001</v>
      </c>
    </row>
    <row r="2336" spans="1:3" x14ac:dyDescent="0.3">
      <c r="A2336" t="s">
        <v>2335</v>
      </c>
      <c r="B2336">
        <f>2.31587471142857*(1-0.8198)</f>
        <v>0.41732062299942868</v>
      </c>
      <c r="C2336" s="1">
        <v>2.6280000000000001</v>
      </c>
    </row>
    <row r="2337" spans="1:3" x14ac:dyDescent="0.3">
      <c r="A2337" t="s">
        <v>2336</v>
      </c>
      <c r="B2337">
        <f>20.6451284257143*(1-0.8198)</f>
        <v>3.7202521423137158</v>
      </c>
      <c r="C2337" s="1">
        <v>5.7469999999999999</v>
      </c>
    </row>
    <row r="2338" spans="1:3" x14ac:dyDescent="0.3">
      <c r="A2338" t="s">
        <v>2337</v>
      </c>
      <c r="B2338">
        <f>35.51247708*(1-0.8198)</f>
        <v>6.3993483698160016</v>
      </c>
      <c r="C2338" s="1">
        <v>7.258</v>
      </c>
    </row>
    <row r="2339" spans="1:3" x14ac:dyDescent="0.3">
      <c r="A2339" t="s">
        <v>2338</v>
      </c>
      <c r="B2339">
        <f>47.9400145185714*(1-0.8198)</f>
        <v>8.638790616246574</v>
      </c>
      <c r="C2339" s="1">
        <v>7.258</v>
      </c>
    </row>
    <row r="2340" spans="1:3" x14ac:dyDescent="0.3">
      <c r="A2340" t="s">
        <v>2339</v>
      </c>
      <c r="B2340">
        <f>56.5974790428572*(1-0.8198)</f>
        <v>10.198865723522861</v>
      </c>
      <c r="C2340" s="1">
        <v>7.258</v>
      </c>
    </row>
    <row r="2341" spans="1:3" x14ac:dyDescent="0.3">
      <c r="A2341" t="s">
        <v>2340</v>
      </c>
      <c r="B2341">
        <f>61.4285714285714*(1-0.8198)</f>
        <v>11.069428571428574</v>
      </c>
      <c r="C2341" s="1">
        <v>7.258</v>
      </c>
    </row>
    <row r="2342" spans="1:3" x14ac:dyDescent="0.3">
      <c r="A2342" t="s">
        <v>2341</v>
      </c>
      <c r="B2342">
        <f>61.4285714285714*(1-0.8198)</f>
        <v>11.069428571428574</v>
      </c>
      <c r="C2342" s="1">
        <v>7.258</v>
      </c>
    </row>
    <row r="2343" spans="1:3" x14ac:dyDescent="0.3">
      <c r="A2343" t="s">
        <v>2342</v>
      </c>
      <c r="B2343">
        <f>58.85122287*(1-0.8198)</f>
        <v>10.604990361174004</v>
      </c>
      <c r="C2343" s="1">
        <v>5.7469999999999999</v>
      </c>
    </row>
    <row r="2344" spans="1:3" x14ac:dyDescent="0.3">
      <c r="A2344" t="s">
        <v>2343</v>
      </c>
      <c r="B2344">
        <f>50.6965862171429*(1-0.8198)</f>
        <v>9.1355248363291466</v>
      </c>
      <c r="C2344" s="1">
        <v>5.7469999999999999</v>
      </c>
    </row>
    <row r="2345" spans="1:3" x14ac:dyDescent="0.3">
      <c r="A2345" t="s">
        <v>2344</v>
      </c>
      <c r="B2345">
        <f>38.9578544757143*(1-0.8198)</f>
        <v>7.0202053765237151</v>
      </c>
      <c r="C2345" s="1">
        <v>5.7469999999999999</v>
      </c>
    </row>
    <row r="2346" spans="1:3" x14ac:dyDescent="0.3">
      <c r="A2346" t="s">
        <v>2345</v>
      </c>
      <c r="B2346">
        <f>24.0403664085714*(1-0.8198)</f>
        <v>4.3320740268245714</v>
      </c>
      <c r="C2346" s="1">
        <v>5.7469999999999999</v>
      </c>
    </row>
    <row r="2347" spans="1:3" x14ac:dyDescent="0.3">
      <c r="A2347" t="s">
        <v>2346</v>
      </c>
      <c r="B2347">
        <f>8.94675924857143*(1-0.8198)</f>
        <v>1.612206016592572</v>
      </c>
      <c r="C2347" s="1">
        <v>7.258</v>
      </c>
    </row>
    <row r="2348" spans="1:3" x14ac:dyDescent="0.3">
      <c r="A2348" t="s">
        <v>2347</v>
      </c>
      <c r="B2348">
        <f>0*(1-0.8198)</f>
        <v>0</v>
      </c>
      <c r="C2348" s="1">
        <v>7.258</v>
      </c>
    </row>
    <row r="2349" spans="1:3" x14ac:dyDescent="0.3">
      <c r="A2349" t="s">
        <v>2348</v>
      </c>
      <c r="B2349">
        <f>0*(1-0.8198)</f>
        <v>0</v>
      </c>
      <c r="C2349" s="1">
        <v>7.258</v>
      </c>
    </row>
    <row r="2350" spans="1:3" x14ac:dyDescent="0.3">
      <c r="A2350" t="s">
        <v>2349</v>
      </c>
      <c r="B2350">
        <f>0*(1-0.8198)</f>
        <v>0</v>
      </c>
      <c r="C2350" s="1">
        <v>7.258</v>
      </c>
    </row>
    <row r="2351" spans="1:3" x14ac:dyDescent="0.3">
      <c r="A2351" t="s">
        <v>2350</v>
      </c>
      <c r="B2351">
        <f>0*(1-0.8198)</f>
        <v>0</v>
      </c>
      <c r="C2351" s="1">
        <v>5.7469999999999999</v>
      </c>
    </row>
    <row r="2352" spans="1:3" x14ac:dyDescent="0.3">
      <c r="A2352" t="s">
        <v>2351</v>
      </c>
      <c r="B2352">
        <f>0*(1-0.8198)</f>
        <v>0</v>
      </c>
      <c r="C2352" s="1">
        <v>5.7469999999999999</v>
      </c>
    </row>
    <row r="2353" spans="1:3" x14ac:dyDescent="0.3">
      <c r="A2353" t="s">
        <v>2352</v>
      </c>
      <c r="B2353">
        <f>0*(1-0.8198)</f>
        <v>0</v>
      </c>
      <c r="C2353" s="1">
        <v>2.6280000000000001</v>
      </c>
    </row>
    <row r="2354" spans="1:3" x14ac:dyDescent="0.3">
      <c r="A2354" t="s">
        <v>2353</v>
      </c>
      <c r="B2354">
        <f>0*(1-0.8198)</f>
        <v>0</v>
      </c>
      <c r="C2354" s="1">
        <v>2.6280000000000001</v>
      </c>
    </row>
    <row r="2355" spans="1:3" x14ac:dyDescent="0.3">
      <c r="A2355" t="s">
        <v>2354</v>
      </c>
      <c r="B2355">
        <f>0*(1-0.8198)</f>
        <v>0</v>
      </c>
      <c r="C2355" s="1">
        <v>2.6280000000000001</v>
      </c>
    </row>
    <row r="2356" spans="1:3" x14ac:dyDescent="0.3">
      <c r="A2356" t="s">
        <v>2355</v>
      </c>
      <c r="B2356">
        <f>0*(1-0.8198)</f>
        <v>0</v>
      </c>
      <c r="C2356" s="1">
        <v>2.6280000000000001</v>
      </c>
    </row>
    <row r="2357" spans="1:3" x14ac:dyDescent="0.3">
      <c r="A2357" t="s">
        <v>2356</v>
      </c>
      <c r="B2357">
        <f>0*(1-0.8198)</f>
        <v>0</v>
      </c>
      <c r="C2357" s="1">
        <v>2.6280000000000001</v>
      </c>
    </row>
    <row r="2358" spans="1:3" x14ac:dyDescent="0.3">
      <c r="A2358" t="s">
        <v>2357</v>
      </c>
      <c r="B2358">
        <f>0*(1-0.8198)</f>
        <v>0</v>
      </c>
      <c r="C2358" s="1">
        <v>2.6280000000000001</v>
      </c>
    </row>
    <row r="2359" spans="1:3" x14ac:dyDescent="0.3">
      <c r="A2359" t="s">
        <v>2358</v>
      </c>
      <c r="B2359">
        <f>0*(1-0.8198)</f>
        <v>0</v>
      </c>
      <c r="C2359" s="1">
        <v>2.6280000000000001</v>
      </c>
    </row>
    <row r="2360" spans="1:3" x14ac:dyDescent="0.3">
      <c r="A2360" t="s">
        <v>2359</v>
      </c>
      <c r="B2360">
        <f>4.34233503571429*(1-0.8198)</f>
        <v>0.78248877343571444</v>
      </c>
      <c r="C2360" s="1">
        <v>2.6280000000000001</v>
      </c>
    </row>
    <row r="2361" spans="1:3" x14ac:dyDescent="0.3">
      <c r="A2361" t="s">
        <v>2360</v>
      </c>
      <c r="B2361">
        <f>17.4743372971429*(1-0.8198)</f>
        <v>3.1488755809451439</v>
      </c>
      <c r="C2361" s="1">
        <v>5.7469999999999999</v>
      </c>
    </row>
    <row r="2362" spans="1:3" x14ac:dyDescent="0.3">
      <c r="A2362" t="s">
        <v>2361</v>
      </c>
      <c r="B2362">
        <f>30.6910176771429*(1-0.8198)</f>
        <v>5.5305213854211441</v>
      </c>
      <c r="C2362" s="1">
        <v>7.258</v>
      </c>
    </row>
    <row r="2363" spans="1:3" x14ac:dyDescent="0.3">
      <c r="A2363" t="s">
        <v>2362</v>
      </c>
      <c r="B2363">
        <f>44.8000018071429*(1-0.8198)</f>
        <v>8.0729603256471449</v>
      </c>
      <c r="C2363" s="1">
        <v>7.258</v>
      </c>
    </row>
    <row r="2364" spans="1:3" x14ac:dyDescent="0.3">
      <c r="A2364" t="s">
        <v>2363</v>
      </c>
      <c r="B2364">
        <f>52.5161307257143*(1-0.8198)</f>
        <v>9.4634067567737183</v>
      </c>
      <c r="C2364" s="1">
        <v>7.258</v>
      </c>
    </row>
    <row r="2365" spans="1:3" x14ac:dyDescent="0.3">
      <c r="A2365" t="s">
        <v>2364</v>
      </c>
      <c r="B2365">
        <f>56.1763485914286*(1-0.8198)</f>
        <v>10.122978016175432</v>
      </c>
      <c r="C2365" s="1">
        <v>7.258</v>
      </c>
    </row>
    <row r="2366" spans="1:3" x14ac:dyDescent="0.3">
      <c r="A2366" t="s">
        <v>2365</v>
      </c>
      <c r="B2366">
        <f>59.7881308271429*(1-0.8198)</f>
        <v>10.773821175051145</v>
      </c>
      <c r="C2366" s="1">
        <v>7.258</v>
      </c>
    </row>
    <row r="2367" spans="1:3" x14ac:dyDescent="0.3">
      <c r="A2367" t="s">
        <v>2366</v>
      </c>
      <c r="B2367">
        <f>49.3667445057143*(1-0.8198)</f>
        <v>8.8958873599297164</v>
      </c>
      <c r="C2367" s="1">
        <v>5.7469999999999999</v>
      </c>
    </row>
    <row r="2368" spans="1:3" x14ac:dyDescent="0.3">
      <c r="A2368" t="s">
        <v>2367</v>
      </c>
      <c r="B2368">
        <f>48.9396929542857*(1-0.8198)</f>
        <v>8.8189326703622886</v>
      </c>
      <c r="C2368" s="1">
        <v>5.7469999999999999</v>
      </c>
    </row>
    <row r="2369" spans="1:3" x14ac:dyDescent="0.3">
      <c r="A2369" t="s">
        <v>2368</v>
      </c>
      <c r="B2369">
        <f>37.2718081357143*(1-0.8198)</f>
        <v>6.7163798260557153</v>
      </c>
      <c r="C2369" s="1">
        <v>5.7469999999999999</v>
      </c>
    </row>
    <row r="2370" spans="1:3" x14ac:dyDescent="0.3">
      <c r="A2370" t="s">
        <v>2369</v>
      </c>
      <c r="B2370">
        <f>18.9094476771429*(1-0.8198)</f>
        <v>3.4074824714211434</v>
      </c>
      <c r="C2370" s="1">
        <v>5.7469999999999999</v>
      </c>
    </row>
    <row r="2371" spans="1:3" x14ac:dyDescent="0.3">
      <c r="A2371" t="s">
        <v>2370</v>
      </c>
      <c r="B2371">
        <f>8.89305919*(1-0.8198)</f>
        <v>1.6025292660379999</v>
      </c>
      <c r="C2371" s="1">
        <v>7.258</v>
      </c>
    </row>
    <row r="2372" spans="1:3" x14ac:dyDescent="0.3">
      <c r="A2372" t="s">
        <v>2371</v>
      </c>
      <c r="B2372">
        <f>0*(1-0.8198)</f>
        <v>0</v>
      </c>
      <c r="C2372" s="1">
        <v>7.258</v>
      </c>
    </row>
    <row r="2373" spans="1:3" x14ac:dyDescent="0.3">
      <c r="A2373" t="s">
        <v>2372</v>
      </c>
      <c r="B2373">
        <f>0*(1-0.8198)</f>
        <v>0</v>
      </c>
      <c r="C2373" s="1">
        <v>7.258</v>
      </c>
    </row>
    <row r="2374" spans="1:3" x14ac:dyDescent="0.3">
      <c r="A2374" t="s">
        <v>2373</v>
      </c>
      <c r="B2374">
        <f>0*(1-0.8198)</f>
        <v>0</v>
      </c>
      <c r="C2374" s="1">
        <v>7.258</v>
      </c>
    </row>
    <row r="2375" spans="1:3" x14ac:dyDescent="0.3">
      <c r="A2375" t="s">
        <v>2374</v>
      </c>
      <c r="B2375">
        <f>0*(1-0.8198)</f>
        <v>0</v>
      </c>
      <c r="C2375" s="1">
        <v>5.7469999999999999</v>
      </c>
    </row>
    <row r="2376" spans="1:3" x14ac:dyDescent="0.3">
      <c r="A2376" t="s">
        <v>2375</v>
      </c>
      <c r="B2376">
        <f>0*(1-0.8198)</f>
        <v>0</v>
      </c>
      <c r="C2376" s="1">
        <v>5.7469999999999999</v>
      </c>
    </row>
    <row r="2377" spans="1:3" x14ac:dyDescent="0.3">
      <c r="A2377" t="s">
        <v>2376</v>
      </c>
      <c r="B2377">
        <f>0*(1-0.8198)</f>
        <v>0</v>
      </c>
      <c r="C2377" s="1">
        <v>2.6280000000000001</v>
      </c>
    </row>
    <row r="2378" spans="1:3" x14ac:dyDescent="0.3">
      <c r="A2378" t="s">
        <v>2377</v>
      </c>
      <c r="B2378">
        <f>0*(1-0.8198)</f>
        <v>0</v>
      </c>
      <c r="C2378" s="1">
        <v>2.6280000000000001</v>
      </c>
    </row>
    <row r="2379" spans="1:3" x14ac:dyDescent="0.3">
      <c r="A2379" t="s">
        <v>2378</v>
      </c>
      <c r="B2379">
        <f>0*(1-0.8198)</f>
        <v>0</v>
      </c>
      <c r="C2379" s="1">
        <v>2.6280000000000001</v>
      </c>
    </row>
    <row r="2380" spans="1:3" x14ac:dyDescent="0.3">
      <c r="A2380" t="s">
        <v>2379</v>
      </c>
      <c r="B2380">
        <f>0*(1-0.8198)</f>
        <v>0</v>
      </c>
      <c r="C2380" s="1">
        <v>2.6280000000000001</v>
      </c>
    </row>
    <row r="2381" spans="1:3" x14ac:dyDescent="0.3">
      <c r="A2381" t="s">
        <v>2380</v>
      </c>
      <c r="B2381">
        <f>0*(1-0.8198)</f>
        <v>0</v>
      </c>
      <c r="C2381" s="1">
        <v>2.6280000000000001</v>
      </c>
    </row>
    <row r="2382" spans="1:3" x14ac:dyDescent="0.3">
      <c r="A2382" t="s">
        <v>2381</v>
      </c>
      <c r="B2382">
        <f>0*(1-0.8198)</f>
        <v>0</v>
      </c>
      <c r="C2382" s="1">
        <v>2.6280000000000001</v>
      </c>
    </row>
    <row r="2383" spans="1:3" x14ac:dyDescent="0.3">
      <c r="A2383" t="s">
        <v>2382</v>
      </c>
      <c r="B2383">
        <f>0*(1-0.8198)</f>
        <v>0</v>
      </c>
      <c r="C2383" s="1">
        <v>2.6280000000000001</v>
      </c>
    </row>
    <row r="2384" spans="1:3" x14ac:dyDescent="0.3">
      <c r="A2384" t="s">
        <v>2383</v>
      </c>
      <c r="B2384">
        <f>2.83370423857143*(1-0.8198)</f>
        <v>0.5106335037905716</v>
      </c>
      <c r="C2384" s="1">
        <v>2.6280000000000001</v>
      </c>
    </row>
    <row r="2385" spans="1:3" x14ac:dyDescent="0.3">
      <c r="A2385" t="s">
        <v>2384</v>
      </c>
      <c r="B2385">
        <f>12.3614932471429*(1-0.8198)</f>
        <v>2.2275410831351432</v>
      </c>
      <c r="C2385" s="1">
        <v>5.7469999999999999</v>
      </c>
    </row>
    <row r="2386" spans="1:3" x14ac:dyDescent="0.3">
      <c r="A2386" t="s">
        <v>2385</v>
      </c>
      <c r="B2386">
        <f>24.7316923357143*(1-0.8198)</f>
        <v>4.4566509588957164</v>
      </c>
      <c r="C2386" s="1">
        <v>7.258</v>
      </c>
    </row>
    <row r="2387" spans="1:3" x14ac:dyDescent="0.3">
      <c r="A2387" t="s">
        <v>2386</v>
      </c>
      <c r="B2387">
        <f>40.2724987585714*(1-0.8198)</f>
        <v>7.257104276294573</v>
      </c>
      <c r="C2387" s="1">
        <v>7.258</v>
      </c>
    </row>
    <row r="2388" spans="1:3" x14ac:dyDescent="0.3">
      <c r="A2388" t="s">
        <v>2387</v>
      </c>
      <c r="B2388">
        <f>41.3069405442857*(1-0.8198)</f>
        <v>7.4435106860802875</v>
      </c>
      <c r="C2388" s="1">
        <v>7.258</v>
      </c>
    </row>
    <row r="2389" spans="1:3" x14ac:dyDescent="0.3">
      <c r="A2389" t="s">
        <v>2388</v>
      </c>
      <c r="B2389">
        <f>37.4683527814286*(1-0.8198)</f>
        <v>6.7517971712134308</v>
      </c>
      <c r="C2389" s="1">
        <v>7.258</v>
      </c>
    </row>
    <row r="2390" spans="1:3" x14ac:dyDescent="0.3">
      <c r="A2390" t="s">
        <v>2389</v>
      </c>
      <c r="B2390">
        <f>58.0666317242857*(1-0.8198)</f>
        <v>10.463607036716287</v>
      </c>
      <c r="C2390" s="1">
        <v>7.258</v>
      </c>
    </row>
    <row r="2391" spans="1:3" x14ac:dyDescent="0.3">
      <c r="A2391" t="s">
        <v>2390</v>
      </c>
      <c r="B2391">
        <f>51.6959120528571*(1-0.8198)</f>
        <v>9.3156033519248584</v>
      </c>
      <c r="C2391" s="1">
        <v>5.7469999999999999</v>
      </c>
    </row>
    <row r="2392" spans="1:3" x14ac:dyDescent="0.3">
      <c r="A2392" t="s">
        <v>2391</v>
      </c>
      <c r="B2392">
        <f>45.4989582071429*(1-0.8198)</f>
        <v>8.1989122689271454</v>
      </c>
      <c r="C2392" s="1">
        <v>5.7469999999999999</v>
      </c>
    </row>
    <row r="2393" spans="1:3" x14ac:dyDescent="0.3">
      <c r="A2393" t="s">
        <v>2392</v>
      </c>
      <c r="B2393">
        <f>27.3630043585714*(1-0.8198)</f>
        <v>4.9308133854145728</v>
      </c>
      <c r="C2393" s="1">
        <v>5.7469999999999999</v>
      </c>
    </row>
    <row r="2394" spans="1:3" x14ac:dyDescent="0.3">
      <c r="A2394" t="s">
        <v>2393</v>
      </c>
      <c r="B2394">
        <f>19.1251345714286*(1-0.8198)</f>
        <v>3.446349249771429</v>
      </c>
      <c r="C2394" s="1">
        <v>5.7469999999999999</v>
      </c>
    </row>
    <row r="2395" spans="1:3" x14ac:dyDescent="0.3">
      <c r="A2395" t="s">
        <v>2394</v>
      </c>
      <c r="B2395">
        <f>5.39510790571429*(1-0.8198)</f>
        <v>0.97219844460971439</v>
      </c>
      <c r="C2395" s="1">
        <v>7.258</v>
      </c>
    </row>
    <row r="2396" spans="1:3" x14ac:dyDescent="0.3">
      <c r="A2396" t="s">
        <v>2395</v>
      </c>
      <c r="B2396">
        <f>0*(1-0.8198)</f>
        <v>0</v>
      </c>
      <c r="C2396" s="1">
        <v>7.258</v>
      </c>
    </row>
    <row r="2397" spans="1:3" x14ac:dyDescent="0.3">
      <c r="A2397" t="s">
        <v>2396</v>
      </c>
      <c r="B2397">
        <f>0*(1-0.8198)</f>
        <v>0</v>
      </c>
      <c r="C2397" s="1">
        <v>7.258</v>
      </c>
    </row>
    <row r="2398" spans="1:3" x14ac:dyDescent="0.3">
      <c r="A2398" t="s">
        <v>2397</v>
      </c>
      <c r="B2398">
        <f>0*(1-0.8198)</f>
        <v>0</v>
      </c>
      <c r="C2398" s="1">
        <v>7.258</v>
      </c>
    </row>
    <row r="2399" spans="1:3" x14ac:dyDescent="0.3">
      <c r="A2399" t="s">
        <v>2398</v>
      </c>
      <c r="B2399">
        <f>0*(1-0.8198)</f>
        <v>0</v>
      </c>
      <c r="C2399" s="1">
        <v>5.7469999999999999</v>
      </c>
    </row>
    <row r="2400" spans="1:3" x14ac:dyDescent="0.3">
      <c r="A2400" t="s">
        <v>2399</v>
      </c>
      <c r="B2400">
        <f>0*(1-0.8198)</f>
        <v>0</v>
      </c>
      <c r="C2400" s="1">
        <v>5.7469999999999999</v>
      </c>
    </row>
    <row r="2401" spans="1:3" x14ac:dyDescent="0.3">
      <c r="A2401" t="s">
        <v>2400</v>
      </c>
      <c r="B2401">
        <f>0*(1-0.8198)</f>
        <v>0</v>
      </c>
      <c r="C2401" s="1">
        <v>2.6280000000000001</v>
      </c>
    </row>
    <row r="2402" spans="1:3" x14ac:dyDescent="0.3">
      <c r="A2402" t="s">
        <v>2401</v>
      </c>
      <c r="B2402">
        <f>0*(1-0.8198)</f>
        <v>0</v>
      </c>
      <c r="C2402" s="1">
        <v>2.6280000000000001</v>
      </c>
    </row>
    <row r="2403" spans="1:3" x14ac:dyDescent="0.3">
      <c r="A2403" t="s">
        <v>2402</v>
      </c>
      <c r="B2403">
        <f>0*(1-0.8198)</f>
        <v>0</v>
      </c>
      <c r="C2403" s="1">
        <v>2.6280000000000001</v>
      </c>
    </row>
    <row r="2404" spans="1:3" x14ac:dyDescent="0.3">
      <c r="A2404" t="s">
        <v>2403</v>
      </c>
      <c r="B2404">
        <f>0*(1-0.8198)</f>
        <v>0</v>
      </c>
      <c r="C2404" s="1">
        <v>2.6280000000000001</v>
      </c>
    </row>
    <row r="2405" spans="1:3" x14ac:dyDescent="0.3">
      <c r="A2405" t="s">
        <v>2404</v>
      </c>
      <c r="B2405">
        <f>0*(1-0.8198)</f>
        <v>0</v>
      </c>
      <c r="C2405" s="1">
        <v>2.6280000000000001</v>
      </c>
    </row>
    <row r="2406" spans="1:3" x14ac:dyDescent="0.3">
      <c r="A2406" t="s">
        <v>2405</v>
      </c>
      <c r="B2406">
        <f>0*(1-0.8198)</f>
        <v>0</v>
      </c>
      <c r="C2406" s="1">
        <v>2.6280000000000001</v>
      </c>
    </row>
    <row r="2407" spans="1:3" x14ac:dyDescent="0.3">
      <c r="A2407" t="s">
        <v>2406</v>
      </c>
      <c r="B2407">
        <f>0*(1-0.8198)</f>
        <v>0</v>
      </c>
      <c r="C2407" s="1">
        <v>2.6280000000000001</v>
      </c>
    </row>
    <row r="2408" spans="1:3" x14ac:dyDescent="0.3">
      <c r="A2408" t="s">
        <v>2407</v>
      </c>
      <c r="B2408">
        <f>3.22496541571429*(1-0.8198)</f>
        <v>0.58113876791171448</v>
      </c>
      <c r="C2408" s="1">
        <v>2.6280000000000001</v>
      </c>
    </row>
    <row r="2409" spans="1:3" x14ac:dyDescent="0.3">
      <c r="A2409" t="s">
        <v>2408</v>
      </c>
      <c r="B2409">
        <f>18.3220141728571*(1-0.8198)</f>
        <v>3.3016269539488579</v>
      </c>
      <c r="C2409" s="1">
        <v>5.7469999999999999</v>
      </c>
    </row>
    <row r="2410" spans="1:3" x14ac:dyDescent="0.3">
      <c r="A2410" t="s">
        <v>2409</v>
      </c>
      <c r="B2410">
        <f>32.7664405042857*(1-0.8198)</f>
        <v>5.9045125788722856</v>
      </c>
      <c r="C2410" s="1">
        <v>7.258</v>
      </c>
    </row>
    <row r="2411" spans="1:3" x14ac:dyDescent="0.3">
      <c r="A2411" t="s">
        <v>2410</v>
      </c>
      <c r="B2411">
        <f>41.7097125757143*(1-0.8198)</f>
        <v>7.5160902061437156</v>
      </c>
      <c r="C2411" s="1">
        <v>7.258</v>
      </c>
    </row>
    <row r="2412" spans="1:3" x14ac:dyDescent="0.3">
      <c r="A2412" t="s">
        <v>2411</v>
      </c>
      <c r="B2412">
        <f>50.2893975328571*(1-0.8198)</f>
        <v>9.0621494354208583</v>
      </c>
      <c r="C2412" s="1">
        <v>7.258</v>
      </c>
    </row>
    <row r="2413" spans="1:3" x14ac:dyDescent="0.3">
      <c r="A2413" t="s">
        <v>2412</v>
      </c>
      <c r="B2413">
        <f>56.7105566957143*(1-0.8198)</f>
        <v>10.219242316567717</v>
      </c>
      <c r="C2413" s="1">
        <v>7.258</v>
      </c>
    </row>
    <row r="2414" spans="1:3" x14ac:dyDescent="0.3">
      <c r="A2414" t="s">
        <v>2413</v>
      </c>
      <c r="B2414">
        <f>58.4970169428571*(1-0.8198)</f>
        <v>10.541162453102858</v>
      </c>
      <c r="C2414" s="1">
        <v>7.258</v>
      </c>
    </row>
    <row r="2415" spans="1:3" x14ac:dyDescent="0.3">
      <c r="A2415" t="s">
        <v>2414</v>
      </c>
      <c r="B2415">
        <f>53.6779640042857*(1-0.8198)</f>
        <v>9.6727691135722864</v>
      </c>
      <c r="C2415" s="1">
        <v>5.7469999999999999</v>
      </c>
    </row>
    <row r="2416" spans="1:3" x14ac:dyDescent="0.3">
      <c r="A2416" t="s">
        <v>2415</v>
      </c>
      <c r="B2416">
        <f>47.7043522814286*(1-0.8198)</f>
        <v>8.5963242811134322</v>
      </c>
      <c r="C2416" s="1">
        <v>5.7469999999999999</v>
      </c>
    </row>
    <row r="2417" spans="1:3" x14ac:dyDescent="0.3">
      <c r="A2417" t="s">
        <v>2416</v>
      </c>
      <c r="B2417">
        <f>36.5405689942857*(1-0.8198)</f>
        <v>6.5846105327702862</v>
      </c>
      <c r="C2417" s="1">
        <v>5.7469999999999999</v>
      </c>
    </row>
    <row r="2418" spans="1:3" x14ac:dyDescent="0.3">
      <c r="A2418" t="s">
        <v>2417</v>
      </c>
      <c r="B2418">
        <f>18.62634999*(1-0.8198)</f>
        <v>3.3564682681980007</v>
      </c>
      <c r="C2418" s="1">
        <v>5.7469999999999999</v>
      </c>
    </row>
    <row r="2419" spans="1:3" x14ac:dyDescent="0.3">
      <c r="A2419" t="s">
        <v>2418</v>
      </c>
      <c r="B2419">
        <f>7.85184895857143*(1-0.8198)</f>
        <v>1.4149031823345717</v>
      </c>
      <c r="C2419" s="1">
        <v>7.258</v>
      </c>
    </row>
    <row r="2420" spans="1:3" x14ac:dyDescent="0.3">
      <c r="A2420" t="s">
        <v>2419</v>
      </c>
      <c r="B2420">
        <f>0*(1-0.8198)</f>
        <v>0</v>
      </c>
      <c r="C2420" s="1">
        <v>7.258</v>
      </c>
    </row>
    <row r="2421" spans="1:3" x14ac:dyDescent="0.3">
      <c r="A2421" t="s">
        <v>2420</v>
      </c>
      <c r="B2421">
        <f>0*(1-0.8198)</f>
        <v>0</v>
      </c>
      <c r="C2421" s="1">
        <v>7.258</v>
      </c>
    </row>
    <row r="2422" spans="1:3" x14ac:dyDescent="0.3">
      <c r="A2422" t="s">
        <v>2421</v>
      </c>
      <c r="B2422">
        <f>0*(1-0.8198)</f>
        <v>0</v>
      </c>
      <c r="C2422" s="1">
        <v>7.258</v>
      </c>
    </row>
    <row r="2423" spans="1:3" x14ac:dyDescent="0.3">
      <c r="A2423" t="s">
        <v>2422</v>
      </c>
      <c r="B2423">
        <f>0*(1-0.8198)</f>
        <v>0</v>
      </c>
      <c r="C2423" s="1">
        <v>5.7469999999999999</v>
      </c>
    </row>
    <row r="2424" spans="1:3" x14ac:dyDescent="0.3">
      <c r="A2424" t="s">
        <v>2423</v>
      </c>
      <c r="B2424">
        <f>0*(1-0.8198)</f>
        <v>0</v>
      </c>
      <c r="C2424" s="1">
        <v>5.7469999999999999</v>
      </c>
    </row>
    <row r="2425" spans="1:3" x14ac:dyDescent="0.3">
      <c r="A2425" t="s">
        <v>2424</v>
      </c>
      <c r="B2425">
        <f>0*(1-0.8198)</f>
        <v>0</v>
      </c>
      <c r="C2425" s="1">
        <v>2.6280000000000001</v>
      </c>
    </row>
    <row r="2426" spans="1:3" x14ac:dyDescent="0.3">
      <c r="A2426" t="s">
        <v>2425</v>
      </c>
      <c r="B2426">
        <f>0*(1-0.8198)</f>
        <v>0</v>
      </c>
      <c r="C2426" s="1">
        <v>2.6280000000000001</v>
      </c>
    </row>
    <row r="2427" spans="1:3" x14ac:dyDescent="0.3">
      <c r="A2427" t="s">
        <v>2426</v>
      </c>
      <c r="B2427">
        <f>0*(1-0.8198)</f>
        <v>0</v>
      </c>
      <c r="C2427" s="1">
        <v>2.6280000000000001</v>
      </c>
    </row>
    <row r="2428" spans="1:3" x14ac:dyDescent="0.3">
      <c r="A2428" t="s">
        <v>2427</v>
      </c>
      <c r="B2428">
        <f>0*(1-0.8198)</f>
        <v>0</v>
      </c>
      <c r="C2428" s="1">
        <v>2.6280000000000001</v>
      </c>
    </row>
    <row r="2429" spans="1:3" x14ac:dyDescent="0.3">
      <c r="A2429" t="s">
        <v>2428</v>
      </c>
      <c r="B2429">
        <f>0*(1-0.8198)</f>
        <v>0</v>
      </c>
      <c r="C2429" s="1">
        <v>2.6280000000000001</v>
      </c>
    </row>
    <row r="2430" spans="1:3" x14ac:dyDescent="0.3">
      <c r="A2430" t="s">
        <v>2429</v>
      </c>
      <c r="B2430">
        <f>0*(1-0.8198)</f>
        <v>0</v>
      </c>
      <c r="C2430" s="1">
        <v>2.6280000000000001</v>
      </c>
    </row>
    <row r="2431" spans="1:3" x14ac:dyDescent="0.3">
      <c r="A2431" t="s">
        <v>2430</v>
      </c>
      <c r="B2431">
        <f>0*(1-0.8198)</f>
        <v>0</v>
      </c>
      <c r="C2431" s="1">
        <v>2.6280000000000001</v>
      </c>
    </row>
    <row r="2432" spans="1:3" x14ac:dyDescent="0.3">
      <c r="A2432" t="s">
        <v>2431</v>
      </c>
      <c r="B2432">
        <f>6.73586455285714*(1-0.8198)</f>
        <v>1.2138027924248576</v>
      </c>
      <c r="C2432" s="1">
        <v>2.6280000000000001</v>
      </c>
    </row>
    <row r="2433" spans="1:3" x14ac:dyDescent="0.3">
      <c r="A2433" t="s">
        <v>2432</v>
      </c>
      <c r="B2433">
        <f>21.5762017742857*(1-0.8198)</f>
        <v>3.8880315597262869</v>
      </c>
      <c r="C2433" s="1">
        <v>5.7469999999999999</v>
      </c>
    </row>
    <row r="2434" spans="1:3" x14ac:dyDescent="0.3">
      <c r="A2434" t="s">
        <v>2433</v>
      </c>
      <c r="B2434">
        <f>36.2322104042857*(1-0.8198)</f>
        <v>6.5290443148522854</v>
      </c>
      <c r="C2434" s="1">
        <v>7.258</v>
      </c>
    </row>
    <row r="2435" spans="1:3" x14ac:dyDescent="0.3">
      <c r="A2435" t="s">
        <v>2434</v>
      </c>
      <c r="B2435">
        <f>48.2209285428572*(1-0.8198)</f>
        <v>8.6894113234228598</v>
      </c>
      <c r="C2435" s="1">
        <v>7.258</v>
      </c>
    </row>
    <row r="2436" spans="1:3" x14ac:dyDescent="0.3">
      <c r="A2436" t="s">
        <v>2435</v>
      </c>
      <c r="B2436">
        <f>55.9996687171429*(1-0.8198)</f>
        <v>10.091140302829144</v>
      </c>
      <c r="C2436" s="1">
        <v>7.258</v>
      </c>
    </row>
    <row r="2437" spans="1:3" x14ac:dyDescent="0.3">
      <c r="A2437" t="s">
        <v>2436</v>
      </c>
      <c r="B2437">
        <f>61.0899607414286*(1-0.8198)</f>
        <v>11.008410925605432</v>
      </c>
      <c r="C2437" s="1">
        <v>7.258</v>
      </c>
    </row>
    <row r="2438" spans="1:3" x14ac:dyDescent="0.3">
      <c r="A2438" t="s">
        <v>2437</v>
      </c>
      <c r="B2438">
        <f>61.0548228*(1-0.8198)</f>
        <v>11.002079068560002</v>
      </c>
      <c r="C2438" s="1">
        <v>7.258</v>
      </c>
    </row>
    <row r="2439" spans="1:3" x14ac:dyDescent="0.3">
      <c r="A2439" t="s">
        <v>2438</v>
      </c>
      <c r="B2439">
        <f>57.7748082928571*(1-0.8198)</f>
        <v>10.41102045437286</v>
      </c>
      <c r="C2439" s="1">
        <v>5.7469999999999999</v>
      </c>
    </row>
    <row r="2440" spans="1:3" x14ac:dyDescent="0.3">
      <c r="A2440" t="s">
        <v>2439</v>
      </c>
      <c r="B2440">
        <f>49.62573412*(1-0.8198)</f>
        <v>8.9425572884240001</v>
      </c>
      <c r="C2440" s="1">
        <v>5.7469999999999999</v>
      </c>
    </row>
    <row r="2441" spans="1:3" x14ac:dyDescent="0.3">
      <c r="A2441" t="s">
        <v>2440</v>
      </c>
      <c r="B2441">
        <f>19.4842935457143*(1-0.8198)</f>
        <v>3.5110696969377151</v>
      </c>
      <c r="C2441" s="1">
        <v>5.7469999999999999</v>
      </c>
    </row>
    <row r="2442" spans="1:3" x14ac:dyDescent="0.3">
      <c r="A2442" t="s">
        <v>2441</v>
      </c>
      <c r="B2442">
        <f>5.8523*(1-0.8198)</f>
        <v>1.0545844600000005</v>
      </c>
      <c r="C2442" s="1">
        <v>5.7469999999999999</v>
      </c>
    </row>
    <row r="2443" spans="1:3" x14ac:dyDescent="0.3">
      <c r="A2443" t="s">
        <v>2442</v>
      </c>
      <c r="B2443">
        <f>5.52626718142857*(1-0.8198)</f>
        <v>0.99583334609342888</v>
      </c>
      <c r="C2443" s="1">
        <v>7.258</v>
      </c>
    </row>
    <row r="2444" spans="1:3" x14ac:dyDescent="0.3">
      <c r="A2444" t="s">
        <v>2443</v>
      </c>
      <c r="B2444">
        <f>0.1075*(1-0.8198)</f>
        <v>1.9371500000000003E-2</v>
      </c>
      <c r="C2444" s="1">
        <v>7.258</v>
      </c>
    </row>
    <row r="2445" spans="1:3" x14ac:dyDescent="0.3">
      <c r="A2445" t="s">
        <v>2444</v>
      </c>
      <c r="B2445">
        <f>0*(1-0.8198)</f>
        <v>0</v>
      </c>
      <c r="C2445" s="1">
        <v>7.258</v>
      </c>
    </row>
    <row r="2446" spans="1:3" x14ac:dyDescent="0.3">
      <c r="A2446" t="s">
        <v>2445</v>
      </c>
      <c r="B2446">
        <f>0*(1-0.8198)</f>
        <v>0</v>
      </c>
      <c r="C2446" s="1">
        <v>7.258</v>
      </c>
    </row>
    <row r="2447" spans="1:3" x14ac:dyDescent="0.3">
      <c r="A2447" t="s">
        <v>2446</v>
      </c>
      <c r="B2447">
        <f>0*(1-0.8198)</f>
        <v>0</v>
      </c>
      <c r="C2447" s="1">
        <v>5.7469999999999999</v>
      </c>
    </row>
    <row r="2448" spans="1:3" x14ac:dyDescent="0.3">
      <c r="A2448" t="s">
        <v>2447</v>
      </c>
      <c r="B2448">
        <f>0*(1-0.8198)</f>
        <v>0</v>
      </c>
      <c r="C2448" s="1">
        <v>5.7469999999999999</v>
      </c>
    </row>
    <row r="2449" spans="1:3" x14ac:dyDescent="0.3">
      <c r="A2449" t="s">
        <v>2448</v>
      </c>
      <c r="B2449">
        <f>0*(1-0.8198)</f>
        <v>0</v>
      </c>
      <c r="C2449" s="1">
        <v>2.6280000000000001</v>
      </c>
    </row>
    <row r="2450" spans="1:3" x14ac:dyDescent="0.3">
      <c r="A2450" t="s">
        <v>2449</v>
      </c>
      <c r="B2450">
        <f>0*(1-0.8198)</f>
        <v>0</v>
      </c>
      <c r="C2450" s="1">
        <v>2.6280000000000001</v>
      </c>
    </row>
    <row r="2451" spans="1:3" x14ac:dyDescent="0.3">
      <c r="A2451" t="s">
        <v>2450</v>
      </c>
      <c r="B2451">
        <f>0*(1-0.8198)</f>
        <v>0</v>
      </c>
      <c r="C2451" s="1">
        <v>2.6280000000000001</v>
      </c>
    </row>
    <row r="2452" spans="1:3" x14ac:dyDescent="0.3">
      <c r="A2452" t="s">
        <v>2451</v>
      </c>
      <c r="B2452">
        <f>0*(1-0.8198)</f>
        <v>0</v>
      </c>
      <c r="C2452" s="1">
        <v>2.6280000000000001</v>
      </c>
    </row>
    <row r="2453" spans="1:3" x14ac:dyDescent="0.3">
      <c r="A2453" t="s">
        <v>2452</v>
      </c>
      <c r="B2453">
        <f>0*(1-0.8198)</f>
        <v>0</v>
      </c>
      <c r="C2453" s="1">
        <v>2.6280000000000001</v>
      </c>
    </row>
    <row r="2454" spans="1:3" x14ac:dyDescent="0.3">
      <c r="A2454" t="s">
        <v>2453</v>
      </c>
      <c r="B2454">
        <f>0*(1-0.8198)</f>
        <v>0</v>
      </c>
      <c r="C2454" s="1">
        <v>2.6280000000000001</v>
      </c>
    </row>
    <row r="2455" spans="1:3" x14ac:dyDescent="0.3">
      <c r="A2455" t="s">
        <v>2454</v>
      </c>
      <c r="B2455">
        <f>0*(1-0.8198)</f>
        <v>0</v>
      </c>
      <c r="C2455" s="1">
        <v>2.6280000000000001</v>
      </c>
    </row>
    <row r="2456" spans="1:3" x14ac:dyDescent="0.3">
      <c r="A2456" t="s">
        <v>2455</v>
      </c>
      <c r="B2456">
        <f>7.50491709571429*(1-0.8198)</f>
        <v>1.3523860606477149</v>
      </c>
      <c r="C2456" s="1">
        <v>2.6280000000000001</v>
      </c>
    </row>
    <row r="2457" spans="1:3" x14ac:dyDescent="0.3">
      <c r="A2457" t="s">
        <v>2456</v>
      </c>
      <c r="B2457">
        <f>22.8706942914286*(1-0.8198)</f>
        <v>4.1212991113154294</v>
      </c>
      <c r="C2457" s="1">
        <v>2.6280000000000001</v>
      </c>
    </row>
    <row r="2458" spans="1:3" x14ac:dyDescent="0.3">
      <c r="A2458" t="s">
        <v>2457</v>
      </c>
      <c r="B2458">
        <f>37.8358946671429*(1-0.8198)</f>
        <v>6.8180282190191441</v>
      </c>
      <c r="C2458" s="1">
        <v>2.6280000000000001</v>
      </c>
    </row>
    <row r="2459" spans="1:3" x14ac:dyDescent="0.3">
      <c r="A2459" t="s">
        <v>2458</v>
      </c>
      <c r="B2459">
        <f>50.0006398785714*(1-0.8198)</f>
        <v>9.010115306118573</v>
      </c>
      <c r="C2459" s="1">
        <v>2.6280000000000001</v>
      </c>
    </row>
    <row r="2460" spans="1:3" x14ac:dyDescent="0.3">
      <c r="A2460" t="s">
        <v>2459</v>
      </c>
      <c r="B2460">
        <f>57.7218112842857*(1-0.8198)</f>
        <v>10.401470393428289</v>
      </c>
      <c r="C2460" s="1">
        <v>2.6280000000000001</v>
      </c>
    </row>
    <row r="2461" spans="1:3" x14ac:dyDescent="0.3">
      <c r="A2461" t="s">
        <v>2460</v>
      </c>
      <c r="B2461">
        <f>61.4285714285714*(1-0.8198)</f>
        <v>11.069428571428574</v>
      </c>
      <c r="C2461" s="1">
        <v>2.6280000000000001</v>
      </c>
    </row>
    <row r="2462" spans="1:3" x14ac:dyDescent="0.3">
      <c r="A2462" t="s">
        <v>2461</v>
      </c>
      <c r="B2462">
        <f>61.4285714285714*(1-0.8198)</f>
        <v>11.069428571428574</v>
      </c>
      <c r="C2462" s="1">
        <v>2.6280000000000001</v>
      </c>
    </row>
    <row r="2463" spans="1:3" x14ac:dyDescent="0.3">
      <c r="A2463" t="s">
        <v>2462</v>
      </c>
      <c r="B2463">
        <f>58.9226380685714*(1-0.8198)</f>
        <v>10.617859379956574</v>
      </c>
      <c r="C2463" s="1">
        <v>2.6280000000000001</v>
      </c>
    </row>
    <row r="2464" spans="1:3" x14ac:dyDescent="0.3">
      <c r="A2464" t="s">
        <v>2463</v>
      </c>
      <c r="B2464">
        <f>47.1966670071429*(1-0.8198)</f>
        <v>8.5048393946871439</v>
      </c>
      <c r="C2464" s="1">
        <v>2.6280000000000001</v>
      </c>
    </row>
    <row r="2465" spans="1:3" x14ac:dyDescent="0.3">
      <c r="A2465" t="s">
        <v>2464</v>
      </c>
      <c r="B2465">
        <f>35.21745064*(1-0.8198)</f>
        <v>6.3461846053280011</v>
      </c>
      <c r="C2465" s="1">
        <v>2.6280000000000001</v>
      </c>
    </row>
    <row r="2466" spans="1:3" x14ac:dyDescent="0.3">
      <c r="A2466" t="s">
        <v>2465</v>
      </c>
      <c r="B2466">
        <f>24.0957262057143*(1-0.8198)</f>
        <v>4.3420498622697163</v>
      </c>
      <c r="C2466" s="1">
        <v>2.6280000000000001</v>
      </c>
    </row>
    <row r="2467" spans="1:3" x14ac:dyDescent="0.3">
      <c r="A2467" t="s">
        <v>2466</v>
      </c>
      <c r="B2467">
        <f>9.90275122*(1-0.8198)</f>
        <v>1.7844757698440001</v>
      </c>
      <c r="C2467" s="1">
        <v>2.6280000000000001</v>
      </c>
    </row>
    <row r="2468" spans="1:3" x14ac:dyDescent="0.3">
      <c r="A2468" t="s">
        <v>2467</v>
      </c>
      <c r="B2468">
        <f>0.11008*(1-0.8198)</f>
        <v>1.9836416000000006E-2</v>
      </c>
      <c r="C2468" s="1">
        <v>2.6280000000000001</v>
      </c>
    </row>
    <row r="2469" spans="1:3" x14ac:dyDescent="0.3">
      <c r="A2469" t="s">
        <v>2468</v>
      </c>
      <c r="B2469">
        <f>0*(1-0.8198)</f>
        <v>0</v>
      </c>
      <c r="C2469" s="1">
        <v>2.6280000000000001</v>
      </c>
    </row>
    <row r="2470" spans="1:3" x14ac:dyDescent="0.3">
      <c r="A2470" t="s">
        <v>2469</v>
      </c>
      <c r="B2470">
        <f>0*(1-0.8198)</f>
        <v>0</v>
      </c>
      <c r="C2470" s="1">
        <v>2.6280000000000001</v>
      </c>
    </row>
    <row r="2471" spans="1:3" x14ac:dyDescent="0.3">
      <c r="A2471" t="s">
        <v>2470</v>
      </c>
      <c r="B2471">
        <f>0*(1-0.8198)</f>
        <v>0</v>
      </c>
      <c r="C2471" s="1">
        <v>2.6280000000000001</v>
      </c>
    </row>
    <row r="2472" spans="1:3" x14ac:dyDescent="0.3">
      <c r="A2472" t="s">
        <v>2471</v>
      </c>
      <c r="B2472">
        <f>0*(1-0.8198)</f>
        <v>0</v>
      </c>
      <c r="C2472" s="1">
        <v>2.6280000000000001</v>
      </c>
    </row>
    <row r="2473" spans="1:3" x14ac:dyDescent="0.3">
      <c r="A2473" t="s">
        <v>2472</v>
      </c>
      <c r="B2473">
        <f>0*(1-0.8198)</f>
        <v>0</v>
      </c>
      <c r="C2473" s="1">
        <v>2.6280000000000001</v>
      </c>
    </row>
    <row r="2474" spans="1:3" x14ac:dyDescent="0.3">
      <c r="A2474" t="s">
        <v>2473</v>
      </c>
      <c r="B2474">
        <f>0*(1-0.8198)</f>
        <v>0</v>
      </c>
      <c r="C2474" s="1">
        <v>2.6280000000000001</v>
      </c>
    </row>
    <row r="2475" spans="1:3" x14ac:dyDescent="0.3">
      <c r="A2475" t="s">
        <v>2474</v>
      </c>
      <c r="B2475">
        <f>0*(1-0.8198)</f>
        <v>0</v>
      </c>
      <c r="C2475" s="1">
        <v>2.6280000000000001</v>
      </c>
    </row>
    <row r="2476" spans="1:3" x14ac:dyDescent="0.3">
      <c r="A2476" t="s">
        <v>2475</v>
      </c>
      <c r="B2476">
        <f>0*(1-0.8198)</f>
        <v>0</v>
      </c>
      <c r="C2476" s="1">
        <v>2.6280000000000001</v>
      </c>
    </row>
    <row r="2477" spans="1:3" x14ac:dyDescent="0.3">
      <c r="A2477" t="s">
        <v>2476</v>
      </c>
      <c r="B2477">
        <f>0*(1-0.8198)</f>
        <v>0</v>
      </c>
      <c r="C2477" s="1">
        <v>2.6280000000000001</v>
      </c>
    </row>
    <row r="2478" spans="1:3" x14ac:dyDescent="0.3">
      <c r="A2478" t="s">
        <v>2477</v>
      </c>
      <c r="B2478">
        <f>0*(1-0.8198)</f>
        <v>0</v>
      </c>
      <c r="C2478" s="1">
        <v>2.6280000000000001</v>
      </c>
    </row>
    <row r="2479" spans="1:3" x14ac:dyDescent="0.3">
      <c r="A2479" t="s">
        <v>2478</v>
      </c>
      <c r="B2479">
        <f>0*(1-0.8198)</f>
        <v>0</v>
      </c>
      <c r="C2479" s="1">
        <v>2.6280000000000001</v>
      </c>
    </row>
    <row r="2480" spans="1:3" x14ac:dyDescent="0.3">
      <c r="A2480" t="s">
        <v>2479</v>
      </c>
      <c r="B2480">
        <f>3.92460275142857*(1-0.8198)</f>
        <v>0.7072134158074288</v>
      </c>
      <c r="C2480" s="1">
        <v>2.6280000000000001</v>
      </c>
    </row>
    <row r="2481" spans="1:3" x14ac:dyDescent="0.3">
      <c r="A2481" t="s">
        <v>2480</v>
      </c>
      <c r="B2481">
        <f>15.4054624485714*(1-0.8198)</f>
        <v>2.7760643332325721</v>
      </c>
      <c r="C2481" s="1">
        <v>2.6280000000000001</v>
      </c>
    </row>
    <row r="2482" spans="1:3" x14ac:dyDescent="0.3">
      <c r="A2482" t="s">
        <v>2481</v>
      </c>
      <c r="B2482">
        <f>19.8541783171429*(1-0.8198)</f>
        <v>3.5777229327491442</v>
      </c>
      <c r="C2482" s="1">
        <v>2.6280000000000001</v>
      </c>
    </row>
    <row r="2483" spans="1:3" x14ac:dyDescent="0.3">
      <c r="A2483" t="s">
        <v>2482</v>
      </c>
      <c r="B2483">
        <f>34.3095859271429*(1-0.8198)</f>
        <v>6.1825873840711445</v>
      </c>
      <c r="C2483" s="1">
        <v>2.6280000000000001</v>
      </c>
    </row>
    <row r="2484" spans="1:3" x14ac:dyDescent="0.3">
      <c r="A2484" t="s">
        <v>2483</v>
      </c>
      <c r="B2484">
        <f>45.4593857371429*(1-0.8198)</f>
        <v>8.1917813098331447</v>
      </c>
      <c r="C2484" s="1">
        <v>2.6280000000000001</v>
      </c>
    </row>
    <row r="2485" spans="1:3" x14ac:dyDescent="0.3">
      <c r="A2485" t="s">
        <v>2484</v>
      </c>
      <c r="B2485">
        <f>61.4285714285714*(1-0.8198)</f>
        <v>11.069428571428574</v>
      </c>
      <c r="C2485" s="1">
        <v>2.6280000000000001</v>
      </c>
    </row>
    <row r="2486" spans="1:3" x14ac:dyDescent="0.3">
      <c r="A2486" t="s">
        <v>2485</v>
      </c>
      <c r="B2486">
        <f>59.4301736414286*(1-0.8198)</f>
        <v>10.709317290185432</v>
      </c>
      <c r="C2486" s="1">
        <v>2.6280000000000001</v>
      </c>
    </row>
    <row r="2487" spans="1:3" x14ac:dyDescent="0.3">
      <c r="A2487" t="s">
        <v>2486</v>
      </c>
      <c r="B2487">
        <f>44.0751506228571*(1-0.8198)</f>
        <v>7.9423421422388572</v>
      </c>
      <c r="C2487" s="1">
        <v>2.6280000000000001</v>
      </c>
    </row>
    <row r="2488" spans="1:3" x14ac:dyDescent="0.3">
      <c r="A2488" t="s">
        <v>2487</v>
      </c>
      <c r="B2488">
        <f>15.7386636742857*(1-0.8198)</f>
        <v>2.8361071941062863</v>
      </c>
      <c r="C2488" s="1">
        <v>2.6280000000000001</v>
      </c>
    </row>
    <row r="2489" spans="1:3" x14ac:dyDescent="0.3">
      <c r="A2489" t="s">
        <v>2488</v>
      </c>
      <c r="B2489">
        <f>14.9512881557143*(1-0.8198)</f>
        <v>2.6942221256597145</v>
      </c>
      <c r="C2489" s="1">
        <v>2.6280000000000001</v>
      </c>
    </row>
    <row r="2490" spans="1:3" x14ac:dyDescent="0.3">
      <c r="A2490" t="s">
        <v>2489</v>
      </c>
      <c r="B2490">
        <f>4.69818*(1-0.8198)</f>
        <v>0.84661203600000023</v>
      </c>
      <c r="C2490" s="1">
        <v>2.6280000000000001</v>
      </c>
    </row>
    <row r="2491" spans="1:3" x14ac:dyDescent="0.3">
      <c r="A2491" t="s">
        <v>2490</v>
      </c>
      <c r="B2491">
        <f>9.62136775857143*(1-0.8198)</f>
        <v>1.7337704700945722</v>
      </c>
      <c r="C2491" s="1">
        <v>2.6280000000000001</v>
      </c>
    </row>
    <row r="2492" spans="1:3" x14ac:dyDescent="0.3">
      <c r="A2492" t="s">
        <v>2491</v>
      </c>
      <c r="B2492">
        <f>0.23048*(1-0.8198)</f>
        <v>4.1532496000000009E-2</v>
      </c>
      <c r="C2492" s="1">
        <v>2.6280000000000001</v>
      </c>
    </row>
    <row r="2493" spans="1:3" x14ac:dyDescent="0.3">
      <c r="A2493" t="s">
        <v>2492</v>
      </c>
      <c r="B2493">
        <f>0*(1-0.8198)</f>
        <v>0</v>
      </c>
      <c r="C2493" s="1">
        <v>2.6280000000000001</v>
      </c>
    </row>
    <row r="2494" spans="1:3" x14ac:dyDescent="0.3">
      <c r="A2494" t="s">
        <v>2493</v>
      </c>
      <c r="B2494">
        <f>0*(1-0.8198)</f>
        <v>0</v>
      </c>
      <c r="C2494" s="1">
        <v>2.6280000000000001</v>
      </c>
    </row>
    <row r="2495" spans="1:3" x14ac:dyDescent="0.3">
      <c r="A2495" t="s">
        <v>2494</v>
      </c>
      <c r="B2495">
        <f>0*(1-0.8198)</f>
        <v>0</v>
      </c>
      <c r="C2495" s="1">
        <v>2.6280000000000001</v>
      </c>
    </row>
    <row r="2496" spans="1:3" x14ac:dyDescent="0.3">
      <c r="A2496" t="s">
        <v>2495</v>
      </c>
      <c r="B2496">
        <f>0*(1-0.8198)</f>
        <v>0</v>
      </c>
      <c r="C2496" s="1">
        <v>2.6280000000000001</v>
      </c>
    </row>
    <row r="2497" spans="1:3" x14ac:dyDescent="0.3">
      <c r="A2497" t="s">
        <v>2496</v>
      </c>
      <c r="B2497">
        <f>0*(1-0.8198)</f>
        <v>0</v>
      </c>
      <c r="C2497" s="1">
        <v>2.6280000000000001</v>
      </c>
    </row>
    <row r="2498" spans="1:3" x14ac:dyDescent="0.3">
      <c r="A2498" t="s">
        <v>2497</v>
      </c>
      <c r="B2498">
        <f>0*(1-0.8198)</f>
        <v>0</v>
      </c>
      <c r="C2498" s="1">
        <v>2.6280000000000001</v>
      </c>
    </row>
    <row r="2499" spans="1:3" x14ac:dyDescent="0.3">
      <c r="A2499" t="s">
        <v>2498</v>
      </c>
      <c r="B2499">
        <f>0*(1-0.8198)</f>
        <v>0</v>
      </c>
      <c r="C2499" s="1">
        <v>2.6280000000000001</v>
      </c>
    </row>
    <row r="2500" spans="1:3" x14ac:dyDescent="0.3">
      <c r="A2500" t="s">
        <v>2499</v>
      </c>
      <c r="B2500">
        <f>0*(1-0.8198)</f>
        <v>0</v>
      </c>
      <c r="C2500" s="1">
        <v>2.6280000000000001</v>
      </c>
    </row>
    <row r="2501" spans="1:3" x14ac:dyDescent="0.3">
      <c r="A2501" t="s">
        <v>2500</v>
      </c>
      <c r="B2501">
        <f>0*(1-0.8198)</f>
        <v>0</v>
      </c>
      <c r="C2501" s="1">
        <v>2.6280000000000001</v>
      </c>
    </row>
    <row r="2502" spans="1:3" x14ac:dyDescent="0.3">
      <c r="A2502" t="s">
        <v>2501</v>
      </c>
      <c r="B2502">
        <f>0*(1-0.8198)</f>
        <v>0</v>
      </c>
      <c r="C2502" s="1">
        <v>2.6280000000000001</v>
      </c>
    </row>
    <row r="2503" spans="1:3" x14ac:dyDescent="0.3">
      <c r="A2503" t="s">
        <v>2502</v>
      </c>
      <c r="B2503">
        <f>0*(1-0.8198)</f>
        <v>0</v>
      </c>
      <c r="C2503" s="1">
        <v>2.6280000000000001</v>
      </c>
    </row>
    <row r="2504" spans="1:3" x14ac:dyDescent="0.3">
      <c r="A2504" t="s">
        <v>2503</v>
      </c>
      <c r="B2504">
        <f>8.15911111*(1-0.8198)</f>
        <v>1.4702718220220001</v>
      </c>
      <c r="C2504" s="1">
        <v>2.6280000000000001</v>
      </c>
    </row>
    <row r="2505" spans="1:3" x14ac:dyDescent="0.3">
      <c r="A2505" t="s">
        <v>2504</v>
      </c>
      <c r="B2505">
        <f>22.89598468*(1-0.8198)</f>
        <v>4.1258564393360002</v>
      </c>
      <c r="C2505" s="1">
        <v>5.7469999999999999</v>
      </c>
    </row>
    <row r="2506" spans="1:3" x14ac:dyDescent="0.3">
      <c r="A2506" t="s">
        <v>2505</v>
      </c>
      <c r="B2506">
        <f>37.5523134142857*(1-0.8198)</f>
        <v>6.7669268772542868</v>
      </c>
      <c r="C2506" s="1">
        <v>7.258</v>
      </c>
    </row>
    <row r="2507" spans="1:3" x14ac:dyDescent="0.3">
      <c r="A2507" t="s">
        <v>2506</v>
      </c>
      <c r="B2507">
        <f>48.8134372757143*(1-0.8198)</f>
        <v>8.7961813970837177</v>
      </c>
      <c r="C2507" s="1">
        <v>7.258</v>
      </c>
    </row>
    <row r="2508" spans="1:3" x14ac:dyDescent="0.3">
      <c r="A2508" t="s">
        <v>2507</v>
      </c>
      <c r="B2508">
        <f>55.7985583928572*(1-0.8198)</f>
        <v>10.05490022239286</v>
      </c>
      <c r="C2508" s="1">
        <v>7.258</v>
      </c>
    </row>
    <row r="2509" spans="1:3" x14ac:dyDescent="0.3">
      <c r="A2509" t="s">
        <v>2508</v>
      </c>
      <c r="B2509">
        <f>58.5136263685714*(1-0.8198)</f>
        <v>10.544155471616573</v>
      </c>
      <c r="C2509" s="1">
        <v>7.258</v>
      </c>
    </row>
    <row r="2510" spans="1:3" x14ac:dyDescent="0.3">
      <c r="A2510" t="s">
        <v>2509</v>
      </c>
      <c r="B2510">
        <f>58.37003309*(1-0.8198)</f>
        <v>10.518279962818003</v>
      </c>
      <c r="C2510" s="1">
        <v>7.258</v>
      </c>
    </row>
    <row r="2511" spans="1:3" x14ac:dyDescent="0.3">
      <c r="A2511" t="s">
        <v>2510</v>
      </c>
      <c r="B2511">
        <f>57.8909456414286*(1-0.8198)</f>
        <v>10.431948404585428</v>
      </c>
      <c r="C2511" s="1">
        <v>5.7469999999999999</v>
      </c>
    </row>
    <row r="2512" spans="1:3" x14ac:dyDescent="0.3">
      <c r="A2512" t="s">
        <v>2511</v>
      </c>
      <c r="B2512">
        <f>34.6854841257143*(1-0.8198)</f>
        <v>6.2503242394537155</v>
      </c>
      <c r="C2512" s="1">
        <v>5.7469999999999999</v>
      </c>
    </row>
    <row r="2513" spans="1:3" x14ac:dyDescent="0.3">
      <c r="A2513" t="s">
        <v>2512</v>
      </c>
      <c r="B2513">
        <f>35.51606715*(1-0.8198)</f>
        <v>6.3999953004300005</v>
      </c>
      <c r="C2513" s="1">
        <v>5.7469999999999999</v>
      </c>
    </row>
    <row r="2514" spans="1:3" x14ac:dyDescent="0.3">
      <c r="A2514" t="s">
        <v>2513</v>
      </c>
      <c r="B2514">
        <f>24.0529808885714*(1-0.8198)</f>
        <v>4.3343471561205735</v>
      </c>
      <c r="C2514" s="1">
        <v>5.7469999999999999</v>
      </c>
    </row>
    <row r="2515" spans="1:3" x14ac:dyDescent="0.3">
      <c r="A2515" t="s">
        <v>2514</v>
      </c>
      <c r="B2515">
        <f>10.09228318*(1-0.8198)</f>
        <v>1.8186294290360003</v>
      </c>
      <c r="C2515" s="1">
        <v>7.258</v>
      </c>
    </row>
    <row r="2516" spans="1:3" x14ac:dyDescent="0.3">
      <c r="A2516" t="s">
        <v>2515</v>
      </c>
      <c r="B2516">
        <f>0.23822*(1-0.8198)</f>
        <v>4.2927244000000003E-2</v>
      </c>
      <c r="C2516" s="1">
        <v>7.258</v>
      </c>
    </row>
    <row r="2517" spans="1:3" x14ac:dyDescent="0.3">
      <c r="A2517" t="s">
        <v>2516</v>
      </c>
      <c r="B2517">
        <f>0*(1-0.8198)</f>
        <v>0</v>
      </c>
      <c r="C2517" s="1">
        <v>7.258</v>
      </c>
    </row>
    <row r="2518" spans="1:3" x14ac:dyDescent="0.3">
      <c r="A2518" t="s">
        <v>2517</v>
      </c>
      <c r="B2518">
        <f>0*(1-0.8198)</f>
        <v>0</v>
      </c>
      <c r="C2518" s="1">
        <v>7.258</v>
      </c>
    </row>
    <row r="2519" spans="1:3" x14ac:dyDescent="0.3">
      <c r="A2519" t="s">
        <v>2518</v>
      </c>
      <c r="B2519">
        <f>0*(1-0.8198)</f>
        <v>0</v>
      </c>
      <c r="C2519" s="1">
        <v>5.7469999999999999</v>
      </c>
    </row>
    <row r="2520" spans="1:3" x14ac:dyDescent="0.3">
      <c r="A2520" t="s">
        <v>2519</v>
      </c>
      <c r="B2520">
        <f>0*(1-0.8198)</f>
        <v>0</v>
      </c>
      <c r="C2520" s="1">
        <v>5.7469999999999999</v>
      </c>
    </row>
    <row r="2521" spans="1:3" x14ac:dyDescent="0.3">
      <c r="A2521" t="s">
        <v>2520</v>
      </c>
      <c r="B2521">
        <f>0*(1-0.8198)</f>
        <v>0</v>
      </c>
      <c r="C2521" s="1">
        <v>2.6280000000000001</v>
      </c>
    </row>
    <row r="2522" spans="1:3" x14ac:dyDescent="0.3">
      <c r="A2522" t="s">
        <v>2521</v>
      </c>
      <c r="B2522">
        <f>0*(1-0.8198)</f>
        <v>0</v>
      </c>
      <c r="C2522" s="1">
        <v>2.6280000000000001</v>
      </c>
    </row>
    <row r="2523" spans="1:3" x14ac:dyDescent="0.3">
      <c r="A2523" t="s">
        <v>2522</v>
      </c>
      <c r="B2523">
        <f>0*(1-0.8198)</f>
        <v>0</v>
      </c>
      <c r="C2523" s="1">
        <v>2.6280000000000001</v>
      </c>
    </row>
    <row r="2524" spans="1:3" x14ac:dyDescent="0.3">
      <c r="A2524" t="s">
        <v>2523</v>
      </c>
      <c r="B2524">
        <f>0*(1-0.8198)</f>
        <v>0</v>
      </c>
      <c r="C2524" s="1">
        <v>2.6280000000000001</v>
      </c>
    </row>
    <row r="2525" spans="1:3" x14ac:dyDescent="0.3">
      <c r="A2525" t="s">
        <v>2524</v>
      </c>
      <c r="B2525">
        <f>0*(1-0.8198)</f>
        <v>0</v>
      </c>
      <c r="C2525" s="1">
        <v>2.6280000000000001</v>
      </c>
    </row>
    <row r="2526" spans="1:3" x14ac:dyDescent="0.3">
      <c r="A2526" t="s">
        <v>2525</v>
      </c>
      <c r="B2526">
        <f>0*(1-0.8198)</f>
        <v>0</v>
      </c>
      <c r="C2526" s="1">
        <v>2.6280000000000001</v>
      </c>
    </row>
    <row r="2527" spans="1:3" x14ac:dyDescent="0.3">
      <c r="A2527" t="s">
        <v>2526</v>
      </c>
      <c r="B2527">
        <f>0*(1-0.8198)</f>
        <v>0</v>
      </c>
      <c r="C2527" s="1">
        <v>2.6280000000000001</v>
      </c>
    </row>
    <row r="2528" spans="1:3" x14ac:dyDescent="0.3">
      <c r="A2528" t="s">
        <v>2527</v>
      </c>
      <c r="B2528">
        <f>8.60810206*(1-0.8198)</f>
        <v>1.5511799912120006</v>
      </c>
      <c r="C2528" s="1">
        <v>2.6280000000000001</v>
      </c>
    </row>
    <row r="2529" spans="1:3" x14ac:dyDescent="0.3">
      <c r="A2529" t="s">
        <v>2528</v>
      </c>
      <c r="B2529">
        <f>23.8701857385714*(1-0.8198)</f>
        <v>4.301407470090572</v>
      </c>
      <c r="C2529" s="1">
        <v>5.7469999999999999</v>
      </c>
    </row>
    <row r="2530" spans="1:3" x14ac:dyDescent="0.3">
      <c r="A2530" t="s">
        <v>2529</v>
      </c>
      <c r="B2530">
        <f>38.0081778528571*(1-0.8198)</f>
        <v>6.8490736490848585</v>
      </c>
      <c r="C2530" s="1">
        <v>7.258</v>
      </c>
    </row>
    <row r="2531" spans="1:3" x14ac:dyDescent="0.3">
      <c r="A2531" t="s">
        <v>2530</v>
      </c>
      <c r="B2531">
        <f>49.50496733*(1-0.8198)</f>
        <v>8.920795112866001</v>
      </c>
      <c r="C2531" s="1">
        <v>7.258</v>
      </c>
    </row>
    <row r="2532" spans="1:3" x14ac:dyDescent="0.3">
      <c r="A2532" t="s">
        <v>2531</v>
      </c>
      <c r="B2532">
        <f>52.5704771357143*(1-0.8198)</f>
        <v>9.4731999798557176</v>
      </c>
      <c r="C2532" s="1">
        <v>7.258</v>
      </c>
    </row>
    <row r="2533" spans="1:3" x14ac:dyDescent="0.3">
      <c r="A2533" t="s">
        <v>2532</v>
      </c>
      <c r="B2533">
        <f>60.09512386*(1-0.8198)</f>
        <v>10.829141319572003</v>
      </c>
      <c r="C2533" s="1">
        <v>7.258</v>
      </c>
    </row>
    <row r="2534" spans="1:3" x14ac:dyDescent="0.3">
      <c r="A2534" t="s">
        <v>2533</v>
      </c>
      <c r="B2534">
        <f>59.21545394*(1-0.8198)</f>
        <v>10.670624799988003</v>
      </c>
      <c r="C2534" s="1">
        <v>7.258</v>
      </c>
    </row>
    <row r="2535" spans="1:3" x14ac:dyDescent="0.3">
      <c r="A2535" t="s">
        <v>2534</v>
      </c>
      <c r="B2535">
        <f>55.9345984757143*(1-0.8198)</f>
        <v>10.079414645323716</v>
      </c>
      <c r="C2535" s="1">
        <v>5.7469999999999999</v>
      </c>
    </row>
    <row r="2536" spans="1:3" x14ac:dyDescent="0.3">
      <c r="A2536" t="s">
        <v>2535</v>
      </c>
      <c r="B2536">
        <f>51.75211766*(1-0.8198)</f>
        <v>9.3257316023320023</v>
      </c>
      <c r="C2536" s="1">
        <v>5.7469999999999999</v>
      </c>
    </row>
    <row r="2537" spans="1:3" x14ac:dyDescent="0.3">
      <c r="A2537" t="s">
        <v>2536</v>
      </c>
      <c r="B2537">
        <f>40.8771481728571*(1-0.8198)</f>
        <v>7.3660621007488594</v>
      </c>
      <c r="C2537" s="1">
        <v>5.7469999999999999</v>
      </c>
    </row>
    <row r="2538" spans="1:3" x14ac:dyDescent="0.3">
      <c r="A2538" t="s">
        <v>2537</v>
      </c>
      <c r="B2538">
        <f>26.2144898385714*(1-0.8198)</f>
        <v>4.7238510689105713</v>
      </c>
      <c r="C2538" s="1">
        <v>5.7469999999999999</v>
      </c>
    </row>
    <row r="2539" spans="1:3" x14ac:dyDescent="0.3">
      <c r="A2539" t="s">
        <v>2538</v>
      </c>
      <c r="B2539">
        <f>10.61111774*(1-0.8198)</f>
        <v>1.9121234167480003</v>
      </c>
      <c r="C2539" s="1">
        <v>7.258</v>
      </c>
    </row>
    <row r="2540" spans="1:3" x14ac:dyDescent="0.3">
      <c r="A2540" t="s">
        <v>2539</v>
      </c>
      <c r="B2540">
        <f>0.32766*(1-0.8198)</f>
        <v>5.9044332000000012E-2</v>
      </c>
      <c r="C2540" s="1">
        <v>7.258</v>
      </c>
    </row>
    <row r="2541" spans="1:3" x14ac:dyDescent="0.3">
      <c r="A2541" t="s">
        <v>2540</v>
      </c>
      <c r="B2541">
        <f>0*(1-0.8198)</f>
        <v>0</v>
      </c>
      <c r="C2541" s="1">
        <v>7.258</v>
      </c>
    </row>
    <row r="2542" spans="1:3" x14ac:dyDescent="0.3">
      <c r="A2542" t="s">
        <v>2541</v>
      </c>
      <c r="B2542">
        <f>0*(1-0.8198)</f>
        <v>0</v>
      </c>
      <c r="C2542" s="1">
        <v>7.258</v>
      </c>
    </row>
    <row r="2543" spans="1:3" x14ac:dyDescent="0.3">
      <c r="A2543" t="s">
        <v>2542</v>
      </c>
      <c r="B2543">
        <f>0*(1-0.8198)</f>
        <v>0</v>
      </c>
      <c r="C2543" s="1">
        <v>5.7469999999999999</v>
      </c>
    </row>
    <row r="2544" spans="1:3" x14ac:dyDescent="0.3">
      <c r="A2544" t="s">
        <v>2543</v>
      </c>
      <c r="B2544">
        <f>0*(1-0.8198)</f>
        <v>0</v>
      </c>
      <c r="C2544" s="1">
        <v>5.7469999999999999</v>
      </c>
    </row>
    <row r="2545" spans="1:3" x14ac:dyDescent="0.3">
      <c r="A2545" t="s">
        <v>2544</v>
      </c>
      <c r="B2545">
        <f>0*(1-0.8198)</f>
        <v>0</v>
      </c>
      <c r="C2545" s="1">
        <v>2.6280000000000001</v>
      </c>
    </row>
    <row r="2546" spans="1:3" x14ac:dyDescent="0.3">
      <c r="A2546" t="s">
        <v>2545</v>
      </c>
      <c r="B2546">
        <f>0*(1-0.8198)</f>
        <v>0</v>
      </c>
      <c r="C2546" s="1">
        <v>2.6280000000000001</v>
      </c>
    </row>
    <row r="2547" spans="1:3" x14ac:dyDescent="0.3">
      <c r="A2547" t="s">
        <v>2546</v>
      </c>
      <c r="B2547">
        <f>0*(1-0.8198)</f>
        <v>0</v>
      </c>
      <c r="C2547" s="1">
        <v>2.6280000000000001</v>
      </c>
    </row>
    <row r="2548" spans="1:3" x14ac:dyDescent="0.3">
      <c r="A2548" t="s">
        <v>2547</v>
      </c>
      <c r="B2548">
        <f>0*(1-0.8198)</f>
        <v>0</v>
      </c>
      <c r="C2548" s="1">
        <v>2.6280000000000001</v>
      </c>
    </row>
    <row r="2549" spans="1:3" x14ac:dyDescent="0.3">
      <c r="A2549" t="s">
        <v>2548</v>
      </c>
      <c r="B2549">
        <f>0*(1-0.8198)</f>
        <v>0</v>
      </c>
      <c r="C2549" s="1">
        <v>2.6280000000000001</v>
      </c>
    </row>
    <row r="2550" spans="1:3" x14ac:dyDescent="0.3">
      <c r="A2550" t="s">
        <v>2549</v>
      </c>
      <c r="B2550">
        <f>0*(1-0.8198)</f>
        <v>0</v>
      </c>
      <c r="C2550" s="1">
        <v>2.6280000000000001</v>
      </c>
    </row>
    <row r="2551" spans="1:3" x14ac:dyDescent="0.3">
      <c r="A2551" t="s">
        <v>2550</v>
      </c>
      <c r="B2551">
        <f>0*(1-0.8198)</f>
        <v>0</v>
      </c>
      <c r="C2551" s="1">
        <v>2.6280000000000001</v>
      </c>
    </row>
    <row r="2552" spans="1:3" x14ac:dyDescent="0.3">
      <c r="A2552" t="s">
        <v>2551</v>
      </c>
      <c r="B2552">
        <f>7.85677110714286*(1-0.8198)</f>
        <v>1.4157901535071433</v>
      </c>
      <c r="C2552" s="1">
        <v>2.6280000000000001</v>
      </c>
    </row>
    <row r="2553" spans="1:3" x14ac:dyDescent="0.3">
      <c r="A2553" t="s">
        <v>2552</v>
      </c>
      <c r="B2553">
        <f>21.9533579685714*(1-0.8198)</f>
        <v>3.9559951059365726</v>
      </c>
      <c r="C2553" s="1">
        <v>5.7469999999999999</v>
      </c>
    </row>
    <row r="2554" spans="1:3" x14ac:dyDescent="0.3">
      <c r="A2554" t="s">
        <v>2553</v>
      </c>
      <c r="B2554">
        <f>34.8022835514286*(1-0.8198)</f>
        <v>6.27137149596743</v>
      </c>
      <c r="C2554" s="1">
        <v>7.258</v>
      </c>
    </row>
    <row r="2555" spans="1:3" x14ac:dyDescent="0.3">
      <c r="A2555" t="s">
        <v>2554</v>
      </c>
      <c r="B2555">
        <f>48.7497682814286*(1-0.8198)</f>
        <v>8.7847082443134319</v>
      </c>
      <c r="C2555" s="1">
        <v>7.258</v>
      </c>
    </row>
    <row r="2556" spans="1:3" x14ac:dyDescent="0.3">
      <c r="A2556" t="s">
        <v>2555</v>
      </c>
      <c r="B2556">
        <f>57.9030369342857*(1-0.8198)</f>
        <v>10.434127255558289</v>
      </c>
      <c r="C2556" s="1">
        <v>7.258</v>
      </c>
    </row>
    <row r="2557" spans="1:3" x14ac:dyDescent="0.3">
      <c r="A2557" t="s">
        <v>2556</v>
      </c>
      <c r="B2557">
        <f>61.4285714285714*(1-0.8198)</f>
        <v>11.069428571428574</v>
      </c>
      <c r="C2557" s="1">
        <v>7.258</v>
      </c>
    </row>
    <row r="2558" spans="1:3" x14ac:dyDescent="0.3">
      <c r="A2558" t="s">
        <v>2557</v>
      </c>
      <c r="B2558">
        <f>58.4145880314286*(1-0.8198)</f>
        <v>10.52630876326343</v>
      </c>
      <c r="C2558" s="1">
        <v>7.258</v>
      </c>
    </row>
    <row r="2559" spans="1:3" x14ac:dyDescent="0.3">
      <c r="A2559" t="s">
        <v>2558</v>
      </c>
      <c r="B2559">
        <f>57.6242737085714*(1-0.8198)</f>
        <v>10.383894122284575</v>
      </c>
      <c r="C2559" s="1">
        <v>5.7469999999999999</v>
      </c>
    </row>
    <row r="2560" spans="1:3" x14ac:dyDescent="0.3">
      <c r="A2560" t="s">
        <v>2559</v>
      </c>
      <c r="B2560">
        <f>49.9665266271429*(1-0.8198)</f>
        <v>9.0039680982111445</v>
      </c>
      <c r="C2560" s="1">
        <v>5.7469999999999999</v>
      </c>
    </row>
    <row r="2561" spans="1:3" x14ac:dyDescent="0.3">
      <c r="A2561" t="s">
        <v>2560</v>
      </c>
      <c r="B2561">
        <f>35.4292085628571*(1-0.8198)</f>
        <v>6.3843433830268594</v>
      </c>
      <c r="C2561" s="1">
        <v>5.7469999999999999</v>
      </c>
    </row>
    <row r="2562" spans="1:3" x14ac:dyDescent="0.3">
      <c r="A2562" t="s">
        <v>2561</v>
      </c>
      <c r="B2562">
        <f>21.3338257628571*(1-0.8198)</f>
        <v>3.8443554024668583</v>
      </c>
      <c r="C2562" s="1">
        <v>5.7469999999999999</v>
      </c>
    </row>
    <row r="2563" spans="1:3" x14ac:dyDescent="0.3">
      <c r="A2563" t="s">
        <v>2562</v>
      </c>
      <c r="B2563">
        <f>4.64277284142857*(1-0.8198)</f>
        <v>0.83662766602542882</v>
      </c>
      <c r="C2563" s="1">
        <v>7.258</v>
      </c>
    </row>
    <row r="2564" spans="1:3" x14ac:dyDescent="0.3">
      <c r="A2564" t="s">
        <v>2563</v>
      </c>
      <c r="B2564">
        <f>0.23994*(1-0.8198)</f>
        <v>4.3237188000000003E-2</v>
      </c>
      <c r="C2564" s="1">
        <v>7.258</v>
      </c>
    </row>
    <row r="2565" spans="1:3" x14ac:dyDescent="0.3">
      <c r="A2565" t="s">
        <v>2564</v>
      </c>
      <c r="B2565">
        <f>0*(1-0.8198)</f>
        <v>0</v>
      </c>
      <c r="C2565" s="1">
        <v>7.258</v>
      </c>
    </row>
    <row r="2566" spans="1:3" x14ac:dyDescent="0.3">
      <c r="A2566" t="s">
        <v>2565</v>
      </c>
      <c r="B2566">
        <f>0*(1-0.8198)</f>
        <v>0</v>
      </c>
      <c r="C2566" s="1">
        <v>7.258</v>
      </c>
    </row>
    <row r="2567" spans="1:3" x14ac:dyDescent="0.3">
      <c r="A2567" t="s">
        <v>2566</v>
      </c>
      <c r="B2567">
        <f>0*(1-0.8198)</f>
        <v>0</v>
      </c>
      <c r="C2567" s="1">
        <v>5.7469999999999999</v>
      </c>
    </row>
    <row r="2568" spans="1:3" x14ac:dyDescent="0.3">
      <c r="A2568" t="s">
        <v>2567</v>
      </c>
      <c r="B2568">
        <f>0*(1-0.8198)</f>
        <v>0</v>
      </c>
      <c r="C2568" s="1">
        <v>5.7469999999999999</v>
      </c>
    </row>
    <row r="2569" spans="1:3" x14ac:dyDescent="0.3">
      <c r="A2569" t="s">
        <v>2568</v>
      </c>
      <c r="B2569">
        <f>0*(1-0.8198)</f>
        <v>0</v>
      </c>
      <c r="C2569" s="1">
        <v>2.6280000000000001</v>
      </c>
    </row>
    <row r="2570" spans="1:3" x14ac:dyDescent="0.3">
      <c r="A2570" t="s">
        <v>2569</v>
      </c>
      <c r="B2570">
        <f>0*(1-0.8198)</f>
        <v>0</v>
      </c>
      <c r="C2570" s="1">
        <v>2.6280000000000001</v>
      </c>
    </row>
    <row r="2571" spans="1:3" x14ac:dyDescent="0.3">
      <c r="A2571" t="s">
        <v>2570</v>
      </c>
      <c r="B2571">
        <f>0*(1-0.8198)</f>
        <v>0</v>
      </c>
      <c r="C2571" s="1">
        <v>2.6280000000000001</v>
      </c>
    </row>
    <row r="2572" spans="1:3" x14ac:dyDescent="0.3">
      <c r="A2572" t="s">
        <v>2571</v>
      </c>
      <c r="B2572">
        <f>0*(1-0.8198)</f>
        <v>0</v>
      </c>
      <c r="C2572" s="1">
        <v>2.6280000000000001</v>
      </c>
    </row>
    <row r="2573" spans="1:3" x14ac:dyDescent="0.3">
      <c r="A2573" t="s">
        <v>2572</v>
      </c>
      <c r="B2573">
        <f>0*(1-0.8198)</f>
        <v>0</v>
      </c>
      <c r="C2573" s="1">
        <v>2.6280000000000001</v>
      </c>
    </row>
    <row r="2574" spans="1:3" x14ac:dyDescent="0.3">
      <c r="A2574" t="s">
        <v>2573</v>
      </c>
      <c r="B2574">
        <f>0*(1-0.8198)</f>
        <v>0</v>
      </c>
      <c r="C2574" s="1">
        <v>2.6280000000000001</v>
      </c>
    </row>
    <row r="2575" spans="1:3" x14ac:dyDescent="0.3">
      <c r="A2575" t="s">
        <v>2574</v>
      </c>
      <c r="B2575">
        <f>0*(1-0.8198)</f>
        <v>0</v>
      </c>
      <c r="C2575" s="1">
        <v>2.6280000000000001</v>
      </c>
    </row>
    <row r="2576" spans="1:3" x14ac:dyDescent="0.3">
      <c r="A2576" t="s">
        <v>2575</v>
      </c>
      <c r="B2576">
        <f>5.48506390571429*(1-0.8198)</f>
        <v>0.98840851580971445</v>
      </c>
      <c r="C2576" s="1">
        <v>2.6280000000000001</v>
      </c>
    </row>
    <row r="2577" spans="1:3" x14ac:dyDescent="0.3">
      <c r="A2577" t="s">
        <v>2576</v>
      </c>
      <c r="B2577">
        <f>18.6470850814286*(1-0.8198)</f>
        <v>3.3602047316734285</v>
      </c>
      <c r="C2577" s="1">
        <v>5.7469999999999999</v>
      </c>
    </row>
    <row r="2578" spans="1:3" x14ac:dyDescent="0.3">
      <c r="A2578" t="s">
        <v>2577</v>
      </c>
      <c r="B2578">
        <f>20.8753971728571*(1-0.8198)</f>
        <v>3.7617465705488575</v>
      </c>
      <c r="C2578" s="1">
        <v>7.258</v>
      </c>
    </row>
    <row r="2579" spans="1:3" x14ac:dyDescent="0.3">
      <c r="A2579" t="s">
        <v>2578</v>
      </c>
      <c r="B2579">
        <f>28.7751352314286*(1-0.8198)</f>
        <v>5.18527936870343</v>
      </c>
      <c r="C2579" s="1">
        <v>7.258</v>
      </c>
    </row>
    <row r="2580" spans="1:3" x14ac:dyDescent="0.3">
      <c r="A2580" t="s">
        <v>2579</v>
      </c>
      <c r="B2580">
        <f>47.8172038771429*(1-0.8198)</f>
        <v>8.6166601386611461</v>
      </c>
      <c r="C2580" s="1">
        <v>7.258</v>
      </c>
    </row>
    <row r="2581" spans="1:3" x14ac:dyDescent="0.3">
      <c r="A2581" t="s">
        <v>2580</v>
      </c>
      <c r="B2581">
        <f>50.6914132557143*(1-0.8198)</f>
        <v>9.1345926686797139</v>
      </c>
      <c r="C2581" s="1">
        <v>7.258</v>
      </c>
    </row>
    <row r="2582" spans="1:3" x14ac:dyDescent="0.3">
      <c r="A2582" t="s">
        <v>2581</v>
      </c>
      <c r="B2582">
        <f>60.6013171571429*(1-0.8198)</f>
        <v>10.920357351717145</v>
      </c>
      <c r="C2582" s="1">
        <v>7.258</v>
      </c>
    </row>
    <row r="2583" spans="1:3" x14ac:dyDescent="0.3">
      <c r="A2583" t="s">
        <v>2582</v>
      </c>
      <c r="B2583">
        <f>50.0268032285714*(1-0.8198)</f>
        <v>9.0148299417885713</v>
      </c>
      <c r="C2583" s="1">
        <v>5.7469999999999999</v>
      </c>
    </row>
    <row r="2584" spans="1:3" x14ac:dyDescent="0.3">
      <c r="A2584" t="s">
        <v>2583</v>
      </c>
      <c r="B2584">
        <f>31.7590705971429*(1-0.8198)</f>
        <v>5.7229845216051443</v>
      </c>
      <c r="C2584" s="1">
        <v>5.7469999999999999</v>
      </c>
    </row>
    <row r="2585" spans="1:3" x14ac:dyDescent="0.3">
      <c r="A2585" t="s">
        <v>2584</v>
      </c>
      <c r="B2585">
        <f>28.4823696085714*(1-0.8198)</f>
        <v>5.1325230034645726</v>
      </c>
      <c r="C2585" s="1">
        <v>5.7469999999999999</v>
      </c>
    </row>
    <row r="2586" spans="1:3" x14ac:dyDescent="0.3">
      <c r="A2586" t="s">
        <v>2585</v>
      </c>
      <c r="B2586">
        <f>7.0004*(1-0.8198)</f>
        <v>1.2614720800000003</v>
      </c>
      <c r="C2586" s="1">
        <v>5.7469999999999999</v>
      </c>
    </row>
    <row r="2587" spans="1:3" x14ac:dyDescent="0.3">
      <c r="A2587" t="s">
        <v>2586</v>
      </c>
      <c r="B2587">
        <f>7.17491156857143*(1-0.8198)</f>
        <v>1.292919064656572</v>
      </c>
      <c r="C2587" s="1">
        <v>7.258</v>
      </c>
    </row>
    <row r="2588" spans="1:3" x14ac:dyDescent="0.3">
      <c r="A2588" t="s">
        <v>2587</v>
      </c>
      <c r="B2588">
        <f>0.48074*(1-0.8198)</f>
        <v>8.6629348000000009E-2</v>
      </c>
      <c r="C2588" s="1">
        <v>7.258</v>
      </c>
    </row>
    <row r="2589" spans="1:3" x14ac:dyDescent="0.3">
      <c r="A2589" t="s">
        <v>2588</v>
      </c>
      <c r="B2589">
        <f>0*(1-0.8198)</f>
        <v>0</v>
      </c>
      <c r="C2589" s="1">
        <v>7.258</v>
      </c>
    </row>
    <row r="2590" spans="1:3" x14ac:dyDescent="0.3">
      <c r="A2590" t="s">
        <v>2589</v>
      </c>
      <c r="B2590">
        <f>0*(1-0.8198)</f>
        <v>0</v>
      </c>
      <c r="C2590" s="1">
        <v>7.258</v>
      </c>
    </row>
    <row r="2591" spans="1:3" x14ac:dyDescent="0.3">
      <c r="A2591" t="s">
        <v>2590</v>
      </c>
      <c r="B2591">
        <f>0*(1-0.8198)</f>
        <v>0</v>
      </c>
      <c r="C2591" s="1">
        <v>5.7469999999999999</v>
      </c>
    </row>
    <row r="2592" spans="1:3" x14ac:dyDescent="0.3">
      <c r="A2592" t="s">
        <v>2591</v>
      </c>
      <c r="B2592">
        <f>0*(1-0.8198)</f>
        <v>0</v>
      </c>
      <c r="C2592" s="1">
        <v>5.7469999999999999</v>
      </c>
    </row>
    <row r="2593" spans="1:3" x14ac:dyDescent="0.3">
      <c r="A2593" t="s">
        <v>2592</v>
      </c>
      <c r="B2593">
        <f>0*(1-0.8198)</f>
        <v>0</v>
      </c>
      <c r="C2593" s="1">
        <v>2.6280000000000001</v>
      </c>
    </row>
    <row r="2594" spans="1:3" x14ac:dyDescent="0.3">
      <c r="A2594" t="s">
        <v>2593</v>
      </c>
      <c r="B2594">
        <f>0*(1-0.8198)</f>
        <v>0</v>
      </c>
      <c r="C2594" s="1">
        <v>2.6280000000000001</v>
      </c>
    </row>
    <row r="2595" spans="1:3" x14ac:dyDescent="0.3">
      <c r="A2595" t="s">
        <v>2594</v>
      </c>
      <c r="B2595">
        <f>0*(1-0.8198)</f>
        <v>0</v>
      </c>
      <c r="C2595" s="1">
        <v>2.6280000000000001</v>
      </c>
    </row>
    <row r="2596" spans="1:3" x14ac:dyDescent="0.3">
      <c r="A2596" t="s">
        <v>2595</v>
      </c>
      <c r="B2596">
        <f>0*(1-0.8198)</f>
        <v>0</v>
      </c>
      <c r="C2596" s="1">
        <v>2.6280000000000001</v>
      </c>
    </row>
    <row r="2597" spans="1:3" x14ac:dyDescent="0.3">
      <c r="A2597" t="s">
        <v>2596</v>
      </c>
      <c r="B2597">
        <f>0*(1-0.8198)</f>
        <v>0</v>
      </c>
      <c r="C2597" s="1">
        <v>2.6280000000000001</v>
      </c>
    </row>
    <row r="2598" spans="1:3" x14ac:dyDescent="0.3">
      <c r="A2598" t="s">
        <v>2597</v>
      </c>
      <c r="B2598">
        <f>0*(1-0.8198)</f>
        <v>0</v>
      </c>
      <c r="C2598" s="1">
        <v>2.6280000000000001</v>
      </c>
    </row>
    <row r="2599" spans="1:3" x14ac:dyDescent="0.3">
      <c r="A2599" t="s">
        <v>2598</v>
      </c>
      <c r="B2599">
        <f>0*(1-0.8198)</f>
        <v>0</v>
      </c>
      <c r="C2599" s="1">
        <v>2.6280000000000001</v>
      </c>
    </row>
    <row r="2600" spans="1:3" x14ac:dyDescent="0.3">
      <c r="A2600" t="s">
        <v>2599</v>
      </c>
      <c r="B2600">
        <f>9.30516934714286*(1-0.8198)</f>
        <v>1.6767915163551435</v>
      </c>
      <c r="C2600" s="1">
        <v>2.6280000000000001</v>
      </c>
    </row>
    <row r="2601" spans="1:3" x14ac:dyDescent="0.3">
      <c r="A2601" t="s">
        <v>2600</v>
      </c>
      <c r="B2601">
        <f>23.9751020528571*(1-0.8198)</f>
        <v>4.3203133899248582</v>
      </c>
      <c r="C2601" s="1">
        <v>5.7469999999999999</v>
      </c>
    </row>
    <row r="2602" spans="1:3" x14ac:dyDescent="0.3">
      <c r="A2602" t="s">
        <v>2601</v>
      </c>
      <c r="B2602">
        <f>38.1897258185714*(1-0.8198)</f>
        <v>6.8817885925065729</v>
      </c>
      <c r="C2602" s="1">
        <v>7.258</v>
      </c>
    </row>
    <row r="2603" spans="1:3" x14ac:dyDescent="0.3">
      <c r="A2603" t="s">
        <v>2602</v>
      </c>
      <c r="B2603">
        <f>49.8313969771429*(1-0.8198)</f>
        <v>8.9796177352811473</v>
      </c>
      <c r="C2603" s="1">
        <v>7.258</v>
      </c>
    </row>
    <row r="2604" spans="1:3" x14ac:dyDescent="0.3">
      <c r="A2604" t="s">
        <v>2603</v>
      </c>
      <c r="B2604">
        <f>58.4287248957143*(1-0.8198)</f>
        <v>10.528856226207719</v>
      </c>
      <c r="C2604" s="1">
        <v>7.258</v>
      </c>
    </row>
    <row r="2605" spans="1:3" x14ac:dyDescent="0.3">
      <c r="A2605" t="s">
        <v>2604</v>
      </c>
      <c r="B2605">
        <f>61.4285714285714*(1-0.8198)</f>
        <v>11.069428571428574</v>
      </c>
      <c r="C2605" s="1">
        <v>7.258</v>
      </c>
    </row>
    <row r="2606" spans="1:3" x14ac:dyDescent="0.3">
      <c r="A2606" t="s">
        <v>2605</v>
      </c>
      <c r="B2606">
        <f>61.4285714285714*(1-0.8198)</f>
        <v>11.069428571428574</v>
      </c>
      <c r="C2606" s="1">
        <v>7.258</v>
      </c>
    </row>
    <row r="2607" spans="1:3" x14ac:dyDescent="0.3">
      <c r="A2607" t="s">
        <v>2606</v>
      </c>
      <c r="B2607">
        <f>60.3756477514286*(1-0.8198)</f>
        <v>10.879691724807431</v>
      </c>
      <c r="C2607" s="1">
        <v>5.7469999999999999</v>
      </c>
    </row>
    <row r="2608" spans="1:3" x14ac:dyDescent="0.3">
      <c r="A2608" t="s">
        <v>2607</v>
      </c>
      <c r="B2608">
        <f>52.50699384*(1-0.8198)</f>
        <v>9.4617602899680016</v>
      </c>
      <c r="C2608" s="1">
        <v>5.7469999999999999</v>
      </c>
    </row>
    <row r="2609" spans="1:3" x14ac:dyDescent="0.3">
      <c r="A2609" t="s">
        <v>2608</v>
      </c>
      <c r="B2609">
        <f>41.0629227928572*(1-0.8198)</f>
        <v>7.3995386872728597</v>
      </c>
      <c r="C2609" s="1">
        <v>5.7469999999999999</v>
      </c>
    </row>
    <row r="2610" spans="1:3" x14ac:dyDescent="0.3">
      <c r="A2610" t="s">
        <v>2609</v>
      </c>
      <c r="B2610">
        <f>26.29745238*(1-0.8198)</f>
        <v>4.7388009188760014</v>
      </c>
      <c r="C2610" s="1">
        <v>5.7469999999999999</v>
      </c>
    </row>
    <row r="2611" spans="1:3" x14ac:dyDescent="0.3">
      <c r="A2611" t="s">
        <v>2610</v>
      </c>
      <c r="B2611">
        <f>11.0986890271429*(1-0.8198)</f>
        <v>1.9999837626911439</v>
      </c>
      <c r="C2611" s="1">
        <v>7.258</v>
      </c>
    </row>
    <row r="2612" spans="1:3" x14ac:dyDescent="0.3">
      <c r="A2612" t="s">
        <v>2611</v>
      </c>
      <c r="B2612">
        <f>0.58136*(1-0.8198)</f>
        <v>0.10476107200000001</v>
      </c>
      <c r="C2612" s="1">
        <v>7.258</v>
      </c>
    </row>
    <row r="2613" spans="1:3" x14ac:dyDescent="0.3">
      <c r="A2613" t="s">
        <v>2612</v>
      </c>
      <c r="B2613">
        <f>0*(1-0.8198)</f>
        <v>0</v>
      </c>
      <c r="C2613" s="1">
        <v>7.258</v>
      </c>
    </row>
    <row r="2614" spans="1:3" x14ac:dyDescent="0.3">
      <c r="A2614" t="s">
        <v>2613</v>
      </c>
      <c r="B2614">
        <f>0*(1-0.8198)</f>
        <v>0</v>
      </c>
      <c r="C2614" s="1">
        <v>7.258</v>
      </c>
    </row>
    <row r="2615" spans="1:3" x14ac:dyDescent="0.3">
      <c r="A2615" t="s">
        <v>2614</v>
      </c>
      <c r="B2615">
        <f>0*(1-0.8198)</f>
        <v>0</v>
      </c>
      <c r="C2615" s="1">
        <v>5.7469999999999999</v>
      </c>
    </row>
    <row r="2616" spans="1:3" x14ac:dyDescent="0.3">
      <c r="A2616" t="s">
        <v>2615</v>
      </c>
      <c r="B2616">
        <f>0*(1-0.8198)</f>
        <v>0</v>
      </c>
      <c r="C2616" s="1">
        <v>5.7469999999999999</v>
      </c>
    </row>
    <row r="2617" spans="1:3" x14ac:dyDescent="0.3">
      <c r="A2617" t="s">
        <v>2616</v>
      </c>
      <c r="B2617">
        <f>0*(1-0.8198)</f>
        <v>0</v>
      </c>
      <c r="C2617" s="1">
        <v>2.6280000000000001</v>
      </c>
    </row>
    <row r="2618" spans="1:3" x14ac:dyDescent="0.3">
      <c r="A2618" t="s">
        <v>2617</v>
      </c>
      <c r="B2618">
        <f>0*(1-0.8198)</f>
        <v>0</v>
      </c>
      <c r="C2618" s="1">
        <v>2.6280000000000001</v>
      </c>
    </row>
    <row r="2619" spans="1:3" x14ac:dyDescent="0.3">
      <c r="A2619" t="s">
        <v>2618</v>
      </c>
      <c r="B2619">
        <f>0*(1-0.8198)</f>
        <v>0</v>
      </c>
      <c r="C2619" s="1">
        <v>2.6280000000000001</v>
      </c>
    </row>
    <row r="2620" spans="1:3" x14ac:dyDescent="0.3">
      <c r="A2620" t="s">
        <v>2619</v>
      </c>
      <c r="B2620">
        <f>0*(1-0.8198)</f>
        <v>0</v>
      </c>
      <c r="C2620" s="1">
        <v>2.6280000000000001</v>
      </c>
    </row>
    <row r="2621" spans="1:3" x14ac:dyDescent="0.3">
      <c r="A2621" t="s">
        <v>2620</v>
      </c>
      <c r="B2621">
        <f>0*(1-0.8198)</f>
        <v>0</v>
      </c>
      <c r="C2621" s="1">
        <v>2.6280000000000001</v>
      </c>
    </row>
    <row r="2622" spans="1:3" x14ac:dyDescent="0.3">
      <c r="A2622" t="s">
        <v>2621</v>
      </c>
      <c r="B2622">
        <f>0*(1-0.8198)</f>
        <v>0</v>
      </c>
      <c r="C2622" s="1">
        <v>2.6280000000000001</v>
      </c>
    </row>
    <row r="2623" spans="1:3" x14ac:dyDescent="0.3">
      <c r="A2623" t="s">
        <v>2622</v>
      </c>
      <c r="B2623">
        <f>0*(1-0.8198)</f>
        <v>0</v>
      </c>
      <c r="C2623" s="1">
        <v>2.6280000000000001</v>
      </c>
    </row>
    <row r="2624" spans="1:3" x14ac:dyDescent="0.3">
      <c r="A2624" t="s">
        <v>2623</v>
      </c>
      <c r="B2624">
        <f>9.56405606857143*(1-0.8198)</f>
        <v>1.7234429035565719</v>
      </c>
      <c r="C2624" s="1">
        <v>2.6280000000000001</v>
      </c>
    </row>
    <row r="2625" spans="1:3" x14ac:dyDescent="0.3">
      <c r="A2625" t="s">
        <v>2624</v>
      </c>
      <c r="B2625">
        <f>24.2946834585714*(1-0.8198)</f>
        <v>4.3779019592345714</v>
      </c>
      <c r="C2625" s="1">
        <v>2.6280000000000001</v>
      </c>
    </row>
    <row r="2626" spans="1:3" x14ac:dyDescent="0.3">
      <c r="A2626" t="s">
        <v>2625</v>
      </c>
      <c r="B2626">
        <f>38.82184867*(1-0.8198)</f>
        <v>6.995697130334003</v>
      </c>
      <c r="C2626" s="1">
        <v>2.6280000000000001</v>
      </c>
    </row>
    <row r="2627" spans="1:3" x14ac:dyDescent="0.3">
      <c r="A2627" t="s">
        <v>2626</v>
      </c>
      <c r="B2627">
        <f>50.2976124371429*(1-0.8198)</f>
        <v>9.0636297611731447</v>
      </c>
      <c r="C2627" s="1">
        <v>2.6280000000000001</v>
      </c>
    </row>
    <row r="2628" spans="1:3" x14ac:dyDescent="0.3">
      <c r="A2628" t="s">
        <v>2627</v>
      </c>
      <c r="B2628">
        <f>58.7570020685714*(1-0.8198)</f>
        <v>10.588011772756573</v>
      </c>
      <c r="C2628" s="1">
        <v>2.6280000000000001</v>
      </c>
    </row>
    <row r="2629" spans="1:3" x14ac:dyDescent="0.3">
      <c r="A2629" t="s">
        <v>2628</v>
      </c>
      <c r="B2629">
        <f>61.4285714285714*(1-0.8198)</f>
        <v>11.069428571428574</v>
      </c>
      <c r="C2629" s="1">
        <v>2.6280000000000001</v>
      </c>
    </row>
    <row r="2630" spans="1:3" x14ac:dyDescent="0.3">
      <c r="A2630" t="s">
        <v>2629</v>
      </c>
      <c r="B2630">
        <f>61.4285714285714*(1-0.8198)</f>
        <v>11.069428571428574</v>
      </c>
      <c r="C2630" s="1">
        <v>2.6280000000000001</v>
      </c>
    </row>
    <row r="2631" spans="1:3" x14ac:dyDescent="0.3">
      <c r="A2631" t="s">
        <v>2630</v>
      </c>
      <c r="B2631">
        <f>59.8265908257143*(1-0.8198)</f>
        <v>10.780751666793718</v>
      </c>
      <c r="C2631" s="1">
        <v>2.6280000000000001</v>
      </c>
    </row>
    <row r="2632" spans="1:3" x14ac:dyDescent="0.3">
      <c r="A2632" t="s">
        <v>2631</v>
      </c>
      <c r="B2632">
        <f>52.4313815957143*(1-0.8198)</f>
        <v>9.4481349635477159</v>
      </c>
      <c r="C2632" s="1">
        <v>2.6280000000000001</v>
      </c>
    </row>
    <row r="2633" spans="1:3" x14ac:dyDescent="0.3">
      <c r="A2633" t="s">
        <v>2632</v>
      </c>
      <c r="B2633">
        <f>40.7041245885714*(1-0.8198)</f>
        <v>7.3348832508605728</v>
      </c>
      <c r="C2633" s="1">
        <v>2.6280000000000001</v>
      </c>
    </row>
    <row r="2634" spans="1:3" x14ac:dyDescent="0.3">
      <c r="A2634" t="s">
        <v>2633</v>
      </c>
      <c r="B2634">
        <f>8.45299651428572*(1-0.8198)</f>
        <v>1.5232299718742861</v>
      </c>
      <c r="C2634" s="1">
        <v>2.6280000000000001</v>
      </c>
    </row>
    <row r="2635" spans="1:3" x14ac:dyDescent="0.3">
      <c r="A2635" t="s">
        <v>2634</v>
      </c>
      <c r="B2635">
        <f>0.91504*(1-0.8198)</f>
        <v>0.16489020800000001</v>
      </c>
      <c r="C2635" s="1">
        <v>2.6280000000000001</v>
      </c>
    </row>
    <row r="2636" spans="1:3" x14ac:dyDescent="0.3">
      <c r="A2636" t="s">
        <v>2635</v>
      </c>
      <c r="B2636">
        <f>0.63468*(1-0.8198)</f>
        <v>0.11436933600000004</v>
      </c>
      <c r="C2636" s="1">
        <v>2.6280000000000001</v>
      </c>
    </row>
    <row r="2637" spans="1:3" x14ac:dyDescent="0.3">
      <c r="A2637" t="s">
        <v>2636</v>
      </c>
      <c r="B2637">
        <f>0*(1-0.8198)</f>
        <v>0</v>
      </c>
      <c r="C2637" s="1">
        <v>2.6280000000000001</v>
      </c>
    </row>
    <row r="2638" spans="1:3" x14ac:dyDescent="0.3">
      <c r="A2638" t="s">
        <v>2637</v>
      </c>
      <c r="B2638">
        <f>0*(1-0.8198)</f>
        <v>0</v>
      </c>
      <c r="C2638" s="1">
        <v>2.6280000000000001</v>
      </c>
    </row>
    <row r="2639" spans="1:3" x14ac:dyDescent="0.3">
      <c r="A2639" t="s">
        <v>2638</v>
      </c>
      <c r="B2639">
        <f>0*(1-0.8198)</f>
        <v>0</v>
      </c>
      <c r="C2639" s="1">
        <v>2.6280000000000001</v>
      </c>
    </row>
    <row r="2640" spans="1:3" x14ac:dyDescent="0.3">
      <c r="A2640" t="s">
        <v>2639</v>
      </c>
      <c r="B2640">
        <f>0*(1-0.8198)</f>
        <v>0</v>
      </c>
      <c r="C2640" s="1">
        <v>2.6280000000000001</v>
      </c>
    </row>
    <row r="2641" spans="1:3" x14ac:dyDescent="0.3">
      <c r="A2641" t="s">
        <v>2640</v>
      </c>
      <c r="B2641">
        <f>0*(1-0.8198)</f>
        <v>0</v>
      </c>
      <c r="C2641" s="1">
        <v>2.6280000000000001</v>
      </c>
    </row>
    <row r="2642" spans="1:3" x14ac:dyDescent="0.3">
      <c r="A2642" t="s">
        <v>2641</v>
      </c>
      <c r="B2642">
        <f>0*(1-0.8198)</f>
        <v>0</v>
      </c>
      <c r="C2642" s="1">
        <v>2.6280000000000001</v>
      </c>
    </row>
    <row r="2643" spans="1:3" x14ac:dyDescent="0.3">
      <c r="A2643" t="s">
        <v>2642</v>
      </c>
      <c r="B2643">
        <f>0*(1-0.8198)</f>
        <v>0</v>
      </c>
      <c r="C2643" s="1">
        <v>2.6280000000000001</v>
      </c>
    </row>
    <row r="2644" spans="1:3" x14ac:dyDescent="0.3">
      <c r="A2644" t="s">
        <v>2643</v>
      </c>
      <c r="B2644">
        <f>0*(1-0.8198)</f>
        <v>0</v>
      </c>
      <c r="C2644" s="1">
        <v>2.6280000000000001</v>
      </c>
    </row>
    <row r="2645" spans="1:3" x14ac:dyDescent="0.3">
      <c r="A2645" t="s">
        <v>2644</v>
      </c>
      <c r="B2645">
        <f>0*(1-0.8198)</f>
        <v>0</v>
      </c>
      <c r="C2645" s="1">
        <v>2.6280000000000001</v>
      </c>
    </row>
    <row r="2646" spans="1:3" x14ac:dyDescent="0.3">
      <c r="A2646" t="s">
        <v>2645</v>
      </c>
      <c r="B2646">
        <f>0*(1-0.8198)</f>
        <v>0</v>
      </c>
      <c r="C2646" s="1">
        <v>2.6280000000000001</v>
      </c>
    </row>
    <row r="2647" spans="1:3" x14ac:dyDescent="0.3">
      <c r="A2647" t="s">
        <v>2646</v>
      </c>
      <c r="B2647">
        <f>0*(1-0.8198)</f>
        <v>0</v>
      </c>
      <c r="C2647" s="1">
        <v>2.6280000000000001</v>
      </c>
    </row>
    <row r="2648" spans="1:3" x14ac:dyDescent="0.3">
      <c r="A2648" t="s">
        <v>2647</v>
      </c>
      <c r="B2648">
        <f>7.18890094285714*(1-0.8198)</f>
        <v>1.2954399499028573</v>
      </c>
      <c r="C2648" s="1">
        <v>2.6280000000000001</v>
      </c>
    </row>
    <row r="2649" spans="1:3" x14ac:dyDescent="0.3">
      <c r="A2649" t="s">
        <v>2648</v>
      </c>
      <c r="B2649">
        <f>9.07979639571428*(1-0.8198)</f>
        <v>1.6361793105077143</v>
      </c>
      <c r="C2649" s="1">
        <v>2.6280000000000001</v>
      </c>
    </row>
    <row r="2650" spans="1:3" x14ac:dyDescent="0.3">
      <c r="A2650" t="s">
        <v>2649</v>
      </c>
      <c r="B2650">
        <f>14.8902232414286*(1-0.8198)</f>
        <v>2.6832182281054289</v>
      </c>
      <c r="C2650" s="1">
        <v>2.6280000000000001</v>
      </c>
    </row>
    <row r="2651" spans="1:3" x14ac:dyDescent="0.3">
      <c r="A2651" t="s">
        <v>2650</v>
      </c>
      <c r="B2651">
        <f>23.4228082714286*(1-0.8198)</f>
        <v>4.2207900505114289</v>
      </c>
      <c r="C2651" s="1">
        <v>2.6280000000000001</v>
      </c>
    </row>
    <row r="2652" spans="1:3" x14ac:dyDescent="0.3">
      <c r="A2652" t="s">
        <v>2651</v>
      </c>
      <c r="B2652">
        <f>42.7260850242857*(1-0.8198)</f>
        <v>7.6992405213762876</v>
      </c>
      <c r="C2652" s="1">
        <v>2.6280000000000001</v>
      </c>
    </row>
    <row r="2653" spans="1:3" x14ac:dyDescent="0.3">
      <c r="A2653" t="s">
        <v>2652</v>
      </c>
      <c r="B2653">
        <f>44.0062893785714*(1-0.8198)</f>
        <v>7.9299333460185739</v>
      </c>
      <c r="C2653" s="1">
        <v>2.6280000000000001</v>
      </c>
    </row>
    <row r="2654" spans="1:3" x14ac:dyDescent="0.3">
      <c r="A2654" t="s">
        <v>2653</v>
      </c>
      <c r="B2654">
        <f>55.2485528871429*(1-0.8198)</f>
        <v>9.9557892302631448</v>
      </c>
      <c r="C2654" s="1">
        <v>2.6280000000000001</v>
      </c>
    </row>
    <row r="2655" spans="1:3" x14ac:dyDescent="0.3">
      <c r="A2655" t="s">
        <v>2654</v>
      </c>
      <c r="B2655">
        <f>58.8893489428572*(1-0.8198)</f>
        <v>10.611860679502861</v>
      </c>
      <c r="C2655" s="1">
        <v>2.6280000000000001</v>
      </c>
    </row>
    <row r="2656" spans="1:3" x14ac:dyDescent="0.3">
      <c r="A2656" t="s">
        <v>2655</v>
      </c>
      <c r="B2656">
        <f>50.1847538385714*(1-0.8198)</f>
        <v>9.0432926417105737</v>
      </c>
      <c r="C2656" s="1">
        <v>2.6280000000000001</v>
      </c>
    </row>
    <row r="2657" spans="1:3" x14ac:dyDescent="0.3">
      <c r="A2657" t="s">
        <v>2656</v>
      </c>
      <c r="B2657">
        <f>38.1963730042857*(1-0.8198)</f>
        <v>6.8829864153722857</v>
      </c>
      <c r="C2657" s="1">
        <v>2.6280000000000001</v>
      </c>
    </row>
    <row r="2658" spans="1:3" x14ac:dyDescent="0.3">
      <c r="A2658" t="s">
        <v>2657</v>
      </c>
      <c r="B2658">
        <f>25.0096154642857*(1-0.8198)</f>
        <v>4.5067327066642866</v>
      </c>
      <c r="C2658" s="1">
        <v>2.6280000000000001</v>
      </c>
    </row>
    <row r="2659" spans="1:3" x14ac:dyDescent="0.3">
      <c r="A2659" t="s">
        <v>2658</v>
      </c>
      <c r="B2659">
        <f>11.42785802*(1-0.8198)</f>
        <v>2.0593000152040006</v>
      </c>
      <c r="C2659" s="1">
        <v>2.6280000000000001</v>
      </c>
    </row>
    <row r="2660" spans="1:3" x14ac:dyDescent="0.3">
      <c r="A2660" t="s">
        <v>2659</v>
      </c>
      <c r="B2660">
        <f>0.79636*(1-0.8198)</f>
        <v>0.14350407200000001</v>
      </c>
      <c r="C2660" s="1">
        <v>2.6280000000000001</v>
      </c>
    </row>
    <row r="2661" spans="1:3" x14ac:dyDescent="0.3">
      <c r="A2661" t="s">
        <v>2660</v>
      </c>
      <c r="B2661">
        <f>0*(1-0.8198)</f>
        <v>0</v>
      </c>
      <c r="C2661" s="1">
        <v>2.6280000000000001</v>
      </c>
    </row>
    <row r="2662" spans="1:3" x14ac:dyDescent="0.3">
      <c r="A2662" t="s">
        <v>2661</v>
      </c>
      <c r="B2662">
        <f>0*(1-0.8198)</f>
        <v>0</v>
      </c>
      <c r="C2662" s="1">
        <v>2.6280000000000001</v>
      </c>
    </row>
    <row r="2663" spans="1:3" x14ac:dyDescent="0.3">
      <c r="A2663" t="s">
        <v>2662</v>
      </c>
      <c r="B2663">
        <f>0*(1-0.8198)</f>
        <v>0</v>
      </c>
      <c r="C2663" s="1">
        <v>2.6280000000000001</v>
      </c>
    </row>
    <row r="2664" spans="1:3" x14ac:dyDescent="0.3">
      <c r="A2664" t="s">
        <v>2663</v>
      </c>
      <c r="B2664">
        <f>0*(1-0.8198)</f>
        <v>0</v>
      </c>
      <c r="C2664" s="1">
        <v>2.6280000000000001</v>
      </c>
    </row>
    <row r="2665" spans="1:3" x14ac:dyDescent="0.3">
      <c r="A2665" t="s">
        <v>2664</v>
      </c>
      <c r="B2665">
        <f>0*(1-0.8198)</f>
        <v>0</v>
      </c>
      <c r="C2665" s="1">
        <v>2.6280000000000001</v>
      </c>
    </row>
    <row r="2666" spans="1:3" x14ac:dyDescent="0.3">
      <c r="A2666" t="s">
        <v>2665</v>
      </c>
      <c r="B2666">
        <f>0*(1-0.8198)</f>
        <v>0</v>
      </c>
      <c r="C2666" s="1">
        <v>2.6280000000000001</v>
      </c>
    </row>
    <row r="2667" spans="1:3" x14ac:dyDescent="0.3">
      <c r="A2667" t="s">
        <v>2666</v>
      </c>
      <c r="B2667">
        <f>0*(1-0.8198)</f>
        <v>0</v>
      </c>
      <c r="C2667" s="1">
        <v>2.6280000000000001</v>
      </c>
    </row>
    <row r="2668" spans="1:3" x14ac:dyDescent="0.3">
      <c r="A2668" t="s">
        <v>2667</v>
      </c>
      <c r="B2668">
        <f>0*(1-0.8198)</f>
        <v>0</v>
      </c>
      <c r="C2668" s="1">
        <v>2.6280000000000001</v>
      </c>
    </row>
    <row r="2669" spans="1:3" x14ac:dyDescent="0.3">
      <c r="A2669" t="s">
        <v>2668</v>
      </c>
      <c r="B2669">
        <f>0*(1-0.8198)</f>
        <v>0</v>
      </c>
      <c r="C2669" s="1">
        <v>2.6280000000000001</v>
      </c>
    </row>
    <row r="2670" spans="1:3" x14ac:dyDescent="0.3">
      <c r="A2670" t="s">
        <v>2669</v>
      </c>
      <c r="B2670">
        <f>0*(1-0.8198)</f>
        <v>0</v>
      </c>
      <c r="C2670" s="1">
        <v>2.6280000000000001</v>
      </c>
    </row>
    <row r="2671" spans="1:3" x14ac:dyDescent="0.3">
      <c r="A2671" t="s">
        <v>2670</v>
      </c>
      <c r="B2671">
        <f>0*(1-0.8198)</f>
        <v>0</v>
      </c>
      <c r="C2671" s="1">
        <v>2.6280000000000001</v>
      </c>
    </row>
    <row r="2672" spans="1:3" x14ac:dyDescent="0.3">
      <c r="A2672" t="s">
        <v>2671</v>
      </c>
      <c r="B2672">
        <f>7.78821614571429*(1-0.8198)</f>
        <v>1.4034365494577148</v>
      </c>
      <c r="C2672" s="1">
        <v>2.6280000000000001</v>
      </c>
    </row>
    <row r="2673" spans="1:3" x14ac:dyDescent="0.3">
      <c r="A2673" t="s">
        <v>2672</v>
      </c>
      <c r="B2673">
        <f>23.5102799157143*(1-0.8198)</f>
        <v>4.2365524408117148</v>
      </c>
      <c r="C2673" s="1">
        <v>5.7469999999999999</v>
      </c>
    </row>
    <row r="2674" spans="1:3" x14ac:dyDescent="0.3">
      <c r="A2674" t="s">
        <v>2673</v>
      </c>
      <c r="B2674">
        <f>35.6995547228572*(1-0.8198)</f>
        <v>6.4330597610588596</v>
      </c>
      <c r="C2674" s="1">
        <v>7.258</v>
      </c>
    </row>
    <row r="2675" spans="1:3" x14ac:dyDescent="0.3">
      <c r="A2675" t="s">
        <v>2674</v>
      </c>
      <c r="B2675">
        <f>38.9236149271429*(1-0.8198)</f>
        <v>7.0140354098711448</v>
      </c>
      <c r="C2675" s="1">
        <v>7.258</v>
      </c>
    </row>
    <row r="2676" spans="1:3" x14ac:dyDescent="0.3">
      <c r="A2676" t="s">
        <v>2675</v>
      </c>
      <c r="B2676">
        <f>49.4366756514286*(1-0.8198)</f>
        <v>8.9084889523874295</v>
      </c>
      <c r="C2676" s="1">
        <v>7.258</v>
      </c>
    </row>
    <row r="2677" spans="1:3" x14ac:dyDescent="0.3">
      <c r="A2677" t="s">
        <v>2676</v>
      </c>
      <c r="B2677">
        <f>50.5939172057143*(1-0.8198)</f>
        <v>9.1170238804697146</v>
      </c>
      <c r="C2677" s="1">
        <v>7.258</v>
      </c>
    </row>
    <row r="2678" spans="1:3" x14ac:dyDescent="0.3">
      <c r="A2678" t="s">
        <v>2677</v>
      </c>
      <c r="B2678">
        <f>58.2992660242857*(1-0.8198)</f>
        <v>10.505527737576289</v>
      </c>
      <c r="C2678" s="1">
        <v>7.258</v>
      </c>
    </row>
    <row r="2679" spans="1:3" x14ac:dyDescent="0.3">
      <c r="A2679" t="s">
        <v>2678</v>
      </c>
      <c r="B2679">
        <f>58.4027557828572*(1-0.8198)</f>
        <v>10.524176592070861</v>
      </c>
      <c r="C2679" s="1">
        <v>5.7469999999999999</v>
      </c>
    </row>
    <row r="2680" spans="1:3" x14ac:dyDescent="0.3">
      <c r="A2680" t="s">
        <v>2679</v>
      </c>
      <c r="B2680">
        <f>51.1423256914286*(1-0.8198)</f>
        <v>9.2158470895954299</v>
      </c>
      <c r="C2680" s="1">
        <v>5.7469999999999999</v>
      </c>
    </row>
    <row r="2681" spans="1:3" x14ac:dyDescent="0.3">
      <c r="A2681" t="s">
        <v>2680</v>
      </c>
      <c r="B2681">
        <f>34.5834362185714*(1-0.8198)</f>
        <v>6.2319352065865727</v>
      </c>
      <c r="C2681" s="1">
        <v>5.7469999999999999</v>
      </c>
    </row>
    <row r="2682" spans="1:3" x14ac:dyDescent="0.3">
      <c r="A2682" t="s">
        <v>2681</v>
      </c>
      <c r="B2682">
        <f>26.1542237414286*(1-0.8198)</f>
        <v>4.7129911182054283</v>
      </c>
      <c r="C2682" s="1">
        <v>5.7469999999999999</v>
      </c>
    </row>
    <row r="2683" spans="1:3" x14ac:dyDescent="0.3">
      <c r="A2683" t="s">
        <v>2682</v>
      </c>
      <c r="B2683">
        <f>11.5767395*(1-0.8198)</f>
        <v>2.0861284579000001</v>
      </c>
      <c r="C2683" s="1">
        <v>7.258</v>
      </c>
    </row>
    <row r="2684" spans="1:3" x14ac:dyDescent="0.3">
      <c r="A2684" t="s">
        <v>2683</v>
      </c>
      <c r="B2684">
        <f>0.815795754285714*(1-0.8198)</f>
        <v>0.14700639492228576</v>
      </c>
      <c r="C2684" s="1">
        <v>7.258</v>
      </c>
    </row>
    <row r="2685" spans="1:3" x14ac:dyDescent="0.3">
      <c r="A2685" t="s">
        <v>2684</v>
      </c>
      <c r="B2685">
        <f>0*(1-0.8198)</f>
        <v>0</v>
      </c>
      <c r="C2685" s="1">
        <v>7.258</v>
      </c>
    </row>
    <row r="2686" spans="1:3" x14ac:dyDescent="0.3">
      <c r="A2686" t="s">
        <v>2685</v>
      </c>
      <c r="B2686">
        <f>0*(1-0.8198)</f>
        <v>0</v>
      </c>
      <c r="C2686" s="1">
        <v>7.258</v>
      </c>
    </row>
    <row r="2687" spans="1:3" x14ac:dyDescent="0.3">
      <c r="A2687" t="s">
        <v>2686</v>
      </c>
      <c r="B2687">
        <f>0*(1-0.8198)</f>
        <v>0</v>
      </c>
      <c r="C2687" s="1">
        <v>5.7469999999999999</v>
      </c>
    </row>
    <row r="2688" spans="1:3" x14ac:dyDescent="0.3">
      <c r="A2688" t="s">
        <v>2687</v>
      </c>
      <c r="B2688">
        <f>0*(1-0.8198)</f>
        <v>0</v>
      </c>
      <c r="C2688" s="1">
        <v>5.7469999999999999</v>
      </c>
    </row>
    <row r="2689" spans="1:3" x14ac:dyDescent="0.3">
      <c r="A2689" t="s">
        <v>2688</v>
      </c>
      <c r="B2689">
        <f>0*(1-0.8198)</f>
        <v>0</v>
      </c>
      <c r="C2689" s="1">
        <v>2.6280000000000001</v>
      </c>
    </row>
    <row r="2690" spans="1:3" x14ac:dyDescent="0.3">
      <c r="A2690" t="s">
        <v>2689</v>
      </c>
      <c r="B2690">
        <f>0*(1-0.8198)</f>
        <v>0</v>
      </c>
      <c r="C2690" s="1">
        <v>2.6280000000000001</v>
      </c>
    </row>
    <row r="2691" spans="1:3" x14ac:dyDescent="0.3">
      <c r="A2691" t="s">
        <v>2690</v>
      </c>
      <c r="B2691">
        <f>0*(1-0.8198)</f>
        <v>0</v>
      </c>
      <c r="C2691" s="1">
        <v>2.6280000000000001</v>
      </c>
    </row>
    <row r="2692" spans="1:3" x14ac:dyDescent="0.3">
      <c r="A2692" t="s">
        <v>2691</v>
      </c>
      <c r="B2692">
        <f>0*(1-0.8198)</f>
        <v>0</v>
      </c>
      <c r="C2692" s="1">
        <v>2.6280000000000001</v>
      </c>
    </row>
    <row r="2693" spans="1:3" x14ac:dyDescent="0.3">
      <c r="A2693" t="s">
        <v>2692</v>
      </c>
      <c r="B2693">
        <f>0*(1-0.8198)</f>
        <v>0</v>
      </c>
      <c r="C2693" s="1">
        <v>2.6280000000000001</v>
      </c>
    </row>
    <row r="2694" spans="1:3" x14ac:dyDescent="0.3">
      <c r="A2694" t="s">
        <v>2693</v>
      </c>
      <c r="B2694">
        <f>0*(1-0.8198)</f>
        <v>0</v>
      </c>
      <c r="C2694" s="1">
        <v>2.6280000000000001</v>
      </c>
    </row>
    <row r="2695" spans="1:3" x14ac:dyDescent="0.3">
      <c r="A2695" t="s">
        <v>2694</v>
      </c>
      <c r="B2695">
        <f>0*(1-0.8198)</f>
        <v>0</v>
      </c>
      <c r="C2695" s="1">
        <v>2.6280000000000001</v>
      </c>
    </row>
    <row r="2696" spans="1:3" x14ac:dyDescent="0.3">
      <c r="A2696" t="s">
        <v>2695</v>
      </c>
      <c r="B2696">
        <f>6.37407189*(1-0.8198)</f>
        <v>1.1486077545780002</v>
      </c>
      <c r="C2696" s="1">
        <v>2.6280000000000001</v>
      </c>
    </row>
    <row r="2697" spans="1:3" x14ac:dyDescent="0.3">
      <c r="A2697" t="s">
        <v>2696</v>
      </c>
      <c r="B2697">
        <f>12.0513424171429*(1-0.8198)</f>
        <v>2.1716519035691433</v>
      </c>
      <c r="C2697" s="1">
        <v>5.7469999999999999</v>
      </c>
    </row>
    <row r="2698" spans="1:3" x14ac:dyDescent="0.3">
      <c r="A2698" t="s">
        <v>2697</v>
      </c>
      <c r="B2698">
        <f>38.05692511*(1-0.8198)</f>
        <v>6.8578579048220014</v>
      </c>
      <c r="C2698" s="1">
        <v>7.258</v>
      </c>
    </row>
    <row r="2699" spans="1:3" x14ac:dyDescent="0.3">
      <c r="A2699" t="s">
        <v>2698</v>
      </c>
      <c r="B2699">
        <f>31.0104863*(1-0.8198)</f>
        <v>5.5880896312600008</v>
      </c>
      <c r="C2699" s="1">
        <v>7.258</v>
      </c>
    </row>
    <row r="2700" spans="1:3" x14ac:dyDescent="0.3">
      <c r="A2700" t="s">
        <v>2699</v>
      </c>
      <c r="B2700">
        <f>55.5213122685714*(1-0.8198)</f>
        <v>10.004940470796575</v>
      </c>
      <c r="C2700" s="1">
        <v>7.258</v>
      </c>
    </row>
    <row r="2701" spans="1:3" x14ac:dyDescent="0.3">
      <c r="A2701" t="s">
        <v>2700</v>
      </c>
      <c r="B2701">
        <f>60.2441349542857*(1-0.8198)</f>
        <v>10.855993118762289</v>
      </c>
      <c r="C2701" s="1">
        <v>7.258</v>
      </c>
    </row>
    <row r="2702" spans="1:3" x14ac:dyDescent="0.3">
      <c r="A2702" t="s">
        <v>2701</v>
      </c>
      <c r="B2702">
        <f>49.4720629314286*(1-0.8198)</f>
        <v>8.9148657402434299</v>
      </c>
      <c r="C2702" s="1">
        <v>7.258</v>
      </c>
    </row>
    <row r="2703" spans="1:3" x14ac:dyDescent="0.3">
      <c r="A2703" t="s">
        <v>2702</v>
      </c>
      <c r="B2703">
        <f>56.55025245*(1-0.8198)</f>
        <v>10.190355491490005</v>
      </c>
      <c r="C2703" s="1">
        <v>5.7469999999999999</v>
      </c>
    </row>
    <row r="2704" spans="1:3" x14ac:dyDescent="0.3">
      <c r="A2704" t="s">
        <v>2703</v>
      </c>
      <c r="B2704">
        <f>51.4997055714286*(1-0.8198)</f>
        <v>9.2802469439714308</v>
      </c>
      <c r="C2704" s="1">
        <v>5.7469999999999999</v>
      </c>
    </row>
    <row r="2705" spans="1:3" x14ac:dyDescent="0.3">
      <c r="A2705" t="s">
        <v>2704</v>
      </c>
      <c r="B2705">
        <f>40.2877394328571*(1-0.8198)</f>
        <v>7.2598506458008574</v>
      </c>
      <c r="C2705" s="1">
        <v>5.7469999999999999</v>
      </c>
    </row>
    <row r="2706" spans="1:3" x14ac:dyDescent="0.3">
      <c r="A2706" t="s">
        <v>2705</v>
      </c>
      <c r="B2706">
        <f>26.2188846842857*(1-0.8198)</f>
        <v>4.724643020108287</v>
      </c>
      <c r="C2706" s="1">
        <v>5.7469999999999999</v>
      </c>
    </row>
    <row r="2707" spans="1:3" x14ac:dyDescent="0.3">
      <c r="A2707" t="s">
        <v>2706</v>
      </c>
      <c r="B2707">
        <f>11.4942006928571*(1-0.8198)</f>
        <v>2.0712549648528578</v>
      </c>
      <c r="C2707" s="1">
        <v>7.258</v>
      </c>
    </row>
    <row r="2708" spans="1:3" x14ac:dyDescent="0.3">
      <c r="A2708" t="s">
        <v>2707</v>
      </c>
      <c r="B2708">
        <f>1.45923669714286*(1-0.8198)</f>
        <v>0.26295445282514285</v>
      </c>
      <c r="C2708" s="1">
        <v>7.258</v>
      </c>
    </row>
    <row r="2709" spans="1:3" x14ac:dyDescent="0.3">
      <c r="A2709" t="s">
        <v>2708</v>
      </c>
      <c r="B2709">
        <f>0*(1-0.8198)</f>
        <v>0</v>
      </c>
      <c r="C2709" s="1">
        <v>7.258</v>
      </c>
    </row>
    <row r="2710" spans="1:3" x14ac:dyDescent="0.3">
      <c r="A2710" t="s">
        <v>2709</v>
      </c>
      <c r="B2710">
        <f>0*(1-0.8198)</f>
        <v>0</v>
      </c>
      <c r="C2710" s="1">
        <v>7.258</v>
      </c>
    </row>
    <row r="2711" spans="1:3" x14ac:dyDescent="0.3">
      <c r="A2711" t="s">
        <v>2710</v>
      </c>
      <c r="B2711">
        <f>0*(1-0.8198)</f>
        <v>0</v>
      </c>
      <c r="C2711" s="1">
        <v>5.7469999999999999</v>
      </c>
    </row>
    <row r="2712" spans="1:3" x14ac:dyDescent="0.3">
      <c r="A2712" t="s">
        <v>2711</v>
      </c>
      <c r="B2712">
        <f>0*(1-0.8198)</f>
        <v>0</v>
      </c>
      <c r="C2712" s="1">
        <v>5.7469999999999999</v>
      </c>
    </row>
    <row r="2713" spans="1:3" x14ac:dyDescent="0.3">
      <c r="A2713" t="s">
        <v>2712</v>
      </c>
      <c r="B2713">
        <f>0*(1-0.8198)</f>
        <v>0</v>
      </c>
      <c r="C2713" s="1">
        <v>2.6280000000000001</v>
      </c>
    </row>
    <row r="2714" spans="1:3" x14ac:dyDescent="0.3">
      <c r="A2714" t="s">
        <v>2713</v>
      </c>
      <c r="B2714">
        <f>0*(1-0.8198)</f>
        <v>0</v>
      </c>
      <c r="C2714" s="1">
        <v>2.6280000000000001</v>
      </c>
    </row>
    <row r="2715" spans="1:3" x14ac:dyDescent="0.3">
      <c r="A2715" t="s">
        <v>2714</v>
      </c>
      <c r="B2715">
        <f>0*(1-0.8198)</f>
        <v>0</v>
      </c>
      <c r="C2715" s="1">
        <v>2.6280000000000001</v>
      </c>
    </row>
    <row r="2716" spans="1:3" x14ac:dyDescent="0.3">
      <c r="A2716" t="s">
        <v>2715</v>
      </c>
      <c r="B2716">
        <f>0*(1-0.8198)</f>
        <v>0</v>
      </c>
      <c r="C2716" s="1">
        <v>2.6280000000000001</v>
      </c>
    </row>
    <row r="2717" spans="1:3" x14ac:dyDescent="0.3">
      <c r="A2717" t="s">
        <v>2716</v>
      </c>
      <c r="B2717">
        <f>0*(1-0.8198)</f>
        <v>0</v>
      </c>
      <c r="C2717" s="1">
        <v>2.6280000000000001</v>
      </c>
    </row>
    <row r="2718" spans="1:3" x14ac:dyDescent="0.3">
      <c r="A2718" t="s">
        <v>2717</v>
      </c>
      <c r="B2718">
        <f>0*(1-0.8198)</f>
        <v>0</v>
      </c>
      <c r="C2718" s="1">
        <v>2.6280000000000001</v>
      </c>
    </row>
    <row r="2719" spans="1:3" x14ac:dyDescent="0.3">
      <c r="A2719" t="s">
        <v>2718</v>
      </c>
      <c r="B2719">
        <f>0*(1-0.8198)</f>
        <v>0</v>
      </c>
      <c r="C2719" s="1">
        <v>2.6280000000000001</v>
      </c>
    </row>
    <row r="2720" spans="1:3" x14ac:dyDescent="0.3">
      <c r="A2720" t="s">
        <v>2719</v>
      </c>
      <c r="B2720">
        <f>9.83853968857143*(1-0.8198)</f>
        <v>1.7729048518805719</v>
      </c>
      <c r="C2720" s="1">
        <v>2.6280000000000001</v>
      </c>
    </row>
    <row r="2721" spans="1:3" x14ac:dyDescent="0.3">
      <c r="A2721" t="s">
        <v>2720</v>
      </c>
      <c r="B2721">
        <f>24.6715345985714*(1-0.8198)</f>
        <v>4.4458105346625727</v>
      </c>
      <c r="C2721" s="1">
        <v>5.7469999999999999</v>
      </c>
    </row>
    <row r="2722" spans="1:3" x14ac:dyDescent="0.3">
      <c r="A2722" t="s">
        <v>2721</v>
      </c>
      <c r="B2722">
        <f>38.3336598414286*(1-0.8198)</f>
        <v>6.9077255034254303</v>
      </c>
      <c r="C2722" s="1">
        <v>7.258</v>
      </c>
    </row>
    <row r="2723" spans="1:3" x14ac:dyDescent="0.3">
      <c r="A2723" t="s">
        <v>2722</v>
      </c>
      <c r="B2723">
        <f>48.9739419014286*(1-0.8198)</f>
        <v>8.8251043306374299</v>
      </c>
      <c r="C2723" s="1">
        <v>7.258</v>
      </c>
    </row>
    <row r="2724" spans="1:3" x14ac:dyDescent="0.3">
      <c r="A2724" t="s">
        <v>2723</v>
      </c>
      <c r="B2724">
        <f>53.4705116714286*(1-0.8198)</f>
        <v>9.6353862031914304</v>
      </c>
      <c r="C2724" s="1">
        <v>7.258</v>
      </c>
    </row>
    <row r="2725" spans="1:3" x14ac:dyDescent="0.3">
      <c r="A2725" t="s">
        <v>2724</v>
      </c>
      <c r="B2725">
        <f>55.1954289671429*(1-0.8198)</f>
        <v>9.9462162998791435</v>
      </c>
      <c r="C2725" s="1">
        <v>7.258</v>
      </c>
    </row>
    <row r="2726" spans="1:3" x14ac:dyDescent="0.3">
      <c r="A2726" t="s">
        <v>2725</v>
      </c>
      <c r="B2726">
        <f>60.16615169*(1-0.8198)</f>
        <v>10.841940534538002</v>
      </c>
      <c r="C2726" s="1">
        <v>7.258</v>
      </c>
    </row>
    <row r="2727" spans="1:3" x14ac:dyDescent="0.3">
      <c r="A2727" t="s">
        <v>2726</v>
      </c>
      <c r="B2727">
        <f>58.3923812957143*(1-0.8198)</f>
        <v>10.522307109487716</v>
      </c>
      <c r="C2727" s="1">
        <v>5.7469999999999999</v>
      </c>
    </row>
    <row r="2728" spans="1:3" x14ac:dyDescent="0.3">
      <c r="A2728" t="s">
        <v>2727</v>
      </c>
      <c r="B2728">
        <f>51.9260723785714*(1-0.8198)</f>
        <v>9.3570782426185719</v>
      </c>
      <c r="C2728" s="1">
        <v>5.7469999999999999</v>
      </c>
    </row>
    <row r="2729" spans="1:3" x14ac:dyDescent="0.3">
      <c r="A2729" t="s">
        <v>2728</v>
      </c>
      <c r="B2729">
        <f>39.7377415442857*(1-0.8198)</f>
        <v>7.1607410262802862</v>
      </c>
      <c r="C2729" s="1">
        <v>5.7469999999999999</v>
      </c>
    </row>
    <row r="2730" spans="1:3" x14ac:dyDescent="0.3">
      <c r="A2730" t="s">
        <v>2729</v>
      </c>
      <c r="B2730">
        <f>26.5552648385714*(1-0.8198)</f>
        <v>4.7852587239105731</v>
      </c>
      <c r="C2730" s="1">
        <v>5.7469999999999999</v>
      </c>
    </row>
    <row r="2731" spans="1:3" x14ac:dyDescent="0.3">
      <c r="A2731" t="s">
        <v>2730</v>
      </c>
      <c r="B2731">
        <f>11.0993213114286*(1-0.8198)</f>
        <v>2.0000977003194294</v>
      </c>
      <c r="C2731" s="1">
        <v>7.258</v>
      </c>
    </row>
    <row r="2732" spans="1:3" x14ac:dyDescent="0.3">
      <c r="A2732" t="s">
        <v>2731</v>
      </c>
      <c r="B2732">
        <f>1.74617569714286*(1-0.8198)</f>
        <v>0.31466086062514287</v>
      </c>
      <c r="C2732" s="1">
        <v>7.258</v>
      </c>
    </row>
    <row r="2733" spans="1:3" x14ac:dyDescent="0.3">
      <c r="A2733" t="s">
        <v>2732</v>
      </c>
      <c r="B2733">
        <f>0*(1-0.8198)</f>
        <v>0</v>
      </c>
      <c r="C2733" s="1">
        <v>7.258</v>
      </c>
    </row>
    <row r="2734" spans="1:3" x14ac:dyDescent="0.3">
      <c r="A2734" t="s">
        <v>2733</v>
      </c>
      <c r="B2734">
        <f>0*(1-0.8198)</f>
        <v>0</v>
      </c>
      <c r="C2734" s="1">
        <v>7.258</v>
      </c>
    </row>
    <row r="2735" spans="1:3" x14ac:dyDescent="0.3">
      <c r="A2735" t="s">
        <v>2734</v>
      </c>
      <c r="B2735">
        <f>0*(1-0.8198)</f>
        <v>0</v>
      </c>
      <c r="C2735" s="1">
        <v>5.7469999999999999</v>
      </c>
    </row>
    <row r="2736" spans="1:3" x14ac:dyDescent="0.3">
      <c r="A2736" t="s">
        <v>2735</v>
      </c>
      <c r="B2736">
        <f>0*(1-0.8198)</f>
        <v>0</v>
      </c>
      <c r="C2736" s="1">
        <v>5.7469999999999999</v>
      </c>
    </row>
    <row r="2737" spans="1:3" x14ac:dyDescent="0.3">
      <c r="A2737" t="s">
        <v>2736</v>
      </c>
      <c r="B2737">
        <f>0*(1-0.8198)</f>
        <v>0</v>
      </c>
      <c r="C2737" s="1">
        <v>2.6280000000000001</v>
      </c>
    </row>
    <row r="2738" spans="1:3" x14ac:dyDescent="0.3">
      <c r="A2738" t="s">
        <v>2737</v>
      </c>
      <c r="B2738">
        <f>0*(1-0.8198)</f>
        <v>0</v>
      </c>
      <c r="C2738" s="1">
        <v>2.6280000000000001</v>
      </c>
    </row>
    <row r="2739" spans="1:3" x14ac:dyDescent="0.3">
      <c r="A2739" t="s">
        <v>2738</v>
      </c>
      <c r="B2739">
        <f>0*(1-0.8198)</f>
        <v>0</v>
      </c>
      <c r="C2739" s="1">
        <v>2.6280000000000001</v>
      </c>
    </row>
    <row r="2740" spans="1:3" x14ac:dyDescent="0.3">
      <c r="A2740" t="s">
        <v>2739</v>
      </c>
      <c r="B2740">
        <f>0*(1-0.8198)</f>
        <v>0</v>
      </c>
      <c r="C2740" s="1">
        <v>2.6280000000000001</v>
      </c>
    </row>
    <row r="2741" spans="1:3" x14ac:dyDescent="0.3">
      <c r="A2741" t="s">
        <v>2740</v>
      </c>
      <c r="B2741">
        <f>0*(1-0.8198)</f>
        <v>0</v>
      </c>
      <c r="C2741" s="1">
        <v>2.6280000000000001</v>
      </c>
    </row>
    <row r="2742" spans="1:3" x14ac:dyDescent="0.3">
      <c r="A2742" t="s">
        <v>2741</v>
      </c>
      <c r="B2742">
        <f>0*(1-0.8198)</f>
        <v>0</v>
      </c>
      <c r="C2742" s="1">
        <v>2.6280000000000001</v>
      </c>
    </row>
    <row r="2743" spans="1:3" x14ac:dyDescent="0.3">
      <c r="A2743" t="s">
        <v>2742</v>
      </c>
      <c r="B2743">
        <f>0*(1-0.8198)</f>
        <v>0</v>
      </c>
      <c r="C2743" s="1">
        <v>2.6280000000000001</v>
      </c>
    </row>
    <row r="2744" spans="1:3" x14ac:dyDescent="0.3">
      <c r="A2744" t="s">
        <v>2743</v>
      </c>
      <c r="B2744">
        <f>5.72011615714286*(1-0.8198)</f>
        <v>1.030764931517143</v>
      </c>
      <c r="C2744" s="1">
        <v>2.6280000000000001</v>
      </c>
    </row>
    <row r="2745" spans="1:3" x14ac:dyDescent="0.3">
      <c r="A2745" t="s">
        <v>2744</v>
      </c>
      <c r="B2745">
        <f>17.5172956485714*(1-0.8198)</f>
        <v>3.1566166758725722</v>
      </c>
      <c r="C2745" s="1">
        <v>5.7469999999999999</v>
      </c>
    </row>
    <row r="2746" spans="1:3" x14ac:dyDescent="0.3">
      <c r="A2746" t="s">
        <v>2745</v>
      </c>
      <c r="B2746">
        <f>30.0568250514286*(1-0.8198)</f>
        <v>5.41623987426743</v>
      </c>
      <c r="C2746" s="1">
        <v>7.258</v>
      </c>
    </row>
    <row r="2747" spans="1:3" x14ac:dyDescent="0.3">
      <c r="A2747" t="s">
        <v>2746</v>
      </c>
      <c r="B2747">
        <f>46.4745931314286*(1-0.8198)</f>
        <v>8.3747216822834325</v>
      </c>
      <c r="C2747" s="1">
        <v>7.258</v>
      </c>
    </row>
    <row r="2748" spans="1:3" x14ac:dyDescent="0.3">
      <c r="A2748" t="s">
        <v>2747</v>
      </c>
      <c r="B2748">
        <f>56.0054238985714*(1-0.8198)</f>
        <v>10.092177386522573</v>
      </c>
      <c r="C2748" s="1">
        <v>7.258</v>
      </c>
    </row>
    <row r="2749" spans="1:3" x14ac:dyDescent="0.3">
      <c r="A2749" t="s">
        <v>2748</v>
      </c>
      <c r="B2749">
        <f>59.5384086957143*(1-0.8198)</f>
        <v>10.728821246967716</v>
      </c>
      <c r="C2749" s="1">
        <v>7.258</v>
      </c>
    </row>
    <row r="2750" spans="1:3" x14ac:dyDescent="0.3">
      <c r="A2750" t="s">
        <v>2749</v>
      </c>
      <c r="B2750">
        <f>60.7076917242857*(1-0.8198)</f>
        <v>10.93952604871629</v>
      </c>
      <c r="C2750" s="1">
        <v>7.258</v>
      </c>
    </row>
    <row r="2751" spans="1:3" x14ac:dyDescent="0.3">
      <c r="A2751" t="s">
        <v>2750</v>
      </c>
      <c r="B2751">
        <f>56.83591478*(1-0.8198)</f>
        <v>10.241831843356005</v>
      </c>
      <c r="C2751" s="1">
        <v>5.7469999999999999</v>
      </c>
    </row>
    <row r="2752" spans="1:3" x14ac:dyDescent="0.3">
      <c r="A2752" t="s">
        <v>2751</v>
      </c>
      <c r="B2752">
        <f>50.7585619942857*(1-0.8198)</f>
        <v>9.1466928713702877</v>
      </c>
      <c r="C2752" s="1">
        <v>5.7469999999999999</v>
      </c>
    </row>
    <row r="2753" spans="1:3" x14ac:dyDescent="0.3">
      <c r="A2753" t="s">
        <v>2752</v>
      </c>
      <c r="B2753">
        <f>40.35966842*(1-0.8198)</f>
        <v>7.2728122492840024</v>
      </c>
      <c r="C2753" s="1">
        <v>5.7469999999999999</v>
      </c>
    </row>
    <row r="2754" spans="1:3" x14ac:dyDescent="0.3">
      <c r="A2754" t="s">
        <v>2753</v>
      </c>
      <c r="B2754">
        <f>26.23589874*(1-0.8198)</f>
        <v>4.7277089529480003</v>
      </c>
      <c r="C2754" s="1">
        <v>5.7469999999999999</v>
      </c>
    </row>
    <row r="2755" spans="1:3" x14ac:dyDescent="0.3">
      <c r="A2755" t="s">
        <v>2754</v>
      </c>
      <c r="B2755">
        <f>11.7213287814286*(1-0.8198)</f>
        <v>2.1121834464134288</v>
      </c>
      <c r="C2755" s="1">
        <v>7.258</v>
      </c>
    </row>
    <row r="2756" spans="1:3" x14ac:dyDescent="0.3">
      <c r="A2756" t="s">
        <v>2755</v>
      </c>
      <c r="B2756">
        <f>1.8615732*(1-0.8198)</f>
        <v>0.33545549064000013</v>
      </c>
      <c r="C2756" s="1">
        <v>7.258</v>
      </c>
    </row>
    <row r="2757" spans="1:3" x14ac:dyDescent="0.3">
      <c r="A2757" t="s">
        <v>2756</v>
      </c>
      <c r="B2757">
        <f>0*(1-0.8198)</f>
        <v>0</v>
      </c>
      <c r="C2757" s="1">
        <v>7.258</v>
      </c>
    </row>
    <row r="2758" spans="1:3" x14ac:dyDescent="0.3">
      <c r="A2758" t="s">
        <v>2757</v>
      </c>
      <c r="B2758">
        <f>0*(1-0.8198)</f>
        <v>0</v>
      </c>
      <c r="C2758" s="1">
        <v>7.258</v>
      </c>
    </row>
    <row r="2759" spans="1:3" x14ac:dyDescent="0.3">
      <c r="A2759" t="s">
        <v>2758</v>
      </c>
      <c r="B2759">
        <f>0*(1-0.8198)</f>
        <v>0</v>
      </c>
      <c r="C2759" s="1">
        <v>5.7469999999999999</v>
      </c>
    </row>
    <row r="2760" spans="1:3" x14ac:dyDescent="0.3">
      <c r="A2760" t="s">
        <v>2759</v>
      </c>
      <c r="B2760">
        <f>0*(1-0.8198)</f>
        <v>0</v>
      </c>
      <c r="C2760" s="1">
        <v>5.7469999999999999</v>
      </c>
    </row>
    <row r="2761" spans="1:3" x14ac:dyDescent="0.3">
      <c r="A2761" t="s">
        <v>2760</v>
      </c>
      <c r="B2761">
        <f>0*(1-0.8198)</f>
        <v>0</v>
      </c>
      <c r="C2761" s="1">
        <v>2.6280000000000001</v>
      </c>
    </row>
    <row r="2762" spans="1:3" x14ac:dyDescent="0.3">
      <c r="A2762" t="s">
        <v>2761</v>
      </c>
      <c r="B2762">
        <f>0*(1-0.8198)</f>
        <v>0</v>
      </c>
      <c r="C2762" s="1">
        <v>2.6280000000000001</v>
      </c>
    </row>
    <row r="2763" spans="1:3" x14ac:dyDescent="0.3">
      <c r="A2763" t="s">
        <v>2762</v>
      </c>
      <c r="B2763">
        <f>0*(1-0.8198)</f>
        <v>0</v>
      </c>
      <c r="C2763" s="1">
        <v>2.6280000000000001</v>
      </c>
    </row>
    <row r="2764" spans="1:3" x14ac:dyDescent="0.3">
      <c r="A2764" t="s">
        <v>2763</v>
      </c>
      <c r="B2764">
        <f>0*(1-0.8198)</f>
        <v>0</v>
      </c>
      <c r="C2764" s="1">
        <v>2.6280000000000001</v>
      </c>
    </row>
    <row r="2765" spans="1:3" x14ac:dyDescent="0.3">
      <c r="A2765" t="s">
        <v>2764</v>
      </c>
      <c r="B2765">
        <f>0*(1-0.8198)</f>
        <v>0</v>
      </c>
      <c r="C2765" s="1">
        <v>2.6280000000000001</v>
      </c>
    </row>
    <row r="2766" spans="1:3" x14ac:dyDescent="0.3">
      <c r="A2766" t="s">
        <v>2765</v>
      </c>
      <c r="B2766">
        <f>0*(1-0.8198)</f>
        <v>0</v>
      </c>
      <c r="C2766" s="1">
        <v>2.6280000000000001</v>
      </c>
    </row>
    <row r="2767" spans="1:3" x14ac:dyDescent="0.3">
      <c r="A2767" t="s">
        <v>2766</v>
      </c>
      <c r="B2767">
        <f>0*(1-0.8198)</f>
        <v>0</v>
      </c>
      <c r="C2767" s="1">
        <v>2.6280000000000001</v>
      </c>
    </row>
    <row r="2768" spans="1:3" x14ac:dyDescent="0.3">
      <c r="A2768" t="s">
        <v>2767</v>
      </c>
      <c r="B2768">
        <f>10.5294119657143*(1-0.8198)</f>
        <v>1.8974000362217147</v>
      </c>
      <c r="C2768" s="1">
        <v>2.6280000000000001</v>
      </c>
    </row>
    <row r="2769" spans="1:3" x14ac:dyDescent="0.3">
      <c r="A2769" t="s">
        <v>2768</v>
      </c>
      <c r="B2769">
        <f>24.8332637414286*(1-0.8198)</f>
        <v>4.4749541262054304</v>
      </c>
      <c r="C2769" s="1">
        <v>5.7469999999999999</v>
      </c>
    </row>
    <row r="2770" spans="1:3" x14ac:dyDescent="0.3">
      <c r="A2770" t="s">
        <v>2769</v>
      </c>
      <c r="B2770">
        <f>38.35763787*(1-0.8198)</f>
        <v>6.9120463441740023</v>
      </c>
      <c r="C2770" s="1">
        <v>7.258</v>
      </c>
    </row>
    <row r="2771" spans="1:3" x14ac:dyDescent="0.3">
      <c r="A2771" t="s">
        <v>2770</v>
      </c>
      <c r="B2771">
        <f>31.6997621714286*(1-0.8198)</f>
        <v>5.7122971432914289</v>
      </c>
      <c r="C2771" s="1">
        <v>7.258</v>
      </c>
    </row>
    <row r="2772" spans="1:3" x14ac:dyDescent="0.3">
      <c r="A2772" t="s">
        <v>2771</v>
      </c>
      <c r="B2772">
        <f>35.0903814014286*(1-0.8198)</f>
        <v>6.3232867285374299</v>
      </c>
      <c r="C2772" s="1">
        <v>7.258</v>
      </c>
    </row>
    <row r="2773" spans="1:3" x14ac:dyDescent="0.3">
      <c r="A2773" t="s">
        <v>2772</v>
      </c>
      <c r="B2773">
        <f>54.4501844185714*(1-0.8198)</f>
        <v>9.8119232322265741</v>
      </c>
      <c r="C2773" s="1">
        <v>7.258</v>
      </c>
    </row>
    <row r="2774" spans="1:3" x14ac:dyDescent="0.3">
      <c r="A2774" t="s">
        <v>2773</v>
      </c>
      <c r="B2774">
        <f>60.6828686842857*(1-0.8198)</f>
        <v>10.935052936908287</v>
      </c>
      <c r="C2774" s="1">
        <v>7.258</v>
      </c>
    </row>
    <row r="2775" spans="1:3" x14ac:dyDescent="0.3">
      <c r="A2775" t="s">
        <v>2774</v>
      </c>
      <c r="B2775">
        <f>56.4484081171429*(1-0.8198)</f>
        <v>10.172003142709146</v>
      </c>
      <c r="C2775" s="1">
        <v>5.7469999999999999</v>
      </c>
    </row>
    <row r="2776" spans="1:3" x14ac:dyDescent="0.3">
      <c r="A2776" t="s">
        <v>2775</v>
      </c>
      <c r="B2776">
        <f>50.42294122*(1-0.8198)</f>
        <v>9.0862140078439992</v>
      </c>
      <c r="C2776" s="1">
        <v>5.7469999999999999</v>
      </c>
    </row>
    <row r="2777" spans="1:3" x14ac:dyDescent="0.3">
      <c r="A2777" t="s">
        <v>2776</v>
      </c>
      <c r="B2777">
        <f>28.2125038814286*(1-0.8198)</f>
        <v>5.0838931994334304</v>
      </c>
      <c r="C2777" s="1">
        <v>5.7469999999999999</v>
      </c>
    </row>
    <row r="2778" spans="1:3" x14ac:dyDescent="0.3">
      <c r="A2778" t="s">
        <v>2777</v>
      </c>
      <c r="B2778">
        <f>16.8470145357143*(1-0.8198)</f>
        <v>3.0358320193357149</v>
      </c>
      <c r="C2778" s="1">
        <v>5.7469999999999999</v>
      </c>
    </row>
    <row r="2779" spans="1:3" x14ac:dyDescent="0.3">
      <c r="A2779" t="s">
        <v>2778</v>
      </c>
      <c r="B2779">
        <f>7.64802822142857*(1-0.8198)</f>
        <v>1.3781746855014292</v>
      </c>
      <c r="C2779" s="1">
        <v>7.258</v>
      </c>
    </row>
    <row r="2780" spans="1:3" x14ac:dyDescent="0.3">
      <c r="A2780" t="s">
        <v>2779</v>
      </c>
      <c r="B2780">
        <f>0.110713082857143*(1-0.8198)</f>
        <v>1.9950497530857147E-2</v>
      </c>
      <c r="C2780" s="1">
        <v>7.258</v>
      </c>
    </row>
    <row r="2781" spans="1:3" x14ac:dyDescent="0.3">
      <c r="A2781" t="s">
        <v>2780</v>
      </c>
      <c r="B2781">
        <f>0*(1-0.8198)</f>
        <v>0</v>
      </c>
      <c r="C2781" s="1">
        <v>7.258</v>
      </c>
    </row>
    <row r="2782" spans="1:3" x14ac:dyDescent="0.3">
      <c r="A2782" t="s">
        <v>2781</v>
      </c>
      <c r="B2782">
        <f>0*(1-0.8198)</f>
        <v>0</v>
      </c>
      <c r="C2782" s="1">
        <v>7.258</v>
      </c>
    </row>
    <row r="2783" spans="1:3" x14ac:dyDescent="0.3">
      <c r="A2783" t="s">
        <v>2782</v>
      </c>
      <c r="B2783">
        <f>0*(1-0.8198)</f>
        <v>0</v>
      </c>
      <c r="C2783" s="1">
        <v>5.7469999999999999</v>
      </c>
    </row>
    <row r="2784" spans="1:3" x14ac:dyDescent="0.3">
      <c r="A2784" t="s">
        <v>2783</v>
      </c>
      <c r="B2784">
        <f>0*(1-0.8198)</f>
        <v>0</v>
      </c>
      <c r="C2784" s="1">
        <v>5.7469999999999999</v>
      </c>
    </row>
    <row r="2785" spans="1:3" x14ac:dyDescent="0.3">
      <c r="A2785" t="s">
        <v>2784</v>
      </c>
      <c r="B2785">
        <f>0*(1-0.8198)</f>
        <v>0</v>
      </c>
      <c r="C2785" s="1">
        <v>2.6280000000000001</v>
      </c>
    </row>
    <row r="2786" spans="1:3" x14ac:dyDescent="0.3">
      <c r="A2786" t="s">
        <v>2785</v>
      </c>
      <c r="B2786">
        <f>0*(1-0.8198)</f>
        <v>0</v>
      </c>
      <c r="C2786" s="1">
        <v>2.6280000000000001</v>
      </c>
    </row>
    <row r="2787" spans="1:3" x14ac:dyDescent="0.3">
      <c r="A2787" t="s">
        <v>2786</v>
      </c>
      <c r="B2787">
        <f>0*(1-0.8198)</f>
        <v>0</v>
      </c>
      <c r="C2787" s="1">
        <v>2.6280000000000001</v>
      </c>
    </row>
    <row r="2788" spans="1:3" x14ac:dyDescent="0.3">
      <c r="A2788" t="s">
        <v>2787</v>
      </c>
      <c r="B2788">
        <f>0*(1-0.8198)</f>
        <v>0</v>
      </c>
      <c r="C2788" s="1">
        <v>2.6280000000000001</v>
      </c>
    </row>
    <row r="2789" spans="1:3" x14ac:dyDescent="0.3">
      <c r="A2789" t="s">
        <v>2788</v>
      </c>
      <c r="B2789">
        <f>0*(1-0.8198)</f>
        <v>0</v>
      </c>
      <c r="C2789" s="1">
        <v>2.6280000000000001</v>
      </c>
    </row>
    <row r="2790" spans="1:3" x14ac:dyDescent="0.3">
      <c r="A2790" t="s">
        <v>2789</v>
      </c>
      <c r="B2790">
        <f>0*(1-0.8198)</f>
        <v>0</v>
      </c>
      <c r="C2790" s="1">
        <v>2.6280000000000001</v>
      </c>
    </row>
    <row r="2791" spans="1:3" x14ac:dyDescent="0.3">
      <c r="A2791" t="s">
        <v>2790</v>
      </c>
      <c r="B2791">
        <f>0*(1-0.8198)</f>
        <v>0</v>
      </c>
      <c r="C2791" s="1">
        <v>2.6280000000000001</v>
      </c>
    </row>
    <row r="2792" spans="1:3" x14ac:dyDescent="0.3">
      <c r="A2792" t="s">
        <v>2791</v>
      </c>
      <c r="B2792">
        <f>4.76561321428571*(1-0.8198)</f>
        <v>0.85876350121428591</v>
      </c>
      <c r="C2792" s="1">
        <v>2.6280000000000001</v>
      </c>
    </row>
    <row r="2793" spans="1:3" x14ac:dyDescent="0.3">
      <c r="A2793" t="s">
        <v>2792</v>
      </c>
      <c r="B2793">
        <f>8.21054961428572*(1-0.8198)</f>
        <v>1.4795410404942861</v>
      </c>
      <c r="C2793" s="1">
        <v>2.6280000000000001</v>
      </c>
    </row>
    <row r="2794" spans="1:3" x14ac:dyDescent="0.3">
      <c r="A2794" t="s">
        <v>2793</v>
      </c>
      <c r="B2794">
        <f>31.0103451985714*(1-0.8198)</f>
        <v>5.5880642047825733</v>
      </c>
      <c r="C2794" s="1">
        <v>2.6280000000000001</v>
      </c>
    </row>
    <row r="2795" spans="1:3" x14ac:dyDescent="0.3">
      <c r="A2795" t="s">
        <v>2794</v>
      </c>
      <c r="B2795">
        <f>41.8785040385714*(1-0.8198)</f>
        <v>7.5465064277505736</v>
      </c>
      <c r="C2795" s="1">
        <v>2.6280000000000001</v>
      </c>
    </row>
    <row r="2796" spans="1:3" x14ac:dyDescent="0.3">
      <c r="A2796" t="s">
        <v>2795</v>
      </c>
      <c r="B2796">
        <f>47.9848538742857*(1-0.8198)</f>
        <v>8.6468706681462866</v>
      </c>
      <c r="C2796" s="1">
        <v>2.6280000000000001</v>
      </c>
    </row>
    <row r="2797" spans="1:3" x14ac:dyDescent="0.3">
      <c r="A2797" t="s">
        <v>2796</v>
      </c>
      <c r="B2797">
        <f>61.4285714285714*(1-0.8198)</f>
        <v>11.069428571428574</v>
      </c>
      <c r="C2797" s="1">
        <v>2.6280000000000001</v>
      </c>
    </row>
    <row r="2798" spans="1:3" x14ac:dyDescent="0.3">
      <c r="A2798" t="s">
        <v>2797</v>
      </c>
      <c r="B2798">
        <f>60.6271332514286*(1-0.8198)</f>
        <v>10.92500941190743</v>
      </c>
      <c r="C2798" s="1">
        <v>2.6280000000000001</v>
      </c>
    </row>
    <row r="2799" spans="1:3" x14ac:dyDescent="0.3">
      <c r="A2799" t="s">
        <v>2798</v>
      </c>
      <c r="B2799">
        <f>60.09450638*(1-0.8198)</f>
        <v>10.829030049676003</v>
      </c>
      <c r="C2799" s="1">
        <v>2.6280000000000001</v>
      </c>
    </row>
    <row r="2800" spans="1:3" x14ac:dyDescent="0.3">
      <c r="A2800" t="s">
        <v>2799</v>
      </c>
      <c r="B2800">
        <f>48.7817441257143*(1-0.8198)</f>
        <v>8.7904702914537172</v>
      </c>
      <c r="C2800" s="1">
        <v>2.6280000000000001</v>
      </c>
    </row>
    <row r="2801" spans="1:3" x14ac:dyDescent="0.3">
      <c r="A2801" t="s">
        <v>2800</v>
      </c>
      <c r="B2801">
        <f>35.3681833314286*(1-0.8198)</f>
        <v>6.3733466363234292</v>
      </c>
      <c r="C2801" s="1">
        <v>2.6280000000000001</v>
      </c>
    </row>
    <row r="2802" spans="1:3" x14ac:dyDescent="0.3">
      <c r="A2802" t="s">
        <v>2801</v>
      </c>
      <c r="B2802">
        <f>22.5825891314286*(1-0.8198)</f>
        <v>4.0693825614834296</v>
      </c>
      <c r="C2802" s="1">
        <v>2.6280000000000001</v>
      </c>
    </row>
    <row r="2803" spans="1:3" x14ac:dyDescent="0.3">
      <c r="A2803" t="s">
        <v>2802</v>
      </c>
      <c r="B2803">
        <f>11.20450828*(1-0.8198)</f>
        <v>2.0190523920560008</v>
      </c>
      <c r="C2803" s="1">
        <v>2.6280000000000001</v>
      </c>
    </row>
    <row r="2804" spans="1:3" x14ac:dyDescent="0.3">
      <c r="A2804" t="s">
        <v>2803</v>
      </c>
      <c r="B2804">
        <f>2.00463217285714*(1-0.8198)</f>
        <v>0.36123471754885716</v>
      </c>
      <c r="C2804" s="1">
        <v>2.6280000000000001</v>
      </c>
    </row>
    <row r="2805" spans="1:3" x14ac:dyDescent="0.3">
      <c r="A2805" t="s">
        <v>2804</v>
      </c>
      <c r="B2805">
        <f>0*(1-0.8198)</f>
        <v>0</v>
      </c>
      <c r="C2805" s="1">
        <v>2.6280000000000001</v>
      </c>
    </row>
    <row r="2806" spans="1:3" x14ac:dyDescent="0.3">
      <c r="A2806" t="s">
        <v>2805</v>
      </c>
      <c r="B2806">
        <f>0*(1-0.8198)</f>
        <v>0</v>
      </c>
      <c r="C2806" s="1">
        <v>2.6280000000000001</v>
      </c>
    </row>
    <row r="2807" spans="1:3" x14ac:dyDescent="0.3">
      <c r="A2807" t="s">
        <v>2806</v>
      </c>
      <c r="B2807">
        <f>0*(1-0.8198)</f>
        <v>0</v>
      </c>
      <c r="C2807" s="1">
        <v>2.6280000000000001</v>
      </c>
    </row>
    <row r="2808" spans="1:3" x14ac:dyDescent="0.3">
      <c r="A2808" t="s">
        <v>2807</v>
      </c>
      <c r="B2808">
        <f>0*(1-0.8198)</f>
        <v>0</v>
      </c>
      <c r="C2808" s="1">
        <v>2.6280000000000001</v>
      </c>
    </row>
    <row r="2809" spans="1:3" x14ac:dyDescent="0.3">
      <c r="A2809" t="s">
        <v>2808</v>
      </c>
      <c r="B2809">
        <f>0*(1-0.8198)</f>
        <v>0</v>
      </c>
      <c r="C2809" s="1">
        <v>2.6280000000000001</v>
      </c>
    </row>
    <row r="2810" spans="1:3" x14ac:dyDescent="0.3">
      <c r="A2810" t="s">
        <v>2809</v>
      </c>
      <c r="B2810">
        <f>0*(1-0.8198)</f>
        <v>0</v>
      </c>
      <c r="C2810" s="1">
        <v>2.6280000000000001</v>
      </c>
    </row>
    <row r="2811" spans="1:3" x14ac:dyDescent="0.3">
      <c r="A2811" t="s">
        <v>2810</v>
      </c>
      <c r="B2811">
        <f>0*(1-0.8198)</f>
        <v>0</v>
      </c>
      <c r="C2811" s="1">
        <v>2.6280000000000001</v>
      </c>
    </row>
    <row r="2812" spans="1:3" x14ac:dyDescent="0.3">
      <c r="A2812" t="s">
        <v>2811</v>
      </c>
      <c r="B2812">
        <f>0*(1-0.8198)</f>
        <v>0</v>
      </c>
      <c r="C2812" s="1">
        <v>2.6280000000000001</v>
      </c>
    </row>
    <row r="2813" spans="1:3" x14ac:dyDescent="0.3">
      <c r="A2813" t="s">
        <v>2812</v>
      </c>
      <c r="B2813">
        <f>0*(1-0.8198)</f>
        <v>0</v>
      </c>
      <c r="C2813" s="1">
        <v>2.6280000000000001</v>
      </c>
    </row>
    <row r="2814" spans="1:3" x14ac:dyDescent="0.3">
      <c r="A2814" t="s">
        <v>2813</v>
      </c>
      <c r="B2814">
        <f>0*(1-0.8198)</f>
        <v>0</v>
      </c>
      <c r="C2814" s="1">
        <v>2.6280000000000001</v>
      </c>
    </row>
    <row r="2815" spans="1:3" x14ac:dyDescent="0.3">
      <c r="A2815" t="s">
        <v>2814</v>
      </c>
      <c r="B2815">
        <f>0*(1-0.8198)</f>
        <v>0</v>
      </c>
      <c r="C2815" s="1">
        <v>2.6280000000000001</v>
      </c>
    </row>
    <row r="2816" spans="1:3" x14ac:dyDescent="0.3">
      <c r="A2816" t="s">
        <v>2815</v>
      </c>
      <c r="B2816">
        <f>8.91708992428572*(1-0.8198)</f>
        <v>1.6068596043562862</v>
      </c>
      <c r="C2816" s="1">
        <v>2.6280000000000001</v>
      </c>
    </row>
    <row r="2817" spans="1:3" x14ac:dyDescent="0.3">
      <c r="A2817" t="s">
        <v>2816</v>
      </c>
      <c r="B2817">
        <f>23.26299914*(1-0.8198)</f>
        <v>4.1919924450280011</v>
      </c>
      <c r="C2817" s="1">
        <v>2.6280000000000001</v>
      </c>
    </row>
    <row r="2818" spans="1:3" x14ac:dyDescent="0.3">
      <c r="A2818" t="s">
        <v>2817</v>
      </c>
      <c r="B2818">
        <f>33.4425687571429*(1-0.8198)</f>
        <v>6.0263508900371443</v>
      </c>
      <c r="C2818" s="1">
        <v>2.6280000000000001</v>
      </c>
    </row>
    <row r="2819" spans="1:3" x14ac:dyDescent="0.3">
      <c r="A2819" t="s">
        <v>2818</v>
      </c>
      <c r="B2819">
        <f>32.8234724485714*(1-0.8198)</f>
        <v>5.9147897352325716</v>
      </c>
      <c r="C2819" s="1">
        <v>2.6280000000000001</v>
      </c>
    </row>
    <row r="2820" spans="1:3" x14ac:dyDescent="0.3">
      <c r="A2820" t="s">
        <v>2819</v>
      </c>
      <c r="B2820">
        <f>51.4242678457143*(1-0.8198)</f>
        <v>9.2666530657977173</v>
      </c>
      <c r="C2820" s="1">
        <v>2.6280000000000001</v>
      </c>
    </row>
    <row r="2821" spans="1:3" x14ac:dyDescent="0.3">
      <c r="A2821" t="s">
        <v>2820</v>
      </c>
      <c r="B2821">
        <f>57.6345039*(1-0.8198)</f>
        <v>10.385737602780003</v>
      </c>
      <c r="C2821" s="1">
        <v>2.6280000000000001</v>
      </c>
    </row>
    <row r="2822" spans="1:3" x14ac:dyDescent="0.3">
      <c r="A2822" t="s">
        <v>2821</v>
      </c>
      <c r="B2822">
        <f>60.4300488942857*(1-0.8198)</f>
        <v>10.889494810750287</v>
      </c>
      <c r="C2822" s="1">
        <v>2.6280000000000001</v>
      </c>
    </row>
    <row r="2823" spans="1:3" x14ac:dyDescent="0.3">
      <c r="A2823" t="s">
        <v>2822</v>
      </c>
      <c r="B2823">
        <f>55.5232037771429*(1-0.8198)</f>
        <v>10.005281320641146</v>
      </c>
      <c r="C2823" s="1">
        <v>2.6280000000000001</v>
      </c>
    </row>
    <row r="2824" spans="1:3" x14ac:dyDescent="0.3">
      <c r="A2824" t="s">
        <v>2823</v>
      </c>
      <c r="B2824">
        <f>43.8858250628572*(1-0.8198)</f>
        <v>7.908225676326861</v>
      </c>
      <c r="C2824" s="1">
        <v>2.6280000000000001</v>
      </c>
    </row>
    <row r="2825" spans="1:3" x14ac:dyDescent="0.3">
      <c r="A2825" t="s">
        <v>2824</v>
      </c>
      <c r="B2825">
        <f>31.62559012*(1-0.8198)</f>
        <v>5.6989313396240009</v>
      </c>
      <c r="C2825" s="1">
        <v>2.6280000000000001</v>
      </c>
    </row>
    <row r="2826" spans="1:3" x14ac:dyDescent="0.3">
      <c r="A2826" t="s">
        <v>2825</v>
      </c>
      <c r="B2826">
        <f>25.4245155228571*(1-0.8198)</f>
        <v>4.5814976972188575</v>
      </c>
      <c r="C2826" s="1">
        <v>2.6280000000000001</v>
      </c>
    </row>
    <row r="2827" spans="1:3" x14ac:dyDescent="0.3">
      <c r="A2827" t="s">
        <v>2826</v>
      </c>
      <c r="B2827">
        <f>12.0081570871429*(1-0.8198)</f>
        <v>2.1638699071031433</v>
      </c>
      <c r="C2827" s="1">
        <v>2.6280000000000001</v>
      </c>
    </row>
    <row r="2828" spans="1:3" x14ac:dyDescent="0.3">
      <c r="A2828" t="s">
        <v>2827</v>
      </c>
      <c r="B2828">
        <f>1.81953056428571*(1-0.8198)</f>
        <v>0.32787940768428581</v>
      </c>
      <c r="C2828" s="1">
        <v>2.6280000000000001</v>
      </c>
    </row>
    <row r="2829" spans="1:3" x14ac:dyDescent="0.3">
      <c r="A2829" t="s">
        <v>2828</v>
      </c>
      <c r="B2829">
        <f>0*(1-0.8198)</f>
        <v>0</v>
      </c>
      <c r="C2829" s="1">
        <v>2.6280000000000001</v>
      </c>
    </row>
    <row r="2830" spans="1:3" x14ac:dyDescent="0.3">
      <c r="A2830" t="s">
        <v>2829</v>
      </c>
      <c r="B2830">
        <f>0*(1-0.8198)</f>
        <v>0</v>
      </c>
      <c r="C2830" s="1">
        <v>2.6280000000000001</v>
      </c>
    </row>
    <row r="2831" spans="1:3" x14ac:dyDescent="0.3">
      <c r="A2831" t="s">
        <v>2830</v>
      </c>
      <c r="B2831">
        <f>0*(1-0.8198)</f>
        <v>0</v>
      </c>
      <c r="C2831" s="1">
        <v>2.6280000000000001</v>
      </c>
    </row>
    <row r="2832" spans="1:3" x14ac:dyDescent="0.3">
      <c r="A2832" t="s">
        <v>2831</v>
      </c>
      <c r="B2832">
        <f>0*(1-0.8198)</f>
        <v>0</v>
      </c>
      <c r="C2832" s="1">
        <v>2.6280000000000001</v>
      </c>
    </row>
    <row r="2833" spans="1:3" x14ac:dyDescent="0.3">
      <c r="A2833" t="s">
        <v>2832</v>
      </c>
      <c r="B2833">
        <f>0*(1-0.8198)</f>
        <v>0</v>
      </c>
      <c r="C2833" s="1">
        <v>2.6280000000000001</v>
      </c>
    </row>
    <row r="2834" spans="1:3" x14ac:dyDescent="0.3">
      <c r="A2834" t="s">
        <v>2833</v>
      </c>
      <c r="B2834">
        <f>0*(1-0.8198)</f>
        <v>0</v>
      </c>
      <c r="C2834" s="1">
        <v>2.6280000000000001</v>
      </c>
    </row>
    <row r="2835" spans="1:3" x14ac:dyDescent="0.3">
      <c r="A2835" t="s">
        <v>2834</v>
      </c>
      <c r="B2835">
        <f>0*(1-0.8198)</f>
        <v>0</v>
      </c>
      <c r="C2835" s="1">
        <v>2.6280000000000001</v>
      </c>
    </row>
    <row r="2836" spans="1:3" x14ac:dyDescent="0.3">
      <c r="A2836" t="s">
        <v>2835</v>
      </c>
      <c r="B2836">
        <f>0*(1-0.8198)</f>
        <v>0</v>
      </c>
      <c r="C2836" s="1">
        <v>2.6280000000000001</v>
      </c>
    </row>
    <row r="2837" spans="1:3" x14ac:dyDescent="0.3">
      <c r="A2837" t="s">
        <v>2836</v>
      </c>
      <c r="B2837">
        <f>0*(1-0.8198)</f>
        <v>0</v>
      </c>
      <c r="C2837" s="1">
        <v>2.6280000000000001</v>
      </c>
    </row>
    <row r="2838" spans="1:3" x14ac:dyDescent="0.3">
      <c r="A2838" t="s">
        <v>2837</v>
      </c>
      <c r="B2838">
        <f>0*(1-0.8198)</f>
        <v>0</v>
      </c>
      <c r="C2838" s="1">
        <v>2.6280000000000001</v>
      </c>
    </row>
    <row r="2839" spans="1:3" x14ac:dyDescent="0.3">
      <c r="A2839" t="s">
        <v>2838</v>
      </c>
      <c r="B2839">
        <f>0*(1-0.8198)</f>
        <v>0</v>
      </c>
      <c r="C2839" s="1">
        <v>2.6280000000000001</v>
      </c>
    </row>
    <row r="2840" spans="1:3" x14ac:dyDescent="0.3">
      <c r="A2840" t="s">
        <v>2839</v>
      </c>
      <c r="B2840">
        <f>6.34682414142857*(1-0.8198)</f>
        <v>1.1436977102854289</v>
      </c>
      <c r="C2840" s="1">
        <v>2.6280000000000001</v>
      </c>
    </row>
    <row r="2841" spans="1:3" x14ac:dyDescent="0.3">
      <c r="A2841" t="s">
        <v>2840</v>
      </c>
      <c r="B2841">
        <f>25.1387142414286*(1-0.8198)</f>
        <v>4.5299963063054296</v>
      </c>
      <c r="C2841" s="1">
        <v>5.7469999999999999</v>
      </c>
    </row>
    <row r="2842" spans="1:3" x14ac:dyDescent="0.3">
      <c r="A2842" t="s">
        <v>2841</v>
      </c>
      <c r="B2842">
        <f>39.3401988042857*(1-0.8198)</f>
        <v>7.0891038245322866</v>
      </c>
      <c r="C2842" s="1">
        <v>7.258</v>
      </c>
    </row>
    <row r="2843" spans="1:3" x14ac:dyDescent="0.3">
      <c r="A2843" t="s">
        <v>2842</v>
      </c>
      <c r="B2843">
        <f>49.9844122928571*(1-0.8198)</f>
        <v>9.0071910951728587</v>
      </c>
      <c r="C2843" s="1">
        <v>7.258</v>
      </c>
    </row>
    <row r="2844" spans="1:3" x14ac:dyDescent="0.3">
      <c r="A2844" t="s">
        <v>2843</v>
      </c>
      <c r="B2844">
        <f>57.1700792057143*(1-0.8198)</f>
        <v>10.302048272869715</v>
      </c>
      <c r="C2844" s="1">
        <v>7.258</v>
      </c>
    </row>
    <row r="2845" spans="1:3" x14ac:dyDescent="0.3">
      <c r="A2845" t="s">
        <v>2844</v>
      </c>
      <c r="B2845">
        <f>61.27690404*(1-0.8198)</f>
        <v>11.042098108008004</v>
      </c>
      <c r="C2845" s="1">
        <v>7.258</v>
      </c>
    </row>
    <row r="2846" spans="1:3" x14ac:dyDescent="0.3">
      <c r="A2846" t="s">
        <v>2845</v>
      </c>
      <c r="B2846">
        <f>61.4285714285714*(1-0.8198)</f>
        <v>11.069428571428574</v>
      </c>
      <c r="C2846" s="1">
        <v>7.258</v>
      </c>
    </row>
    <row r="2847" spans="1:3" x14ac:dyDescent="0.3">
      <c r="A2847" t="s">
        <v>2846</v>
      </c>
      <c r="B2847">
        <f>57.6472653171429*(1-0.8198)</f>
        <v>10.388037210149147</v>
      </c>
      <c r="C2847" s="1">
        <v>5.7469999999999999</v>
      </c>
    </row>
    <row r="2848" spans="1:3" x14ac:dyDescent="0.3">
      <c r="A2848" t="s">
        <v>2847</v>
      </c>
      <c r="B2848">
        <f>46.39968148*(1-0.8198)</f>
        <v>8.361222602696003</v>
      </c>
      <c r="C2848" s="1">
        <v>5.7469999999999999</v>
      </c>
    </row>
    <row r="2849" spans="1:3" x14ac:dyDescent="0.3">
      <c r="A2849" t="s">
        <v>2848</v>
      </c>
      <c r="B2849">
        <f>30.2622091457143*(1-0.8198)</f>
        <v>5.4532500880577164</v>
      </c>
      <c r="C2849" s="1">
        <v>5.7469999999999999</v>
      </c>
    </row>
    <row r="2850" spans="1:3" x14ac:dyDescent="0.3">
      <c r="A2850" t="s">
        <v>2849</v>
      </c>
      <c r="B2850">
        <f>21.5965438457143*(1-0.8198)</f>
        <v>3.8916972009977142</v>
      </c>
      <c r="C2850" s="1">
        <v>5.7469999999999999</v>
      </c>
    </row>
    <row r="2851" spans="1:3" x14ac:dyDescent="0.3">
      <c r="A2851" t="s">
        <v>2850</v>
      </c>
      <c r="B2851">
        <f>7.35497241*(1-0.8198)</f>
        <v>1.3253660282820001</v>
      </c>
      <c r="C2851" s="1">
        <v>7.258</v>
      </c>
    </row>
    <row r="2852" spans="1:3" x14ac:dyDescent="0.3">
      <c r="A2852" t="s">
        <v>2851</v>
      </c>
      <c r="B2852">
        <f>1.33300712571429*(1-0.8198)</f>
        <v>0.24020788405371432</v>
      </c>
      <c r="C2852" s="1">
        <v>7.258</v>
      </c>
    </row>
    <row r="2853" spans="1:3" x14ac:dyDescent="0.3">
      <c r="A2853" t="s">
        <v>2852</v>
      </c>
      <c r="B2853">
        <f>0*(1-0.8198)</f>
        <v>0</v>
      </c>
      <c r="C2853" s="1">
        <v>7.258</v>
      </c>
    </row>
    <row r="2854" spans="1:3" x14ac:dyDescent="0.3">
      <c r="A2854" t="s">
        <v>2853</v>
      </c>
      <c r="B2854">
        <f>0*(1-0.8198)</f>
        <v>0</v>
      </c>
      <c r="C2854" s="1">
        <v>7.258</v>
      </c>
    </row>
    <row r="2855" spans="1:3" x14ac:dyDescent="0.3">
      <c r="A2855" t="s">
        <v>2854</v>
      </c>
      <c r="B2855">
        <f>0*(1-0.8198)</f>
        <v>0</v>
      </c>
      <c r="C2855" s="1">
        <v>5.7469999999999999</v>
      </c>
    </row>
    <row r="2856" spans="1:3" x14ac:dyDescent="0.3">
      <c r="A2856" t="s">
        <v>2855</v>
      </c>
      <c r="B2856">
        <f>0*(1-0.8198)</f>
        <v>0</v>
      </c>
      <c r="C2856" s="1">
        <v>5.7469999999999999</v>
      </c>
    </row>
    <row r="2857" spans="1:3" x14ac:dyDescent="0.3">
      <c r="A2857" t="s">
        <v>2856</v>
      </c>
      <c r="B2857">
        <f>0*(1-0.8198)</f>
        <v>0</v>
      </c>
      <c r="C2857" s="1">
        <v>2.6280000000000001</v>
      </c>
    </row>
    <row r="2858" spans="1:3" x14ac:dyDescent="0.3">
      <c r="A2858" t="s">
        <v>2857</v>
      </c>
      <c r="B2858">
        <f>0*(1-0.8198)</f>
        <v>0</v>
      </c>
      <c r="C2858" s="1">
        <v>2.6280000000000001</v>
      </c>
    </row>
    <row r="2859" spans="1:3" x14ac:dyDescent="0.3">
      <c r="A2859" t="s">
        <v>2858</v>
      </c>
      <c r="B2859">
        <f>0*(1-0.8198)</f>
        <v>0</v>
      </c>
      <c r="C2859" s="1">
        <v>2.6280000000000001</v>
      </c>
    </row>
    <row r="2860" spans="1:3" x14ac:dyDescent="0.3">
      <c r="A2860" t="s">
        <v>2859</v>
      </c>
      <c r="B2860">
        <f>0*(1-0.8198)</f>
        <v>0</v>
      </c>
      <c r="C2860" s="1">
        <v>2.6280000000000001</v>
      </c>
    </row>
    <row r="2861" spans="1:3" x14ac:dyDescent="0.3">
      <c r="A2861" t="s">
        <v>2860</v>
      </c>
      <c r="B2861">
        <f>0*(1-0.8198)</f>
        <v>0</v>
      </c>
      <c r="C2861" s="1">
        <v>2.6280000000000001</v>
      </c>
    </row>
    <row r="2862" spans="1:3" x14ac:dyDescent="0.3">
      <c r="A2862" t="s">
        <v>2861</v>
      </c>
      <c r="B2862">
        <f>0*(1-0.8198)</f>
        <v>0</v>
      </c>
      <c r="C2862" s="1">
        <v>2.6280000000000001</v>
      </c>
    </row>
    <row r="2863" spans="1:3" x14ac:dyDescent="0.3">
      <c r="A2863" t="s">
        <v>2862</v>
      </c>
      <c r="B2863">
        <f>0.1118*(1-0.8198)</f>
        <v>2.0146360000000006E-2</v>
      </c>
      <c r="C2863" s="1">
        <v>2.6280000000000001</v>
      </c>
    </row>
    <row r="2864" spans="1:3" x14ac:dyDescent="0.3">
      <c r="A2864" t="s">
        <v>2863</v>
      </c>
      <c r="B2864">
        <f>10.5014729*(1-0.8198)</f>
        <v>1.8923654165800006</v>
      </c>
      <c r="C2864" s="1">
        <v>2.6280000000000001</v>
      </c>
    </row>
    <row r="2865" spans="1:3" x14ac:dyDescent="0.3">
      <c r="A2865" t="s">
        <v>2864</v>
      </c>
      <c r="B2865">
        <f>24.3437150685714*(1-0.8198)</f>
        <v>4.3867374553565721</v>
      </c>
      <c r="C2865" s="1">
        <v>5.7469999999999999</v>
      </c>
    </row>
    <row r="2866" spans="1:3" x14ac:dyDescent="0.3">
      <c r="A2866" t="s">
        <v>2865</v>
      </c>
      <c r="B2866">
        <f>37.6392957185714*(1-0.8198)</f>
        <v>6.7826010884865733</v>
      </c>
      <c r="C2866" s="1">
        <v>7.258</v>
      </c>
    </row>
    <row r="2867" spans="1:3" x14ac:dyDescent="0.3">
      <c r="A2867" t="s">
        <v>2866</v>
      </c>
      <c r="B2867">
        <f>44.8623792657143*(1-0.8198)</f>
        <v>8.0842007436817163</v>
      </c>
      <c r="C2867" s="1">
        <v>7.258</v>
      </c>
    </row>
    <row r="2868" spans="1:3" x14ac:dyDescent="0.3">
      <c r="A2868" t="s">
        <v>2867</v>
      </c>
      <c r="B2868">
        <f>48.60733846*(1-0.8198)</f>
        <v>8.7590423904920023</v>
      </c>
      <c r="C2868" s="1">
        <v>7.258</v>
      </c>
    </row>
    <row r="2869" spans="1:3" x14ac:dyDescent="0.3">
      <c r="A2869" t="s">
        <v>2868</v>
      </c>
      <c r="B2869">
        <f>51.7941844985714*(1-0.8198)</f>
        <v>9.3333120466425719</v>
      </c>
      <c r="C2869" s="1">
        <v>7.258</v>
      </c>
    </row>
    <row r="2870" spans="1:3" x14ac:dyDescent="0.3">
      <c r="A2870" t="s">
        <v>2869</v>
      </c>
      <c r="B2870">
        <f>61.4285714285714*(1-0.8198)</f>
        <v>11.069428571428574</v>
      </c>
      <c r="C2870" s="1">
        <v>7.258</v>
      </c>
    </row>
    <row r="2871" spans="1:3" x14ac:dyDescent="0.3">
      <c r="A2871" t="s">
        <v>2870</v>
      </c>
      <c r="B2871">
        <f>59.7315834314286*(1-0.8198)</f>
        <v>10.763631334343428</v>
      </c>
      <c r="C2871" s="1">
        <v>5.7469999999999999</v>
      </c>
    </row>
    <row r="2872" spans="1:3" x14ac:dyDescent="0.3">
      <c r="A2872" t="s">
        <v>2871</v>
      </c>
      <c r="B2872">
        <f>51.6841169071429*(1-0.8198)</f>
        <v>9.3134778666671458</v>
      </c>
      <c r="C2872" s="1">
        <v>5.7469999999999999</v>
      </c>
    </row>
    <row r="2873" spans="1:3" x14ac:dyDescent="0.3">
      <c r="A2873" t="s">
        <v>2872</v>
      </c>
      <c r="B2873">
        <f>15.1199108128571*(1-0.8198)</f>
        <v>2.7246079284768578</v>
      </c>
      <c r="C2873" s="1">
        <v>5.7469999999999999</v>
      </c>
    </row>
    <row r="2874" spans="1:3" x14ac:dyDescent="0.3">
      <c r="A2874" t="s">
        <v>2873</v>
      </c>
      <c r="B2874">
        <f>1.67184*(1-0.8198)</f>
        <v>0.30126556800000004</v>
      </c>
      <c r="C2874" s="1">
        <v>5.7469999999999999</v>
      </c>
    </row>
    <row r="2875" spans="1:3" x14ac:dyDescent="0.3">
      <c r="A2875" t="s">
        <v>2874</v>
      </c>
      <c r="B2875">
        <f>0.68198*(1-0.8198)</f>
        <v>0.12289279600000004</v>
      </c>
      <c r="C2875" s="1">
        <v>7.258</v>
      </c>
    </row>
    <row r="2876" spans="1:3" x14ac:dyDescent="0.3">
      <c r="A2876" t="s">
        <v>2875</v>
      </c>
      <c r="B2876">
        <f>0.109672298571429*(1-0.8198)</f>
        <v>1.9762948202571434E-2</v>
      </c>
      <c r="C2876" s="1">
        <v>7.258</v>
      </c>
    </row>
    <row r="2877" spans="1:3" x14ac:dyDescent="0.3">
      <c r="A2877" t="s">
        <v>2876</v>
      </c>
      <c r="B2877">
        <f>0*(1-0.8198)</f>
        <v>0</v>
      </c>
      <c r="C2877" s="1">
        <v>7.258</v>
      </c>
    </row>
    <row r="2878" spans="1:3" x14ac:dyDescent="0.3">
      <c r="A2878" t="s">
        <v>2877</v>
      </c>
      <c r="B2878">
        <f>0*(1-0.8198)</f>
        <v>0</v>
      </c>
      <c r="C2878" s="1">
        <v>7.258</v>
      </c>
    </row>
    <row r="2879" spans="1:3" x14ac:dyDescent="0.3">
      <c r="A2879" t="s">
        <v>2878</v>
      </c>
      <c r="B2879">
        <f>0*(1-0.8198)</f>
        <v>0</v>
      </c>
      <c r="C2879" s="1">
        <v>5.7469999999999999</v>
      </c>
    </row>
    <row r="2880" spans="1:3" x14ac:dyDescent="0.3">
      <c r="A2880" t="s">
        <v>2879</v>
      </c>
      <c r="B2880">
        <f>0*(1-0.8198)</f>
        <v>0</v>
      </c>
      <c r="C2880" s="1">
        <v>5.7469999999999999</v>
      </c>
    </row>
    <row r="2881" spans="1:3" x14ac:dyDescent="0.3">
      <c r="A2881" t="s">
        <v>2880</v>
      </c>
      <c r="B2881">
        <f>0*(1-0.8198)</f>
        <v>0</v>
      </c>
      <c r="C2881" s="1">
        <v>2.819</v>
      </c>
    </row>
    <row r="2882" spans="1:3" x14ac:dyDescent="0.3">
      <c r="A2882" t="s">
        <v>2881</v>
      </c>
      <c r="B2882">
        <f>0*(1-0.8198)</f>
        <v>0</v>
      </c>
      <c r="C2882" s="1">
        <v>2.819</v>
      </c>
    </row>
    <row r="2883" spans="1:3" x14ac:dyDescent="0.3">
      <c r="A2883" t="s">
        <v>2882</v>
      </c>
      <c r="B2883">
        <f>0*(1-0.8198)</f>
        <v>0</v>
      </c>
      <c r="C2883" s="1">
        <v>2.819</v>
      </c>
    </row>
    <row r="2884" spans="1:3" x14ac:dyDescent="0.3">
      <c r="A2884" t="s">
        <v>2883</v>
      </c>
      <c r="B2884">
        <f>0*(1-0.8198)</f>
        <v>0</v>
      </c>
      <c r="C2884" s="1">
        <v>2.819</v>
      </c>
    </row>
    <row r="2885" spans="1:3" x14ac:dyDescent="0.3">
      <c r="A2885" t="s">
        <v>2884</v>
      </c>
      <c r="B2885">
        <f>0*(1-0.8198)</f>
        <v>0</v>
      </c>
      <c r="C2885" s="1">
        <v>2.819</v>
      </c>
    </row>
    <row r="2886" spans="1:3" x14ac:dyDescent="0.3">
      <c r="A2886" t="s">
        <v>2885</v>
      </c>
      <c r="B2886">
        <f>0*(1-0.8198)</f>
        <v>0</v>
      </c>
      <c r="C2886" s="1">
        <v>2.819</v>
      </c>
    </row>
    <row r="2887" spans="1:3" x14ac:dyDescent="0.3">
      <c r="A2887" t="s">
        <v>2886</v>
      </c>
      <c r="B2887">
        <f>0.07482*(1-0.8198)</f>
        <v>1.3482564000000004E-2</v>
      </c>
      <c r="C2887" s="1">
        <v>2.819</v>
      </c>
    </row>
    <row r="2888" spans="1:3" x14ac:dyDescent="0.3">
      <c r="A2888" t="s">
        <v>2887</v>
      </c>
      <c r="B2888">
        <f>11.0067946485714*(1-0.8198)</f>
        <v>1.9834243956725717</v>
      </c>
      <c r="C2888" s="1">
        <v>2.819</v>
      </c>
    </row>
    <row r="2889" spans="1:3" x14ac:dyDescent="0.3">
      <c r="A2889" t="s">
        <v>2888</v>
      </c>
      <c r="B2889">
        <f>26.7855846942857*(1-0.8198)</f>
        <v>4.8267623619102871</v>
      </c>
      <c r="C2889" s="1">
        <v>2.819</v>
      </c>
    </row>
    <row r="2890" spans="1:3" x14ac:dyDescent="0.3">
      <c r="A2890" t="s">
        <v>2889</v>
      </c>
      <c r="B2890">
        <f>38.7496269142857*(1-0.8198)</f>
        <v>6.9826827699542875</v>
      </c>
      <c r="C2890" s="1">
        <v>2.819</v>
      </c>
    </row>
    <row r="2891" spans="1:3" x14ac:dyDescent="0.3">
      <c r="A2891" t="s">
        <v>2890</v>
      </c>
      <c r="B2891">
        <f>43.03194642*(1-0.8198)</f>
        <v>7.7543567448840021</v>
      </c>
      <c r="C2891" s="1">
        <v>2.819</v>
      </c>
    </row>
    <row r="2892" spans="1:3" x14ac:dyDescent="0.3">
      <c r="A2892" t="s">
        <v>2891</v>
      </c>
      <c r="B2892">
        <f>55.2740375128571*(1-0.8198)</f>
        <v>9.9603815598168577</v>
      </c>
      <c r="C2892" s="1">
        <v>2.819</v>
      </c>
    </row>
    <row r="2893" spans="1:3" x14ac:dyDescent="0.3">
      <c r="A2893" t="s">
        <v>2892</v>
      </c>
      <c r="B2893">
        <f>61.1133733814286*(1-0.8198)</f>
        <v>11.01262988333343</v>
      </c>
      <c r="C2893" s="1">
        <v>2.819</v>
      </c>
    </row>
    <row r="2894" spans="1:3" x14ac:dyDescent="0.3">
      <c r="A2894" t="s">
        <v>2893</v>
      </c>
      <c r="B2894">
        <f>43.0594522914286*(1-0.8198)</f>
        <v>7.7593133029154293</v>
      </c>
      <c r="C2894" s="1">
        <v>2.819</v>
      </c>
    </row>
    <row r="2895" spans="1:3" x14ac:dyDescent="0.3">
      <c r="A2895" t="s">
        <v>2894</v>
      </c>
      <c r="B2895">
        <f>43.1616521728571*(1-0.8198)</f>
        <v>7.7777297215488588</v>
      </c>
      <c r="C2895" s="1">
        <v>2.819</v>
      </c>
    </row>
    <row r="2896" spans="1:3" x14ac:dyDescent="0.3">
      <c r="A2896" t="s">
        <v>2895</v>
      </c>
      <c r="B2896">
        <f>31.8214825785714*(1-0.8198)</f>
        <v>5.734231160658573</v>
      </c>
      <c r="C2896" s="1">
        <v>2.819</v>
      </c>
    </row>
    <row r="2897" spans="1:3" x14ac:dyDescent="0.3">
      <c r="A2897" t="s">
        <v>2896</v>
      </c>
      <c r="B2897">
        <f>36.3103436771429*(1-0.8198)</f>
        <v>6.5431239306211442</v>
      </c>
      <c r="C2897" s="1">
        <v>2.819</v>
      </c>
    </row>
    <row r="2898" spans="1:3" x14ac:dyDescent="0.3">
      <c r="A2898" t="s">
        <v>2897</v>
      </c>
      <c r="B2898">
        <f>22.7428272185714*(1-0.8198)</f>
        <v>4.0982574647865722</v>
      </c>
      <c r="C2898" s="1">
        <v>2.819</v>
      </c>
    </row>
    <row r="2899" spans="1:3" x14ac:dyDescent="0.3">
      <c r="A2899" t="s">
        <v>2898</v>
      </c>
      <c r="B2899">
        <f>11.0177772785714*(1-0.8198)</f>
        <v>1.9854034655985719</v>
      </c>
      <c r="C2899" s="1">
        <v>2.819</v>
      </c>
    </row>
    <row r="2900" spans="1:3" x14ac:dyDescent="0.3">
      <c r="A2900" t="s">
        <v>2899</v>
      </c>
      <c r="B2900">
        <f>1.82579105714286*(1-0.8198)</f>
        <v>0.32900754849714292</v>
      </c>
      <c r="C2900" s="1">
        <v>2.819</v>
      </c>
    </row>
    <row r="2901" spans="1:3" x14ac:dyDescent="0.3">
      <c r="A2901" t="s">
        <v>2900</v>
      </c>
      <c r="B2901">
        <f>0*(1-0.8198)</f>
        <v>0</v>
      </c>
      <c r="C2901" s="1">
        <v>2.819</v>
      </c>
    </row>
    <row r="2902" spans="1:3" x14ac:dyDescent="0.3">
      <c r="A2902" t="s">
        <v>2901</v>
      </c>
      <c r="B2902">
        <f>0*(1-0.8198)</f>
        <v>0</v>
      </c>
      <c r="C2902" s="1">
        <v>2.819</v>
      </c>
    </row>
    <row r="2903" spans="1:3" x14ac:dyDescent="0.3">
      <c r="A2903" t="s">
        <v>2902</v>
      </c>
      <c r="B2903">
        <f>0*(1-0.8198)</f>
        <v>0</v>
      </c>
      <c r="C2903" s="1">
        <v>2.819</v>
      </c>
    </row>
    <row r="2904" spans="1:3" x14ac:dyDescent="0.3">
      <c r="A2904" t="s">
        <v>2903</v>
      </c>
      <c r="B2904">
        <f>0*(1-0.8198)</f>
        <v>0</v>
      </c>
      <c r="C2904" s="1">
        <v>2.819</v>
      </c>
    </row>
    <row r="2905" spans="1:3" x14ac:dyDescent="0.3">
      <c r="A2905" t="s">
        <v>2904</v>
      </c>
      <c r="B2905">
        <f>0*(1-0.8198)</f>
        <v>0</v>
      </c>
      <c r="C2905" s="1">
        <v>2.819</v>
      </c>
    </row>
    <row r="2906" spans="1:3" x14ac:dyDescent="0.3">
      <c r="A2906" t="s">
        <v>2905</v>
      </c>
      <c r="B2906">
        <f>0*(1-0.8198)</f>
        <v>0</v>
      </c>
      <c r="C2906" s="1">
        <v>2.819</v>
      </c>
    </row>
    <row r="2907" spans="1:3" x14ac:dyDescent="0.3">
      <c r="A2907" t="s">
        <v>2906</v>
      </c>
      <c r="B2907">
        <f>0*(1-0.8198)</f>
        <v>0</v>
      </c>
      <c r="C2907" s="1">
        <v>2.819</v>
      </c>
    </row>
    <row r="2908" spans="1:3" x14ac:dyDescent="0.3">
      <c r="A2908" t="s">
        <v>2907</v>
      </c>
      <c r="B2908">
        <f>0*(1-0.8198)</f>
        <v>0</v>
      </c>
      <c r="C2908" s="1">
        <v>2.819</v>
      </c>
    </row>
    <row r="2909" spans="1:3" x14ac:dyDescent="0.3">
      <c r="A2909" t="s">
        <v>2908</v>
      </c>
      <c r="B2909">
        <f>0*(1-0.8198)</f>
        <v>0</v>
      </c>
      <c r="C2909" s="1">
        <v>2.819</v>
      </c>
    </row>
    <row r="2910" spans="1:3" x14ac:dyDescent="0.3">
      <c r="A2910" t="s">
        <v>2909</v>
      </c>
      <c r="B2910">
        <f>0*(1-0.8198)</f>
        <v>0</v>
      </c>
      <c r="C2910" s="1">
        <v>2.819</v>
      </c>
    </row>
    <row r="2911" spans="1:3" x14ac:dyDescent="0.3">
      <c r="A2911" t="s">
        <v>2910</v>
      </c>
      <c r="B2911">
        <f>0*(1-0.8198)</f>
        <v>0</v>
      </c>
      <c r="C2911" s="1">
        <v>2.819</v>
      </c>
    </row>
    <row r="2912" spans="1:3" x14ac:dyDescent="0.3">
      <c r="A2912" t="s">
        <v>2911</v>
      </c>
      <c r="B2912">
        <f>9.58967190571429*(1-0.8198)</f>
        <v>1.7280588774097148</v>
      </c>
      <c r="C2912" s="1">
        <v>2.819</v>
      </c>
    </row>
    <row r="2913" spans="1:3" x14ac:dyDescent="0.3">
      <c r="A2913" t="s">
        <v>2912</v>
      </c>
      <c r="B2913">
        <f>0*(1-0.8198)</f>
        <v>0</v>
      </c>
      <c r="C2913" s="1">
        <v>8.0709999999999997</v>
      </c>
    </row>
    <row r="2914" spans="1:3" x14ac:dyDescent="0.3">
      <c r="A2914" t="s">
        <v>2913</v>
      </c>
      <c r="B2914">
        <f>36.7020523*(1-0.8198)</f>
        <v>6.6137098244600008</v>
      </c>
      <c r="C2914" s="1">
        <v>9.9339999999999993</v>
      </c>
    </row>
    <row r="2915" spans="1:3" x14ac:dyDescent="0.3">
      <c r="A2915" t="s">
        <v>2914</v>
      </c>
      <c r="B2915">
        <f>50.3397934714286*(1-0.8198)</f>
        <v>9.0712307835514316</v>
      </c>
      <c r="C2915" s="1">
        <v>9.9339999999999993</v>
      </c>
    </row>
    <row r="2916" spans="1:3" x14ac:dyDescent="0.3">
      <c r="A2916" t="s">
        <v>2915</v>
      </c>
      <c r="B2916">
        <f>58.2169325728571*(1-0.8198)</f>
        <v>10.490691249628858</v>
      </c>
      <c r="C2916" s="1">
        <v>9.9339999999999993</v>
      </c>
    </row>
    <row r="2917" spans="1:3" x14ac:dyDescent="0.3">
      <c r="A2917" t="s">
        <v>2916</v>
      </c>
      <c r="B2917">
        <f>61.4285714285714*(1-0.8198)</f>
        <v>11.069428571428574</v>
      </c>
      <c r="C2917" s="1">
        <v>9.9339999999999993</v>
      </c>
    </row>
    <row r="2918" spans="1:3" x14ac:dyDescent="0.3">
      <c r="A2918" t="s">
        <v>2917</v>
      </c>
      <c r="B2918">
        <f>61.4285714285714*(1-0.8198)</f>
        <v>11.069428571428574</v>
      </c>
      <c r="C2918" s="1">
        <v>9.9339999999999993</v>
      </c>
    </row>
    <row r="2919" spans="1:3" x14ac:dyDescent="0.3">
      <c r="A2919" t="s">
        <v>2918</v>
      </c>
      <c r="B2919">
        <f>60.88413731*(1-0.8198)</f>
        <v>10.971321543262002</v>
      </c>
      <c r="C2919" s="1">
        <v>8.0709999999999997</v>
      </c>
    </row>
    <row r="2920" spans="1:3" x14ac:dyDescent="0.3">
      <c r="A2920" t="s">
        <v>2919</v>
      </c>
      <c r="B2920">
        <f>53.5364980585714*(1-0.8198)</f>
        <v>9.6472769501545734</v>
      </c>
      <c r="C2920" s="1">
        <v>8.0709999999999997</v>
      </c>
    </row>
    <row r="2921" spans="1:3" x14ac:dyDescent="0.3">
      <c r="A2921" t="s">
        <v>2920</v>
      </c>
      <c r="B2921">
        <f>42.5481789742857*(1-0.8198)</f>
        <v>7.6671818511662879</v>
      </c>
      <c r="C2921" s="1">
        <v>8.0709999999999997</v>
      </c>
    </row>
    <row r="2922" spans="1:3" x14ac:dyDescent="0.3">
      <c r="A2922" t="s">
        <v>2921</v>
      </c>
      <c r="B2922">
        <f>28.6560918814286*(1-0.8198)</f>
        <v>5.1638277570334292</v>
      </c>
      <c r="C2922" s="1">
        <v>8.0709999999999997</v>
      </c>
    </row>
    <row r="2923" spans="1:3" x14ac:dyDescent="0.3">
      <c r="A2923" t="s">
        <v>2922</v>
      </c>
      <c r="B2923">
        <f>13.3251835085714*(1-0.8198)</f>
        <v>2.4011980682445722</v>
      </c>
      <c r="C2923" s="1">
        <v>9.9339999999999993</v>
      </c>
    </row>
    <row r="2924" spans="1:3" x14ac:dyDescent="0.3">
      <c r="A2924" t="s">
        <v>2923</v>
      </c>
      <c r="B2924">
        <f>2.82525713428571*(1-0.8198)</f>
        <v>0.50911133559828581</v>
      </c>
      <c r="C2924" s="1">
        <v>9.9339999999999993</v>
      </c>
    </row>
    <row r="2925" spans="1:3" x14ac:dyDescent="0.3">
      <c r="A2925" t="s">
        <v>2924</v>
      </c>
      <c r="B2925">
        <f>0*(1-0.8198)</f>
        <v>0</v>
      </c>
      <c r="C2925" s="1">
        <v>9.9339999999999993</v>
      </c>
    </row>
    <row r="2926" spans="1:3" x14ac:dyDescent="0.3">
      <c r="A2926" t="s">
        <v>2925</v>
      </c>
      <c r="B2926">
        <f>0*(1-0.8198)</f>
        <v>0</v>
      </c>
      <c r="C2926" s="1">
        <v>9.9339999999999993</v>
      </c>
    </row>
    <row r="2927" spans="1:3" x14ac:dyDescent="0.3">
      <c r="A2927" t="s">
        <v>2926</v>
      </c>
      <c r="B2927">
        <f>0*(1-0.8198)</f>
        <v>0</v>
      </c>
      <c r="C2927" s="1">
        <v>8.0709999999999997</v>
      </c>
    </row>
    <row r="2928" spans="1:3" x14ac:dyDescent="0.3">
      <c r="A2928" t="s">
        <v>2927</v>
      </c>
      <c r="B2928">
        <f>0*(1-0.8198)</f>
        <v>0</v>
      </c>
      <c r="C2928" s="1">
        <v>8.0709999999999997</v>
      </c>
    </row>
    <row r="2929" spans="1:3" x14ac:dyDescent="0.3">
      <c r="A2929" t="s">
        <v>2928</v>
      </c>
      <c r="B2929">
        <f>0*(1-0.8198)</f>
        <v>0</v>
      </c>
      <c r="C2929" s="1">
        <v>2.819</v>
      </c>
    </row>
    <row r="2930" spans="1:3" x14ac:dyDescent="0.3">
      <c r="A2930" t="s">
        <v>2929</v>
      </c>
      <c r="B2930">
        <f>0*(1-0.8198)</f>
        <v>0</v>
      </c>
      <c r="C2930" s="1">
        <v>2.819</v>
      </c>
    </row>
    <row r="2931" spans="1:3" x14ac:dyDescent="0.3">
      <c r="A2931" t="s">
        <v>2930</v>
      </c>
      <c r="B2931">
        <f>0*(1-0.8198)</f>
        <v>0</v>
      </c>
      <c r="C2931" s="1">
        <v>2.819</v>
      </c>
    </row>
    <row r="2932" spans="1:3" x14ac:dyDescent="0.3">
      <c r="A2932" t="s">
        <v>2931</v>
      </c>
      <c r="B2932">
        <f>0*(1-0.8198)</f>
        <v>0</v>
      </c>
      <c r="C2932" s="1">
        <v>2.819</v>
      </c>
    </row>
    <row r="2933" spans="1:3" x14ac:dyDescent="0.3">
      <c r="A2933" t="s">
        <v>2932</v>
      </c>
      <c r="B2933">
        <f>0*(1-0.8198)</f>
        <v>0</v>
      </c>
      <c r="C2933" s="1">
        <v>2.819</v>
      </c>
    </row>
    <row r="2934" spans="1:3" x14ac:dyDescent="0.3">
      <c r="A2934" t="s">
        <v>2933</v>
      </c>
      <c r="B2934">
        <f>0*(1-0.8198)</f>
        <v>0</v>
      </c>
      <c r="C2934" s="1">
        <v>2.819</v>
      </c>
    </row>
    <row r="2935" spans="1:3" x14ac:dyDescent="0.3">
      <c r="A2935" t="s">
        <v>2934</v>
      </c>
      <c r="B2935">
        <f>0.33712*(1-0.8198)</f>
        <v>6.0749024000000026E-2</v>
      </c>
      <c r="C2935" s="1">
        <v>2.819</v>
      </c>
    </row>
    <row r="2936" spans="1:3" x14ac:dyDescent="0.3">
      <c r="A2936" t="s">
        <v>2935</v>
      </c>
      <c r="B2936">
        <f>13.0170197085714*(1-0.8198)</f>
        <v>2.345666951484572</v>
      </c>
      <c r="C2936" s="1">
        <v>2.819</v>
      </c>
    </row>
    <row r="2937" spans="1:3" x14ac:dyDescent="0.3">
      <c r="A2937" t="s">
        <v>2936</v>
      </c>
      <c r="B2937">
        <f>25.5268179285714*(1-0.8198)</f>
        <v>4.5999325907285717</v>
      </c>
      <c r="C2937" s="1">
        <v>8.0709999999999997</v>
      </c>
    </row>
    <row r="2938" spans="1:3" x14ac:dyDescent="0.3">
      <c r="A2938" t="s">
        <v>2937</v>
      </c>
      <c r="B2938">
        <f>41.6453779414286*(1-0.8198)</f>
        <v>7.5044971050454299</v>
      </c>
      <c r="C2938" s="1">
        <v>9.9339999999999993</v>
      </c>
    </row>
    <row r="2939" spans="1:3" x14ac:dyDescent="0.3">
      <c r="A2939" t="s">
        <v>2938</v>
      </c>
      <c r="B2939">
        <f>52.1399079385714*(1-0.8198)</f>
        <v>9.3956114105305719</v>
      </c>
      <c r="C2939" s="1">
        <v>9.9339999999999993</v>
      </c>
    </row>
    <row r="2940" spans="1:3" x14ac:dyDescent="0.3">
      <c r="A2940" t="s">
        <v>2939</v>
      </c>
      <c r="B2940">
        <f>59.5091226857143*(1-0.8198)</f>
        <v>10.723543907965718</v>
      </c>
      <c r="C2940" s="1">
        <v>9.9339999999999993</v>
      </c>
    </row>
    <row r="2941" spans="1:3" x14ac:dyDescent="0.3">
      <c r="A2941" t="s">
        <v>2940</v>
      </c>
      <c r="B2941">
        <f>61.4285714285714*(1-0.8198)</f>
        <v>11.069428571428574</v>
      </c>
      <c r="C2941" s="1">
        <v>9.9339999999999993</v>
      </c>
    </row>
    <row r="2942" spans="1:3" x14ac:dyDescent="0.3">
      <c r="A2942" t="s">
        <v>2941</v>
      </c>
      <c r="B2942">
        <f>61.4285714285714*(1-0.8198)</f>
        <v>11.069428571428574</v>
      </c>
      <c r="C2942" s="1">
        <v>9.9339999999999993</v>
      </c>
    </row>
    <row r="2943" spans="1:3" x14ac:dyDescent="0.3">
      <c r="A2943" t="s">
        <v>2942</v>
      </c>
      <c r="B2943">
        <f>58.4195888085714*(1-0.8198)</f>
        <v>10.527209903304573</v>
      </c>
      <c r="C2943" s="1">
        <v>8.0709999999999997</v>
      </c>
    </row>
    <row r="2944" spans="1:3" x14ac:dyDescent="0.3">
      <c r="A2944" t="s">
        <v>2943</v>
      </c>
      <c r="B2944">
        <f>50.2282759814286*(1-0.8198)</f>
        <v>9.0511353318534322</v>
      </c>
      <c r="C2944" s="1">
        <v>8.0709999999999997</v>
      </c>
    </row>
    <row r="2945" spans="1:3" x14ac:dyDescent="0.3">
      <c r="A2945" t="s">
        <v>2944</v>
      </c>
      <c r="B2945">
        <f>42.9979515414286*(1-0.8198)</f>
        <v>7.7482308677654297</v>
      </c>
      <c r="C2945" s="1">
        <v>8.0709999999999997</v>
      </c>
    </row>
    <row r="2946" spans="1:3" x14ac:dyDescent="0.3">
      <c r="A2946" t="s">
        <v>2945</v>
      </c>
      <c r="B2946">
        <f>28.0424218657143*(1-0.8198)</f>
        <v>5.0532444202017164</v>
      </c>
      <c r="C2946" s="1">
        <v>8.0709999999999997</v>
      </c>
    </row>
    <row r="2947" spans="1:3" x14ac:dyDescent="0.3">
      <c r="A2947" t="s">
        <v>2946</v>
      </c>
      <c r="B2947">
        <f>12.9071387985714*(1-0.8198)</f>
        <v>2.325866411502572</v>
      </c>
      <c r="C2947" s="1">
        <v>9.9339999999999993</v>
      </c>
    </row>
    <row r="2948" spans="1:3" x14ac:dyDescent="0.3">
      <c r="A2948" t="s">
        <v>2947</v>
      </c>
      <c r="B2948">
        <f>2.75840349857143*(1-0.8198)</f>
        <v>0.4970643104425716</v>
      </c>
      <c r="C2948" s="1">
        <v>9.9339999999999993</v>
      </c>
    </row>
    <row r="2949" spans="1:3" x14ac:dyDescent="0.3">
      <c r="A2949" t="s">
        <v>2948</v>
      </c>
      <c r="B2949">
        <f>0*(1-0.8198)</f>
        <v>0</v>
      </c>
      <c r="C2949" s="1">
        <v>9.9339999999999993</v>
      </c>
    </row>
    <row r="2950" spans="1:3" x14ac:dyDescent="0.3">
      <c r="A2950" t="s">
        <v>2949</v>
      </c>
      <c r="B2950">
        <f>0*(1-0.8198)</f>
        <v>0</v>
      </c>
      <c r="C2950" s="1">
        <v>9.9339999999999993</v>
      </c>
    </row>
    <row r="2951" spans="1:3" x14ac:dyDescent="0.3">
      <c r="A2951" t="s">
        <v>2950</v>
      </c>
      <c r="B2951">
        <f>0*(1-0.8198)</f>
        <v>0</v>
      </c>
      <c r="C2951" s="1">
        <v>8.0709999999999997</v>
      </c>
    </row>
    <row r="2952" spans="1:3" x14ac:dyDescent="0.3">
      <c r="A2952" t="s">
        <v>2951</v>
      </c>
      <c r="B2952">
        <f>0*(1-0.8198)</f>
        <v>0</v>
      </c>
      <c r="C2952" s="1">
        <v>8.0709999999999997</v>
      </c>
    </row>
    <row r="2953" spans="1:3" x14ac:dyDescent="0.3">
      <c r="A2953" t="s">
        <v>2952</v>
      </c>
      <c r="B2953">
        <f>0*(1-0.8198)</f>
        <v>0</v>
      </c>
      <c r="C2953" s="1">
        <v>2.819</v>
      </c>
    </row>
    <row r="2954" spans="1:3" x14ac:dyDescent="0.3">
      <c r="A2954" t="s">
        <v>2953</v>
      </c>
      <c r="B2954">
        <f>0*(1-0.8198)</f>
        <v>0</v>
      </c>
      <c r="C2954" s="1">
        <v>2.819</v>
      </c>
    </row>
    <row r="2955" spans="1:3" x14ac:dyDescent="0.3">
      <c r="A2955" t="s">
        <v>2954</v>
      </c>
      <c r="B2955">
        <f>0*(1-0.8198)</f>
        <v>0</v>
      </c>
      <c r="C2955" s="1">
        <v>2.819</v>
      </c>
    </row>
    <row r="2956" spans="1:3" x14ac:dyDescent="0.3">
      <c r="A2956" t="s">
        <v>2955</v>
      </c>
      <c r="B2956">
        <f>0*(1-0.8198)</f>
        <v>0</v>
      </c>
      <c r="C2956" s="1">
        <v>2.819</v>
      </c>
    </row>
    <row r="2957" spans="1:3" x14ac:dyDescent="0.3">
      <c r="A2957" t="s">
        <v>2956</v>
      </c>
      <c r="B2957">
        <f>0*(1-0.8198)</f>
        <v>0</v>
      </c>
      <c r="C2957" s="1">
        <v>2.819</v>
      </c>
    </row>
    <row r="2958" spans="1:3" x14ac:dyDescent="0.3">
      <c r="A2958" t="s">
        <v>2957</v>
      </c>
      <c r="B2958">
        <f>0*(1-0.8198)</f>
        <v>0</v>
      </c>
      <c r="C2958" s="1">
        <v>2.819</v>
      </c>
    </row>
    <row r="2959" spans="1:3" x14ac:dyDescent="0.3">
      <c r="A2959" t="s">
        <v>2958</v>
      </c>
      <c r="B2959">
        <f>0.48934*(1-0.8198)</f>
        <v>8.8179068000000027E-2</v>
      </c>
      <c r="C2959" s="1">
        <v>2.819</v>
      </c>
    </row>
    <row r="2960" spans="1:3" x14ac:dyDescent="0.3">
      <c r="A2960" t="s">
        <v>2959</v>
      </c>
      <c r="B2960">
        <f>12.8945194042857*(1-0.8198)</f>
        <v>2.3235923966522862</v>
      </c>
      <c r="C2960" s="1">
        <v>2.819</v>
      </c>
    </row>
    <row r="2961" spans="1:3" x14ac:dyDescent="0.3">
      <c r="A2961" t="s">
        <v>2960</v>
      </c>
      <c r="B2961">
        <f>27.5368368342857*(1-0.8198)</f>
        <v>4.962137997538286</v>
      </c>
      <c r="C2961" s="1">
        <v>2.819</v>
      </c>
    </row>
    <row r="2962" spans="1:3" x14ac:dyDescent="0.3">
      <c r="A2962" t="s">
        <v>2961</v>
      </c>
      <c r="B2962">
        <f>40.8841891157143*(1-0.8198)</f>
        <v>7.3673308786517158</v>
      </c>
      <c r="C2962" s="1">
        <v>2.819</v>
      </c>
    </row>
    <row r="2963" spans="1:3" x14ac:dyDescent="0.3">
      <c r="A2963" t="s">
        <v>2962</v>
      </c>
      <c r="B2963">
        <f>51.9472382071429*(1-0.8198)</f>
        <v>9.3608923249271445</v>
      </c>
      <c r="C2963" s="1">
        <v>2.819</v>
      </c>
    </row>
    <row r="2964" spans="1:3" x14ac:dyDescent="0.3">
      <c r="A2964" t="s">
        <v>2963</v>
      </c>
      <c r="B2964">
        <f>58.6390852571429*(1-0.8198)</f>
        <v>10.566763163337145</v>
      </c>
      <c r="C2964" s="1">
        <v>2.819</v>
      </c>
    </row>
    <row r="2965" spans="1:3" x14ac:dyDescent="0.3">
      <c r="A2965" t="s">
        <v>2964</v>
      </c>
      <c r="B2965">
        <f>61.4285714285714*(1-0.8198)</f>
        <v>11.069428571428574</v>
      </c>
      <c r="C2965" s="1">
        <v>2.819</v>
      </c>
    </row>
    <row r="2966" spans="1:3" x14ac:dyDescent="0.3">
      <c r="A2966" t="s">
        <v>2965</v>
      </c>
      <c r="B2966">
        <f>61.4285714285714*(1-0.8198)</f>
        <v>11.069428571428574</v>
      </c>
      <c r="C2966" s="1">
        <v>2.819</v>
      </c>
    </row>
    <row r="2967" spans="1:3" x14ac:dyDescent="0.3">
      <c r="A2967" t="s">
        <v>2966</v>
      </c>
      <c r="B2967">
        <f>58.5757383328572*(1-0.8198)</f>
        <v>10.555348047580861</v>
      </c>
      <c r="C2967" s="1">
        <v>2.819</v>
      </c>
    </row>
    <row r="2968" spans="1:3" x14ac:dyDescent="0.3">
      <c r="A2968" t="s">
        <v>2967</v>
      </c>
      <c r="B2968">
        <f>53.0414364171429*(1-0.8198)</f>
        <v>9.5580668423691453</v>
      </c>
      <c r="C2968" s="1">
        <v>2.819</v>
      </c>
    </row>
    <row r="2969" spans="1:3" x14ac:dyDescent="0.3">
      <c r="A2969" t="s">
        <v>2968</v>
      </c>
      <c r="B2969">
        <f>24.0374177757143*(1-0.8198)</f>
        <v>4.3315426831837147</v>
      </c>
      <c r="C2969" s="1">
        <v>2.819</v>
      </c>
    </row>
    <row r="2970" spans="1:3" x14ac:dyDescent="0.3">
      <c r="A2970" t="s">
        <v>2969</v>
      </c>
      <c r="B2970">
        <f>29.0576148857143*(1-0.8198)</f>
        <v>5.2361822024057156</v>
      </c>
      <c r="C2970" s="1">
        <v>2.819</v>
      </c>
    </row>
    <row r="2971" spans="1:3" x14ac:dyDescent="0.3">
      <c r="A2971" t="s">
        <v>2970</v>
      </c>
      <c r="B2971">
        <f>8.86506987571429*(1-0.8198)</f>
        <v>1.5974855916037147</v>
      </c>
      <c r="C2971" s="1">
        <v>2.819</v>
      </c>
    </row>
    <row r="2972" spans="1:3" x14ac:dyDescent="0.3">
      <c r="A2972" t="s">
        <v>2971</v>
      </c>
      <c r="B2972">
        <f>0.325109731428571*(1-0.8198)</f>
        <v>5.8584773603428578E-2</v>
      </c>
      <c r="C2972" s="1">
        <v>2.819</v>
      </c>
    </row>
    <row r="2973" spans="1:3" x14ac:dyDescent="0.3">
      <c r="A2973" t="s">
        <v>2972</v>
      </c>
      <c r="B2973">
        <f>0*(1-0.8198)</f>
        <v>0</v>
      </c>
      <c r="C2973" s="1">
        <v>2.819</v>
      </c>
    </row>
    <row r="2974" spans="1:3" x14ac:dyDescent="0.3">
      <c r="A2974" t="s">
        <v>2973</v>
      </c>
      <c r="B2974">
        <f>0*(1-0.8198)</f>
        <v>0</v>
      </c>
      <c r="C2974" s="1">
        <v>2.819</v>
      </c>
    </row>
    <row r="2975" spans="1:3" x14ac:dyDescent="0.3">
      <c r="A2975" t="s">
        <v>2974</v>
      </c>
      <c r="B2975">
        <f>0*(1-0.8198)</f>
        <v>0</v>
      </c>
      <c r="C2975" s="1">
        <v>2.819</v>
      </c>
    </row>
    <row r="2976" spans="1:3" x14ac:dyDescent="0.3">
      <c r="A2976" t="s">
        <v>2975</v>
      </c>
      <c r="B2976">
        <f>0*(1-0.8198)</f>
        <v>0</v>
      </c>
      <c r="C2976" s="1">
        <v>2.819</v>
      </c>
    </row>
    <row r="2977" spans="1:3" x14ac:dyDescent="0.3">
      <c r="A2977" t="s">
        <v>2976</v>
      </c>
      <c r="B2977">
        <f>0*(1-0.8198)</f>
        <v>0</v>
      </c>
      <c r="C2977" s="1">
        <v>2.819</v>
      </c>
    </row>
    <row r="2978" spans="1:3" x14ac:dyDescent="0.3">
      <c r="A2978" t="s">
        <v>2977</v>
      </c>
      <c r="B2978">
        <f>0*(1-0.8198)</f>
        <v>0</v>
      </c>
      <c r="C2978" s="1">
        <v>2.819</v>
      </c>
    </row>
    <row r="2979" spans="1:3" x14ac:dyDescent="0.3">
      <c r="A2979" t="s">
        <v>2978</v>
      </c>
      <c r="B2979">
        <f>0*(1-0.8198)</f>
        <v>0</v>
      </c>
      <c r="C2979" s="1">
        <v>2.819</v>
      </c>
    </row>
    <row r="2980" spans="1:3" x14ac:dyDescent="0.3">
      <c r="A2980" t="s">
        <v>2979</v>
      </c>
      <c r="B2980">
        <f>0*(1-0.8198)</f>
        <v>0</v>
      </c>
      <c r="C2980" s="1">
        <v>2.819</v>
      </c>
    </row>
    <row r="2981" spans="1:3" x14ac:dyDescent="0.3">
      <c r="A2981" t="s">
        <v>2980</v>
      </c>
      <c r="B2981">
        <f>0*(1-0.8198)</f>
        <v>0</v>
      </c>
      <c r="C2981" s="1">
        <v>2.819</v>
      </c>
    </row>
    <row r="2982" spans="1:3" x14ac:dyDescent="0.3">
      <c r="A2982" t="s">
        <v>2981</v>
      </c>
      <c r="B2982">
        <f>0*(1-0.8198)</f>
        <v>0</v>
      </c>
      <c r="C2982" s="1">
        <v>2.819</v>
      </c>
    </row>
    <row r="2983" spans="1:3" x14ac:dyDescent="0.3">
      <c r="A2983" t="s">
        <v>2982</v>
      </c>
      <c r="B2983">
        <f>0.48332*(1-0.8198)</f>
        <v>8.7094264000000005E-2</v>
      </c>
      <c r="C2983" s="1">
        <v>2.819</v>
      </c>
    </row>
    <row r="2984" spans="1:3" x14ac:dyDescent="0.3">
      <c r="A2984" t="s">
        <v>2983</v>
      </c>
      <c r="B2984">
        <f>13.0849*(1-0.8198)</f>
        <v>2.3578989800000008</v>
      </c>
      <c r="C2984" s="1">
        <v>2.819</v>
      </c>
    </row>
    <row r="2985" spans="1:3" x14ac:dyDescent="0.3">
      <c r="A2985" t="s">
        <v>2984</v>
      </c>
      <c r="B2985">
        <f>27.67117854*(1-0.8198)</f>
        <v>4.9863463729080006</v>
      </c>
      <c r="C2985" s="1">
        <v>2.819</v>
      </c>
    </row>
    <row r="2986" spans="1:3" x14ac:dyDescent="0.3">
      <c r="A2986" t="s">
        <v>2985</v>
      </c>
      <c r="B2986">
        <f>40.4722316085714*(1-0.8198)</f>
        <v>7.2930961358645732</v>
      </c>
      <c r="C2986" s="1">
        <v>2.819</v>
      </c>
    </row>
    <row r="2987" spans="1:3" x14ac:dyDescent="0.3">
      <c r="A2987" t="s">
        <v>2986</v>
      </c>
      <c r="B2987">
        <f>50.36718183*(1-0.8198)</f>
        <v>9.0761661657660007</v>
      </c>
      <c r="C2987" s="1">
        <v>2.819</v>
      </c>
    </row>
    <row r="2988" spans="1:3" x14ac:dyDescent="0.3">
      <c r="A2988" t="s">
        <v>2987</v>
      </c>
      <c r="B2988">
        <f>55.2149455614286*(1-0.8198)</f>
        <v>9.9497331901694306</v>
      </c>
      <c r="C2988" s="1">
        <v>2.819</v>
      </c>
    </row>
    <row r="2989" spans="1:3" x14ac:dyDescent="0.3">
      <c r="A2989" t="s">
        <v>2988</v>
      </c>
      <c r="B2989">
        <f>57.9785277957143*(1-0.8198)</f>
        <v>10.447730708787715</v>
      </c>
      <c r="C2989" s="1">
        <v>2.819</v>
      </c>
    </row>
    <row r="2990" spans="1:3" x14ac:dyDescent="0.3">
      <c r="A2990" t="s">
        <v>2989</v>
      </c>
      <c r="B2990">
        <f>61.4285714285714*(1-0.8198)</f>
        <v>11.069428571428574</v>
      </c>
      <c r="C2990" s="1">
        <v>2.819</v>
      </c>
    </row>
    <row r="2991" spans="1:3" x14ac:dyDescent="0.3">
      <c r="A2991" t="s">
        <v>2990</v>
      </c>
      <c r="B2991">
        <f>60.70039745*(1-0.8198)</f>
        <v>10.938211620490002</v>
      </c>
      <c r="C2991" s="1">
        <v>2.819</v>
      </c>
    </row>
    <row r="2992" spans="1:3" x14ac:dyDescent="0.3">
      <c r="A2992" t="s">
        <v>2991</v>
      </c>
      <c r="B2992">
        <f>52.9572978871429*(1-0.8198)</f>
        <v>9.5429050792631447</v>
      </c>
      <c r="C2992" s="1">
        <v>2.819</v>
      </c>
    </row>
    <row r="2993" spans="1:3" x14ac:dyDescent="0.3">
      <c r="A2993" t="s">
        <v>2992</v>
      </c>
      <c r="B2993">
        <f>39.7855662057143*(1-0.8198)</f>
        <v>7.1693590302697157</v>
      </c>
      <c r="C2993" s="1">
        <v>2.819</v>
      </c>
    </row>
    <row r="2994" spans="1:3" x14ac:dyDescent="0.3">
      <c r="A2994" t="s">
        <v>2993</v>
      </c>
      <c r="B2994">
        <f>25.7073098142857*(1-0.8198)</f>
        <v>4.6324572285342862</v>
      </c>
      <c r="C2994" s="1">
        <v>2.819</v>
      </c>
    </row>
    <row r="2995" spans="1:3" x14ac:dyDescent="0.3">
      <c r="A2995" t="s">
        <v>2994</v>
      </c>
      <c r="B2995">
        <f>10.4628632*(1-0.8198)</f>
        <v>1.8854079486400004</v>
      </c>
      <c r="C2995" s="1">
        <v>2.819</v>
      </c>
    </row>
    <row r="2996" spans="1:3" x14ac:dyDescent="0.3">
      <c r="A2996" t="s">
        <v>2995</v>
      </c>
      <c r="B2996">
        <f>2.15062085857143*(1-0.8198)</f>
        <v>0.38754187871457157</v>
      </c>
      <c r="C2996" s="1">
        <v>2.819</v>
      </c>
    </row>
    <row r="2997" spans="1:3" x14ac:dyDescent="0.3">
      <c r="A2997" t="s">
        <v>2996</v>
      </c>
      <c r="B2997">
        <f>0*(1-0.8198)</f>
        <v>0</v>
      </c>
      <c r="C2997" s="1">
        <v>2.819</v>
      </c>
    </row>
    <row r="2998" spans="1:3" x14ac:dyDescent="0.3">
      <c r="A2998" t="s">
        <v>2997</v>
      </c>
      <c r="B2998">
        <f>0*(1-0.8198)</f>
        <v>0</v>
      </c>
      <c r="C2998" s="1">
        <v>2.819</v>
      </c>
    </row>
    <row r="2999" spans="1:3" x14ac:dyDescent="0.3">
      <c r="A2999" t="s">
        <v>2998</v>
      </c>
      <c r="B2999">
        <f>0*(1-0.8198)</f>
        <v>0</v>
      </c>
      <c r="C2999" s="1">
        <v>2.819</v>
      </c>
    </row>
    <row r="3000" spans="1:3" x14ac:dyDescent="0.3">
      <c r="A3000" t="s">
        <v>2999</v>
      </c>
      <c r="B3000">
        <f>0*(1-0.8198)</f>
        <v>0</v>
      </c>
      <c r="C3000" s="1">
        <v>2.819</v>
      </c>
    </row>
    <row r="3001" spans="1:3" x14ac:dyDescent="0.3">
      <c r="A3001" t="s">
        <v>3000</v>
      </c>
      <c r="B3001">
        <f>0*(1-0.8198)</f>
        <v>0</v>
      </c>
      <c r="C3001" s="1">
        <v>2.819</v>
      </c>
    </row>
    <row r="3002" spans="1:3" x14ac:dyDescent="0.3">
      <c r="A3002" t="s">
        <v>3001</v>
      </c>
      <c r="B3002">
        <f>0*(1-0.8198)</f>
        <v>0</v>
      </c>
      <c r="C3002" s="1">
        <v>2.819</v>
      </c>
    </row>
    <row r="3003" spans="1:3" x14ac:dyDescent="0.3">
      <c r="A3003" t="s">
        <v>3002</v>
      </c>
      <c r="B3003">
        <f>0*(1-0.8198)</f>
        <v>0</v>
      </c>
      <c r="C3003" s="1">
        <v>2.819</v>
      </c>
    </row>
    <row r="3004" spans="1:3" x14ac:dyDescent="0.3">
      <c r="A3004" t="s">
        <v>3003</v>
      </c>
      <c r="B3004">
        <f>0*(1-0.8198)</f>
        <v>0</v>
      </c>
      <c r="C3004" s="1">
        <v>2.819</v>
      </c>
    </row>
    <row r="3005" spans="1:3" x14ac:dyDescent="0.3">
      <c r="A3005" t="s">
        <v>3004</v>
      </c>
      <c r="B3005">
        <f>0*(1-0.8198)</f>
        <v>0</v>
      </c>
      <c r="C3005" s="1">
        <v>2.819</v>
      </c>
    </row>
    <row r="3006" spans="1:3" x14ac:dyDescent="0.3">
      <c r="A3006" t="s">
        <v>3005</v>
      </c>
      <c r="B3006">
        <f>0*(1-0.8198)</f>
        <v>0</v>
      </c>
      <c r="C3006" s="1">
        <v>2.819</v>
      </c>
    </row>
    <row r="3007" spans="1:3" x14ac:dyDescent="0.3">
      <c r="A3007" t="s">
        <v>3006</v>
      </c>
      <c r="B3007">
        <f>0.53836*(1-0.8198)</f>
        <v>9.701247200000003E-2</v>
      </c>
      <c r="C3007" s="1">
        <v>2.819</v>
      </c>
    </row>
    <row r="3008" spans="1:3" x14ac:dyDescent="0.3">
      <c r="A3008" t="s">
        <v>3007</v>
      </c>
      <c r="B3008">
        <f>12.5889777442857*(1-0.8198)</f>
        <v>2.2685337895202862</v>
      </c>
      <c r="C3008" s="1">
        <v>2.819</v>
      </c>
    </row>
    <row r="3009" spans="1:3" x14ac:dyDescent="0.3">
      <c r="A3009" t="s">
        <v>3008</v>
      </c>
      <c r="B3009">
        <f>27.7809620242857*(1-0.8198)</f>
        <v>5.0061293567762863</v>
      </c>
      <c r="C3009" s="1">
        <v>8.0709999999999997</v>
      </c>
    </row>
    <row r="3010" spans="1:3" x14ac:dyDescent="0.3">
      <c r="A3010" t="s">
        <v>3009</v>
      </c>
      <c r="B3010">
        <f>40.5282865314286*(1-0.8198)</f>
        <v>7.3031972329634307</v>
      </c>
      <c r="C3010" s="1">
        <v>9.9339999999999993</v>
      </c>
    </row>
    <row r="3011" spans="1:3" x14ac:dyDescent="0.3">
      <c r="A3011" t="s">
        <v>3010</v>
      </c>
      <c r="B3011">
        <f>50.9593522142857*(1-0.8198)</f>
        <v>9.1828752690142892</v>
      </c>
      <c r="C3011" s="1">
        <v>9.9339999999999993</v>
      </c>
    </row>
    <row r="3012" spans="1:3" x14ac:dyDescent="0.3">
      <c r="A3012" t="s">
        <v>3011</v>
      </c>
      <c r="B3012">
        <f>59.2631063557143*(1-0.8198)</f>
        <v>10.679211765299714</v>
      </c>
      <c r="C3012" s="1">
        <v>9.9339999999999993</v>
      </c>
    </row>
    <row r="3013" spans="1:3" x14ac:dyDescent="0.3">
      <c r="A3013" t="s">
        <v>3012</v>
      </c>
      <c r="B3013">
        <f>61.4285714285714*(1-0.8198)</f>
        <v>11.069428571428574</v>
      </c>
      <c r="C3013" s="1">
        <v>9.9339999999999993</v>
      </c>
    </row>
    <row r="3014" spans="1:3" x14ac:dyDescent="0.3">
      <c r="A3014" t="s">
        <v>3013</v>
      </c>
      <c r="B3014">
        <f>61.1781092671429*(1-0.8198)</f>
        <v>11.024295289939145</v>
      </c>
      <c r="C3014" s="1">
        <v>9.9339999999999993</v>
      </c>
    </row>
    <row r="3015" spans="1:3" x14ac:dyDescent="0.3">
      <c r="A3015" t="s">
        <v>3014</v>
      </c>
      <c r="B3015">
        <f>59.6248441014286*(1-0.8198)</f>
        <v>10.74439690707743</v>
      </c>
      <c r="C3015" s="1">
        <v>8.0709999999999997</v>
      </c>
    </row>
    <row r="3016" spans="1:3" x14ac:dyDescent="0.3">
      <c r="A3016" t="s">
        <v>3015</v>
      </c>
      <c r="B3016">
        <f>46.6876870028571*(1-0.8198)</f>
        <v>8.4131211979148581</v>
      </c>
      <c r="C3016" s="1">
        <v>8.0709999999999997</v>
      </c>
    </row>
    <row r="3017" spans="1:3" x14ac:dyDescent="0.3">
      <c r="A3017" t="s">
        <v>3016</v>
      </c>
      <c r="B3017">
        <f>41.59382819*(1-0.8198)</f>
        <v>7.4952078398380015</v>
      </c>
      <c r="C3017" s="1">
        <v>8.0709999999999997</v>
      </c>
    </row>
    <row r="3018" spans="1:3" x14ac:dyDescent="0.3">
      <c r="A3018" t="s">
        <v>3017</v>
      </c>
      <c r="B3018">
        <f>27.22508837*(1-0.8198)</f>
        <v>4.9059609242740008</v>
      </c>
      <c r="C3018" s="1">
        <v>8.0709999999999997</v>
      </c>
    </row>
    <row r="3019" spans="1:3" x14ac:dyDescent="0.3">
      <c r="A3019" t="s">
        <v>3018</v>
      </c>
      <c r="B3019">
        <f>11.41729593*(1-0.8198)</f>
        <v>2.0573967265860005</v>
      </c>
      <c r="C3019" s="1">
        <v>9.9339999999999993</v>
      </c>
    </row>
    <row r="3020" spans="1:3" x14ac:dyDescent="0.3">
      <c r="A3020" t="s">
        <v>3019</v>
      </c>
      <c r="B3020">
        <f>3.08583166714286*(1-0.8198)</f>
        <v>0.55606686641914305</v>
      </c>
      <c r="C3020" s="1">
        <v>9.9339999999999993</v>
      </c>
    </row>
    <row r="3021" spans="1:3" x14ac:dyDescent="0.3">
      <c r="A3021" t="s">
        <v>3020</v>
      </c>
      <c r="B3021">
        <f>0*(1-0.8198)</f>
        <v>0</v>
      </c>
      <c r="C3021" s="1">
        <v>9.9339999999999993</v>
      </c>
    </row>
    <row r="3022" spans="1:3" x14ac:dyDescent="0.3">
      <c r="A3022" t="s">
        <v>3021</v>
      </c>
      <c r="B3022">
        <f>0*(1-0.8198)</f>
        <v>0</v>
      </c>
      <c r="C3022" s="1">
        <v>9.9339999999999993</v>
      </c>
    </row>
    <row r="3023" spans="1:3" x14ac:dyDescent="0.3">
      <c r="A3023" t="s">
        <v>3022</v>
      </c>
      <c r="B3023">
        <f>0*(1-0.8198)</f>
        <v>0</v>
      </c>
      <c r="C3023" s="1">
        <v>8.0709999999999997</v>
      </c>
    </row>
    <row r="3024" spans="1:3" x14ac:dyDescent="0.3">
      <c r="A3024" t="s">
        <v>3023</v>
      </c>
      <c r="B3024">
        <f>0*(1-0.8198)</f>
        <v>0</v>
      </c>
      <c r="C3024" s="1">
        <v>8.0709999999999997</v>
      </c>
    </row>
    <row r="3025" spans="1:3" x14ac:dyDescent="0.3">
      <c r="A3025" t="s">
        <v>3024</v>
      </c>
      <c r="B3025">
        <f>0*(1-0.8198)</f>
        <v>0</v>
      </c>
      <c r="C3025" s="1">
        <v>2.819</v>
      </c>
    </row>
    <row r="3026" spans="1:3" x14ac:dyDescent="0.3">
      <c r="A3026" t="s">
        <v>3025</v>
      </c>
      <c r="B3026">
        <f>0*(1-0.8198)</f>
        <v>0</v>
      </c>
      <c r="C3026" s="1">
        <v>2.819</v>
      </c>
    </row>
    <row r="3027" spans="1:3" x14ac:dyDescent="0.3">
      <c r="A3027" t="s">
        <v>3026</v>
      </c>
      <c r="B3027">
        <f>0*(1-0.8198)</f>
        <v>0</v>
      </c>
      <c r="C3027" s="1">
        <v>2.819</v>
      </c>
    </row>
    <row r="3028" spans="1:3" x14ac:dyDescent="0.3">
      <c r="A3028" t="s">
        <v>3027</v>
      </c>
      <c r="B3028">
        <f>0*(1-0.8198)</f>
        <v>0</v>
      </c>
      <c r="C3028" s="1">
        <v>2.819</v>
      </c>
    </row>
    <row r="3029" spans="1:3" x14ac:dyDescent="0.3">
      <c r="A3029" t="s">
        <v>3028</v>
      </c>
      <c r="B3029">
        <f>0*(1-0.8198)</f>
        <v>0</v>
      </c>
      <c r="C3029" s="1">
        <v>2.819</v>
      </c>
    </row>
    <row r="3030" spans="1:3" x14ac:dyDescent="0.3">
      <c r="A3030" t="s">
        <v>3029</v>
      </c>
      <c r="B3030">
        <f>0*(1-0.8198)</f>
        <v>0</v>
      </c>
      <c r="C3030" s="1">
        <v>2.819</v>
      </c>
    </row>
    <row r="3031" spans="1:3" x14ac:dyDescent="0.3">
      <c r="A3031" t="s">
        <v>3030</v>
      </c>
      <c r="B3031">
        <f>0.33368*(1-0.8198)</f>
        <v>6.0129136000000014E-2</v>
      </c>
      <c r="C3031" s="1">
        <v>2.819</v>
      </c>
    </row>
    <row r="3032" spans="1:3" x14ac:dyDescent="0.3">
      <c r="A3032" t="s">
        <v>3031</v>
      </c>
      <c r="B3032">
        <f>1.3975*(1-0.8198)</f>
        <v>0.25182950000000004</v>
      </c>
      <c r="C3032" s="1">
        <v>2.819</v>
      </c>
    </row>
    <row r="3033" spans="1:3" x14ac:dyDescent="0.3">
      <c r="A3033" t="s">
        <v>3032</v>
      </c>
      <c r="B3033">
        <f>8.77756727142857*(1-0.8198)</f>
        <v>1.5817176223114289</v>
      </c>
      <c r="C3033" s="1">
        <v>8.0709999999999997</v>
      </c>
    </row>
    <row r="3034" spans="1:3" x14ac:dyDescent="0.3">
      <c r="A3034" t="s">
        <v>3033</v>
      </c>
      <c r="B3034">
        <f>28.8311318585714*(1-0.8198)</f>
        <v>5.1953699609145731</v>
      </c>
      <c r="C3034" s="1">
        <v>9.9339999999999993</v>
      </c>
    </row>
    <row r="3035" spans="1:3" x14ac:dyDescent="0.3">
      <c r="A3035" t="s">
        <v>3034</v>
      </c>
      <c r="B3035">
        <f>35.9959614628571*(1-0.8198)</f>
        <v>6.4864722556068575</v>
      </c>
      <c r="C3035" s="1">
        <v>9.9339999999999993</v>
      </c>
    </row>
    <row r="3036" spans="1:3" x14ac:dyDescent="0.3">
      <c r="A3036" t="s">
        <v>3035</v>
      </c>
      <c r="B3036">
        <f>33.5382303657143*(1-0.8198)</f>
        <v>6.0435891119017162</v>
      </c>
      <c r="C3036" s="1">
        <v>9.9339999999999993</v>
      </c>
    </row>
    <row r="3037" spans="1:3" x14ac:dyDescent="0.3">
      <c r="A3037" t="s">
        <v>3036</v>
      </c>
      <c r="B3037">
        <f>42.1129036728571*(1-0.8198)</f>
        <v>7.5887452418488586</v>
      </c>
      <c r="C3037" s="1">
        <v>9.9339999999999993</v>
      </c>
    </row>
    <row r="3038" spans="1:3" x14ac:dyDescent="0.3">
      <c r="A3038" t="s">
        <v>3037</v>
      </c>
      <c r="B3038">
        <f>57.7165881357143*(1-0.8198)</f>
        <v>10.400529182055719</v>
      </c>
      <c r="C3038" s="1">
        <v>9.9339999999999993</v>
      </c>
    </row>
    <row r="3039" spans="1:3" x14ac:dyDescent="0.3">
      <c r="A3039" t="s">
        <v>3038</v>
      </c>
      <c r="B3039">
        <f>34.9940322228572*(1-0.8198)</f>
        <v>6.3059246065588592</v>
      </c>
      <c r="C3039" s="1">
        <v>8.0709999999999997</v>
      </c>
    </row>
    <row r="3040" spans="1:3" x14ac:dyDescent="0.3">
      <c r="A3040" t="s">
        <v>3039</v>
      </c>
      <c r="B3040">
        <f>34.67316008*(1-0.8198)</f>
        <v>6.2481034464160015</v>
      </c>
      <c r="C3040" s="1">
        <v>8.0709999999999997</v>
      </c>
    </row>
    <row r="3041" spans="1:3" x14ac:dyDescent="0.3">
      <c r="A3041" t="s">
        <v>3040</v>
      </c>
      <c r="B3041">
        <f>25.64931768*(1-0.8198)</f>
        <v>4.6220070459360016</v>
      </c>
      <c r="C3041" s="1">
        <v>8.0709999999999997</v>
      </c>
    </row>
    <row r="3042" spans="1:3" x14ac:dyDescent="0.3">
      <c r="A3042" t="s">
        <v>3041</v>
      </c>
      <c r="B3042">
        <f>21.7467634242857*(1-0.8198)</f>
        <v>3.9187667690562855</v>
      </c>
      <c r="C3042" s="1">
        <v>8.0709999999999997</v>
      </c>
    </row>
    <row r="3043" spans="1:3" x14ac:dyDescent="0.3">
      <c r="A3043" t="s">
        <v>3042</v>
      </c>
      <c r="B3043">
        <f>2.6187*(1-0.8198)</f>
        <v>0.47188974000000017</v>
      </c>
      <c r="C3043" s="1">
        <v>9.9339999999999993</v>
      </c>
    </row>
    <row r="3044" spans="1:3" x14ac:dyDescent="0.3">
      <c r="A3044" t="s">
        <v>3043</v>
      </c>
      <c r="B3044">
        <f>3.01882175714286*(1-0.8198)</f>
        <v>0.54399168063714287</v>
      </c>
      <c r="C3044" s="1">
        <v>9.9339999999999993</v>
      </c>
    </row>
    <row r="3045" spans="1:3" x14ac:dyDescent="0.3">
      <c r="A3045" t="s">
        <v>3044</v>
      </c>
      <c r="B3045">
        <f>0*(1-0.8198)</f>
        <v>0</v>
      </c>
      <c r="C3045" s="1">
        <v>9.9339999999999993</v>
      </c>
    </row>
    <row r="3046" spans="1:3" x14ac:dyDescent="0.3">
      <c r="A3046" t="s">
        <v>3045</v>
      </c>
      <c r="B3046">
        <f>0*(1-0.8198)</f>
        <v>0</v>
      </c>
      <c r="C3046" s="1">
        <v>9.9339999999999993</v>
      </c>
    </row>
    <row r="3047" spans="1:3" x14ac:dyDescent="0.3">
      <c r="A3047" t="s">
        <v>3046</v>
      </c>
      <c r="B3047">
        <f>0*(1-0.8198)</f>
        <v>0</v>
      </c>
      <c r="C3047" s="1">
        <v>8.0709999999999997</v>
      </c>
    </row>
    <row r="3048" spans="1:3" x14ac:dyDescent="0.3">
      <c r="A3048" t="s">
        <v>3047</v>
      </c>
      <c r="B3048">
        <f>0*(1-0.8198)</f>
        <v>0</v>
      </c>
      <c r="C3048" s="1">
        <v>8.0709999999999997</v>
      </c>
    </row>
    <row r="3049" spans="1:3" x14ac:dyDescent="0.3">
      <c r="A3049" t="s">
        <v>3048</v>
      </c>
      <c r="B3049">
        <f>0*(1-0.8198)</f>
        <v>0</v>
      </c>
      <c r="C3049" s="1">
        <v>2.819</v>
      </c>
    </row>
    <row r="3050" spans="1:3" x14ac:dyDescent="0.3">
      <c r="A3050" t="s">
        <v>3049</v>
      </c>
      <c r="B3050">
        <f>0*(1-0.8198)</f>
        <v>0</v>
      </c>
      <c r="C3050" s="1">
        <v>2.819</v>
      </c>
    </row>
    <row r="3051" spans="1:3" x14ac:dyDescent="0.3">
      <c r="A3051" t="s">
        <v>3050</v>
      </c>
      <c r="B3051">
        <f>0*(1-0.8198)</f>
        <v>0</v>
      </c>
      <c r="C3051" s="1">
        <v>2.819</v>
      </c>
    </row>
    <row r="3052" spans="1:3" x14ac:dyDescent="0.3">
      <c r="A3052" t="s">
        <v>3051</v>
      </c>
      <c r="B3052">
        <f>0*(1-0.8198)</f>
        <v>0</v>
      </c>
      <c r="C3052" s="1">
        <v>2.819</v>
      </c>
    </row>
    <row r="3053" spans="1:3" x14ac:dyDescent="0.3">
      <c r="A3053" t="s">
        <v>3052</v>
      </c>
      <c r="B3053">
        <f>0*(1-0.8198)</f>
        <v>0</v>
      </c>
      <c r="C3053" s="1">
        <v>2.819</v>
      </c>
    </row>
    <row r="3054" spans="1:3" x14ac:dyDescent="0.3">
      <c r="A3054" t="s">
        <v>3053</v>
      </c>
      <c r="B3054">
        <f>0*(1-0.8198)</f>
        <v>0</v>
      </c>
      <c r="C3054" s="1">
        <v>2.819</v>
      </c>
    </row>
    <row r="3055" spans="1:3" x14ac:dyDescent="0.3">
      <c r="A3055" t="s">
        <v>3054</v>
      </c>
      <c r="B3055">
        <f>0.92278*(1-0.8198)</f>
        <v>0.16628495600000004</v>
      </c>
      <c r="C3055" s="1">
        <v>2.819</v>
      </c>
    </row>
    <row r="3056" spans="1:3" x14ac:dyDescent="0.3">
      <c r="A3056" t="s">
        <v>3055</v>
      </c>
      <c r="B3056">
        <f>12.9905536385714*(1-0.8198)</f>
        <v>2.3408977656705714</v>
      </c>
      <c r="C3056" s="1">
        <v>2.819</v>
      </c>
    </row>
    <row r="3057" spans="1:3" x14ac:dyDescent="0.3">
      <c r="A3057" t="s">
        <v>3056</v>
      </c>
      <c r="B3057">
        <f>28.4800342171429*(1-0.8198)</f>
        <v>5.1321021659291439</v>
      </c>
      <c r="C3057" s="1">
        <v>8.0709999999999997</v>
      </c>
    </row>
    <row r="3058" spans="1:3" x14ac:dyDescent="0.3">
      <c r="A3058" t="s">
        <v>3057</v>
      </c>
      <c r="B3058">
        <f>41.3842938585714*(1-0.8198)</f>
        <v>7.4574497533145729</v>
      </c>
      <c r="C3058" s="1">
        <v>9.9339999999999993</v>
      </c>
    </row>
    <row r="3059" spans="1:3" x14ac:dyDescent="0.3">
      <c r="A3059" t="s">
        <v>3058</v>
      </c>
      <c r="B3059">
        <f>50.7379106914286*(1-0.8198)</f>
        <v>9.1429715065954298</v>
      </c>
      <c r="C3059" s="1">
        <v>9.9339999999999993</v>
      </c>
    </row>
    <row r="3060" spans="1:3" x14ac:dyDescent="0.3">
      <c r="A3060" t="s">
        <v>3059</v>
      </c>
      <c r="B3060">
        <f>57.8327090214286*(1-0.8198)</f>
        <v>10.421454165661432</v>
      </c>
      <c r="C3060" s="1">
        <v>9.9339999999999993</v>
      </c>
    </row>
    <row r="3061" spans="1:3" x14ac:dyDescent="0.3">
      <c r="A3061" t="s">
        <v>3060</v>
      </c>
      <c r="B3061">
        <f>56.2214221742857*(1-0.8198)</f>
        <v>10.131100275806288</v>
      </c>
      <c r="C3061" s="1">
        <v>9.9339999999999993</v>
      </c>
    </row>
    <row r="3062" spans="1:3" x14ac:dyDescent="0.3">
      <c r="A3062" t="s">
        <v>3061</v>
      </c>
      <c r="B3062">
        <f>61.02344011*(1-0.8198)</f>
        <v>10.996423907822001</v>
      </c>
      <c r="C3062" s="1">
        <v>9.9339999999999993</v>
      </c>
    </row>
    <row r="3063" spans="1:3" x14ac:dyDescent="0.3">
      <c r="A3063" t="s">
        <v>3062</v>
      </c>
      <c r="B3063">
        <f>32.7350586742857*(1-0.8198)</f>
        <v>5.8988575731062856</v>
      </c>
      <c r="C3063" s="1">
        <v>8.0709999999999997</v>
      </c>
    </row>
    <row r="3064" spans="1:3" x14ac:dyDescent="0.3">
      <c r="A3064" t="s">
        <v>3063</v>
      </c>
      <c r="B3064">
        <f>21.5044722457143*(1-0.8198)</f>
        <v>3.8751058986777149</v>
      </c>
      <c r="C3064" s="1">
        <v>8.0709999999999997</v>
      </c>
    </row>
    <row r="3065" spans="1:3" x14ac:dyDescent="0.3">
      <c r="A3065" t="s">
        <v>3064</v>
      </c>
      <c r="B3065">
        <f>38.7537433657143*(1-0.8198)</f>
        <v>6.9834245545017151</v>
      </c>
      <c r="C3065" s="1">
        <v>8.0709999999999997</v>
      </c>
    </row>
    <row r="3066" spans="1:3" x14ac:dyDescent="0.3">
      <c r="A3066" t="s">
        <v>3065</v>
      </c>
      <c r="B3066">
        <f>28.1021037771429*(1-0.8198)</f>
        <v>5.0639991006411451</v>
      </c>
      <c r="C3066" s="1">
        <v>8.0709999999999997</v>
      </c>
    </row>
    <row r="3067" spans="1:3" x14ac:dyDescent="0.3">
      <c r="A3067" t="s">
        <v>3066</v>
      </c>
      <c r="B3067">
        <f>13.83563958*(1-0.8198)</f>
        <v>2.493182252316001</v>
      </c>
      <c r="C3067" s="1">
        <v>9.9339999999999993</v>
      </c>
    </row>
    <row r="3068" spans="1:3" x14ac:dyDescent="0.3">
      <c r="A3068" t="s">
        <v>3067</v>
      </c>
      <c r="B3068">
        <f>3.51428483428571*(1-0.8198)</f>
        <v>0.6332741271382859</v>
      </c>
      <c r="C3068" s="1">
        <v>9.9339999999999993</v>
      </c>
    </row>
    <row r="3069" spans="1:3" x14ac:dyDescent="0.3">
      <c r="A3069" t="s">
        <v>3068</v>
      </c>
      <c r="B3069">
        <f>0*(1-0.8198)</f>
        <v>0</v>
      </c>
      <c r="C3069" s="1">
        <v>9.9339999999999993</v>
      </c>
    </row>
    <row r="3070" spans="1:3" x14ac:dyDescent="0.3">
      <c r="A3070" t="s">
        <v>3069</v>
      </c>
      <c r="B3070">
        <f>0*(1-0.8198)</f>
        <v>0</v>
      </c>
      <c r="C3070" s="1">
        <v>9.9339999999999993</v>
      </c>
    </row>
    <row r="3071" spans="1:3" x14ac:dyDescent="0.3">
      <c r="A3071" t="s">
        <v>3070</v>
      </c>
      <c r="B3071">
        <f>0*(1-0.8198)</f>
        <v>0</v>
      </c>
      <c r="C3071" s="1">
        <v>8.0709999999999997</v>
      </c>
    </row>
    <row r="3072" spans="1:3" x14ac:dyDescent="0.3">
      <c r="A3072" t="s">
        <v>3071</v>
      </c>
      <c r="B3072">
        <f>0*(1-0.8198)</f>
        <v>0</v>
      </c>
      <c r="C3072" s="1">
        <v>8.0709999999999997</v>
      </c>
    </row>
    <row r="3073" spans="1:3" x14ac:dyDescent="0.3">
      <c r="A3073" t="s">
        <v>3072</v>
      </c>
      <c r="B3073">
        <f>0*(1-0.8198)</f>
        <v>0</v>
      </c>
      <c r="C3073" s="1">
        <v>2.819</v>
      </c>
    </row>
    <row r="3074" spans="1:3" x14ac:dyDescent="0.3">
      <c r="A3074" t="s">
        <v>3073</v>
      </c>
      <c r="B3074">
        <f>0*(1-0.8198)</f>
        <v>0</v>
      </c>
      <c r="C3074" s="1">
        <v>2.819</v>
      </c>
    </row>
    <row r="3075" spans="1:3" x14ac:dyDescent="0.3">
      <c r="A3075" t="s">
        <v>3074</v>
      </c>
      <c r="B3075">
        <f>0*(1-0.8198)</f>
        <v>0</v>
      </c>
      <c r="C3075" s="1">
        <v>2.819</v>
      </c>
    </row>
    <row r="3076" spans="1:3" x14ac:dyDescent="0.3">
      <c r="A3076" t="s">
        <v>3075</v>
      </c>
      <c r="B3076">
        <f>0*(1-0.8198)</f>
        <v>0</v>
      </c>
      <c r="C3076" s="1">
        <v>2.819</v>
      </c>
    </row>
    <row r="3077" spans="1:3" x14ac:dyDescent="0.3">
      <c r="A3077" t="s">
        <v>3076</v>
      </c>
      <c r="B3077">
        <f>0*(1-0.8198)</f>
        <v>0</v>
      </c>
      <c r="C3077" s="1">
        <v>2.819</v>
      </c>
    </row>
    <row r="3078" spans="1:3" x14ac:dyDescent="0.3">
      <c r="A3078" t="s">
        <v>3077</v>
      </c>
      <c r="B3078">
        <f>0*(1-0.8198)</f>
        <v>0</v>
      </c>
      <c r="C3078" s="1">
        <v>2.819</v>
      </c>
    </row>
    <row r="3079" spans="1:3" x14ac:dyDescent="0.3">
      <c r="A3079" t="s">
        <v>3078</v>
      </c>
      <c r="B3079">
        <f>0.8041*(1-0.8198)</f>
        <v>0.14489882000000004</v>
      </c>
      <c r="C3079" s="1">
        <v>2.819</v>
      </c>
    </row>
    <row r="3080" spans="1:3" x14ac:dyDescent="0.3">
      <c r="A3080" t="s">
        <v>3079</v>
      </c>
      <c r="B3080">
        <f>8.93220768*(1-0.8198)</f>
        <v>1.6095838239360005</v>
      </c>
      <c r="C3080" s="1">
        <v>2.819</v>
      </c>
    </row>
    <row r="3081" spans="1:3" x14ac:dyDescent="0.3">
      <c r="A3081" t="s">
        <v>3080</v>
      </c>
      <c r="B3081">
        <f>23.0995124642857*(1-0.8198)</f>
        <v>4.1625321460642866</v>
      </c>
      <c r="C3081" s="1">
        <v>8.0709999999999997</v>
      </c>
    </row>
    <row r="3082" spans="1:3" x14ac:dyDescent="0.3">
      <c r="A3082" t="s">
        <v>3081</v>
      </c>
      <c r="B3082">
        <f>25.23418536*(1-0.8198)</f>
        <v>4.547200201872001</v>
      </c>
      <c r="C3082" s="1">
        <v>9.9339999999999993</v>
      </c>
    </row>
    <row r="3083" spans="1:3" x14ac:dyDescent="0.3">
      <c r="A3083" t="s">
        <v>3082</v>
      </c>
      <c r="B3083">
        <f>35.5681658271429*(1-0.8198)</f>
        <v>6.4093834820511448</v>
      </c>
      <c r="C3083" s="1">
        <v>9.9339999999999993</v>
      </c>
    </row>
    <row r="3084" spans="1:3" x14ac:dyDescent="0.3">
      <c r="A3084" t="s">
        <v>3083</v>
      </c>
      <c r="B3084">
        <f>57.8177996928572*(1-0.8198)</f>
        <v>10.418767504652861</v>
      </c>
      <c r="C3084" s="1">
        <v>9.9339999999999993</v>
      </c>
    </row>
    <row r="3085" spans="1:3" x14ac:dyDescent="0.3">
      <c r="A3085" t="s">
        <v>3084</v>
      </c>
      <c r="B3085">
        <f>61.4285714285714*(1-0.8198)</f>
        <v>11.069428571428574</v>
      </c>
      <c r="C3085" s="1">
        <v>9.9339999999999993</v>
      </c>
    </row>
    <row r="3086" spans="1:3" x14ac:dyDescent="0.3">
      <c r="A3086" t="s">
        <v>3085</v>
      </c>
      <c r="B3086">
        <f>61.4285714285714*(1-0.8198)</f>
        <v>11.069428571428574</v>
      </c>
      <c r="C3086" s="1">
        <v>9.9339999999999993</v>
      </c>
    </row>
    <row r="3087" spans="1:3" x14ac:dyDescent="0.3">
      <c r="A3087" t="s">
        <v>3086</v>
      </c>
      <c r="B3087">
        <f>43.8838853328572*(1-0.8198)</f>
        <v>7.9078761369808603</v>
      </c>
      <c r="C3087" s="1">
        <v>8.0709999999999997</v>
      </c>
    </row>
    <row r="3088" spans="1:3" x14ac:dyDescent="0.3">
      <c r="A3088" t="s">
        <v>3087</v>
      </c>
      <c r="B3088">
        <f>39.4092418157143*(1-0.8198)</f>
        <v>7.1015453751917148</v>
      </c>
      <c r="C3088" s="1">
        <v>8.0709999999999997</v>
      </c>
    </row>
    <row r="3089" spans="1:3" x14ac:dyDescent="0.3">
      <c r="A3089" t="s">
        <v>3088</v>
      </c>
      <c r="B3089">
        <f>29.1212046371429*(1-0.8198)</f>
        <v>5.247641075613144</v>
      </c>
      <c r="C3089" s="1">
        <v>8.0709999999999997</v>
      </c>
    </row>
    <row r="3090" spans="1:3" x14ac:dyDescent="0.3">
      <c r="A3090" t="s">
        <v>3089</v>
      </c>
      <c r="B3090">
        <f>4.74978*(1-0.8198)</f>
        <v>0.85591035600000021</v>
      </c>
      <c r="C3090" s="1">
        <v>8.0709999999999997</v>
      </c>
    </row>
    <row r="3091" spans="1:3" x14ac:dyDescent="0.3">
      <c r="A3091" t="s">
        <v>3090</v>
      </c>
      <c r="B3091">
        <f>2.48626*(1-0.8198)</f>
        <v>0.44802405200000017</v>
      </c>
      <c r="C3091" s="1">
        <v>9.9339999999999993</v>
      </c>
    </row>
    <row r="3092" spans="1:3" x14ac:dyDescent="0.3">
      <c r="A3092" t="s">
        <v>3091</v>
      </c>
      <c r="B3092">
        <f>0.420147164285714*(1-0.8198)</f>
        <v>7.5710519004285728E-2</v>
      </c>
      <c r="C3092" s="1">
        <v>9.9339999999999993</v>
      </c>
    </row>
    <row r="3093" spans="1:3" x14ac:dyDescent="0.3">
      <c r="A3093" t="s">
        <v>3092</v>
      </c>
      <c r="B3093">
        <f>0*(1-0.8198)</f>
        <v>0</v>
      </c>
      <c r="C3093" s="1">
        <v>9.9339999999999993</v>
      </c>
    </row>
    <row r="3094" spans="1:3" x14ac:dyDescent="0.3">
      <c r="A3094" t="s">
        <v>3093</v>
      </c>
      <c r="B3094">
        <f>0*(1-0.8198)</f>
        <v>0</v>
      </c>
      <c r="C3094" s="1">
        <v>9.9339999999999993</v>
      </c>
    </row>
    <row r="3095" spans="1:3" x14ac:dyDescent="0.3">
      <c r="A3095" t="s">
        <v>3094</v>
      </c>
      <c r="B3095">
        <f>0*(1-0.8198)</f>
        <v>0</v>
      </c>
      <c r="C3095" s="1">
        <v>8.0709999999999997</v>
      </c>
    </row>
    <row r="3096" spans="1:3" x14ac:dyDescent="0.3">
      <c r="A3096" t="s">
        <v>3095</v>
      </c>
      <c r="B3096">
        <f>0*(1-0.8198)</f>
        <v>0</v>
      </c>
      <c r="C3096" s="1">
        <v>8.0709999999999997</v>
      </c>
    </row>
    <row r="3097" spans="1:3" x14ac:dyDescent="0.3">
      <c r="A3097" t="s">
        <v>3096</v>
      </c>
      <c r="B3097">
        <f>0*(1-0.8198)</f>
        <v>0</v>
      </c>
      <c r="C3097" s="1">
        <v>2.819</v>
      </c>
    </row>
    <row r="3098" spans="1:3" x14ac:dyDescent="0.3">
      <c r="A3098" t="s">
        <v>3097</v>
      </c>
      <c r="B3098">
        <f>0*(1-0.8198)</f>
        <v>0</v>
      </c>
      <c r="C3098" s="1">
        <v>2.819</v>
      </c>
    </row>
    <row r="3099" spans="1:3" x14ac:dyDescent="0.3">
      <c r="A3099" t="s">
        <v>3098</v>
      </c>
      <c r="B3099">
        <f>0*(1-0.8198)</f>
        <v>0</v>
      </c>
      <c r="C3099" s="1">
        <v>2.819</v>
      </c>
    </row>
    <row r="3100" spans="1:3" x14ac:dyDescent="0.3">
      <c r="A3100" t="s">
        <v>3099</v>
      </c>
      <c r="B3100">
        <f>0*(1-0.8198)</f>
        <v>0</v>
      </c>
      <c r="C3100" s="1">
        <v>2.819</v>
      </c>
    </row>
    <row r="3101" spans="1:3" x14ac:dyDescent="0.3">
      <c r="A3101" t="s">
        <v>3100</v>
      </c>
      <c r="B3101">
        <f>0*(1-0.8198)</f>
        <v>0</v>
      </c>
      <c r="C3101" s="1">
        <v>2.819</v>
      </c>
    </row>
    <row r="3102" spans="1:3" x14ac:dyDescent="0.3">
      <c r="A3102" t="s">
        <v>3101</v>
      </c>
      <c r="B3102">
        <f>0*(1-0.8198)</f>
        <v>0</v>
      </c>
      <c r="C3102" s="1">
        <v>2.819</v>
      </c>
    </row>
    <row r="3103" spans="1:3" x14ac:dyDescent="0.3">
      <c r="A3103" t="s">
        <v>3102</v>
      </c>
      <c r="B3103">
        <f>0.7439*(1-0.8198)</f>
        <v>0.13405078000000001</v>
      </c>
      <c r="C3103" s="1">
        <v>2.819</v>
      </c>
    </row>
    <row r="3104" spans="1:3" x14ac:dyDescent="0.3">
      <c r="A3104" t="s">
        <v>3103</v>
      </c>
      <c r="B3104">
        <f>14.3863129985714*(1-0.8198)</f>
        <v>2.5924136023425719</v>
      </c>
      <c r="C3104" s="1">
        <v>2.819</v>
      </c>
    </row>
    <row r="3105" spans="1:3" x14ac:dyDescent="0.3">
      <c r="A3105" t="s">
        <v>3104</v>
      </c>
      <c r="B3105">
        <f>29.2544366357143*(1-0.8198)</f>
        <v>5.2716494817557162</v>
      </c>
      <c r="C3105" s="1">
        <v>8.0709999999999997</v>
      </c>
    </row>
    <row r="3106" spans="1:3" x14ac:dyDescent="0.3">
      <c r="A3106" t="s">
        <v>3105</v>
      </c>
      <c r="B3106">
        <f>27.8059034985714*(1-0.8198)</f>
        <v>5.0106238104425733</v>
      </c>
      <c r="C3106" s="1">
        <v>9.9339999999999993</v>
      </c>
    </row>
    <row r="3107" spans="1:3" x14ac:dyDescent="0.3">
      <c r="A3107" t="s">
        <v>3106</v>
      </c>
      <c r="B3107">
        <f>52.2955211914286*(1-0.8198)</f>
        <v>9.4236529186954314</v>
      </c>
      <c r="C3107" s="1">
        <v>9.9339999999999993</v>
      </c>
    </row>
    <row r="3108" spans="1:3" x14ac:dyDescent="0.3">
      <c r="A3108" t="s">
        <v>3107</v>
      </c>
      <c r="B3108">
        <f>59.4033125857143*(1-0.8198)</f>
        <v>10.704476927945715</v>
      </c>
      <c r="C3108" s="1">
        <v>9.9339999999999993</v>
      </c>
    </row>
    <row r="3109" spans="1:3" x14ac:dyDescent="0.3">
      <c r="A3109" t="s">
        <v>3108</v>
      </c>
      <c r="B3109">
        <f>61.4285714285714*(1-0.8198)</f>
        <v>11.069428571428574</v>
      </c>
      <c r="C3109" s="1">
        <v>9.9339999999999993</v>
      </c>
    </row>
    <row r="3110" spans="1:3" x14ac:dyDescent="0.3">
      <c r="A3110" t="s">
        <v>3109</v>
      </c>
      <c r="B3110">
        <f>61.1874953685714*(1-0.8198)</f>
        <v>11.025986665416573</v>
      </c>
      <c r="C3110" s="1">
        <v>9.9339999999999993</v>
      </c>
    </row>
    <row r="3111" spans="1:3" x14ac:dyDescent="0.3">
      <c r="A3111" t="s">
        <v>3110</v>
      </c>
      <c r="B3111">
        <f>61.4285714285714*(1-0.8198)</f>
        <v>11.069428571428574</v>
      </c>
      <c r="C3111" s="1">
        <v>8.0709999999999997</v>
      </c>
    </row>
    <row r="3112" spans="1:3" x14ac:dyDescent="0.3">
      <c r="A3112" t="s">
        <v>3111</v>
      </c>
      <c r="B3112">
        <f>53.9125427642857*(1-0.8198)</f>
        <v>9.7150402061242858</v>
      </c>
      <c r="C3112" s="1">
        <v>8.0709999999999997</v>
      </c>
    </row>
    <row r="3113" spans="1:3" x14ac:dyDescent="0.3">
      <c r="A3113" t="s">
        <v>3112</v>
      </c>
      <c r="B3113">
        <f>41.7471435228571*(1-0.8198)</f>
        <v>7.5228352628188588</v>
      </c>
      <c r="C3113" s="1">
        <v>8.0709999999999997</v>
      </c>
    </row>
    <row r="3114" spans="1:3" x14ac:dyDescent="0.3">
      <c r="A3114" t="s">
        <v>3113</v>
      </c>
      <c r="B3114">
        <f>26.7453825814286*(1-0.8198)</f>
        <v>4.8195179411734301</v>
      </c>
      <c r="C3114" s="1">
        <v>8.0709999999999997</v>
      </c>
    </row>
    <row r="3115" spans="1:3" x14ac:dyDescent="0.3">
      <c r="A3115" t="s">
        <v>3114</v>
      </c>
      <c r="B3115">
        <f>12.2713067671429*(1-0.8198)</f>
        <v>2.2112894794391433</v>
      </c>
      <c r="C3115" s="1">
        <v>9.9339999999999993</v>
      </c>
    </row>
    <row r="3116" spans="1:3" x14ac:dyDescent="0.3">
      <c r="A3116" t="s">
        <v>3115</v>
      </c>
      <c r="B3116">
        <f>2.44684577*(1-0.8198)</f>
        <v>0.44092160775400008</v>
      </c>
      <c r="C3116" s="1">
        <v>9.9339999999999993</v>
      </c>
    </row>
    <row r="3117" spans="1:3" x14ac:dyDescent="0.3">
      <c r="A3117" t="s">
        <v>3116</v>
      </c>
      <c r="B3117">
        <f>0*(1-0.8198)</f>
        <v>0</v>
      </c>
      <c r="C3117" s="1">
        <v>9.9339999999999993</v>
      </c>
    </row>
    <row r="3118" spans="1:3" x14ac:dyDescent="0.3">
      <c r="A3118" t="s">
        <v>3117</v>
      </c>
      <c r="B3118">
        <f>0*(1-0.8198)</f>
        <v>0</v>
      </c>
      <c r="C3118" s="1">
        <v>9.9339999999999993</v>
      </c>
    </row>
    <row r="3119" spans="1:3" x14ac:dyDescent="0.3">
      <c r="A3119" t="s">
        <v>3118</v>
      </c>
      <c r="B3119">
        <f>0*(1-0.8198)</f>
        <v>0</v>
      </c>
      <c r="C3119" s="1">
        <v>8.0709999999999997</v>
      </c>
    </row>
    <row r="3120" spans="1:3" x14ac:dyDescent="0.3">
      <c r="A3120" t="s">
        <v>3119</v>
      </c>
      <c r="B3120">
        <f>0*(1-0.8198)</f>
        <v>0</v>
      </c>
      <c r="C3120" s="1">
        <v>8.0709999999999997</v>
      </c>
    </row>
    <row r="3121" spans="1:3" x14ac:dyDescent="0.3">
      <c r="A3121" t="s">
        <v>3120</v>
      </c>
      <c r="B3121">
        <f>0*(1-0.8198)</f>
        <v>0</v>
      </c>
      <c r="C3121" s="1">
        <v>2.819</v>
      </c>
    </row>
    <row r="3122" spans="1:3" x14ac:dyDescent="0.3">
      <c r="A3122" t="s">
        <v>3121</v>
      </c>
      <c r="B3122">
        <f>0*(1-0.8198)</f>
        <v>0</v>
      </c>
      <c r="C3122" s="1">
        <v>2.819</v>
      </c>
    </row>
    <row r="3123" spans="1:3" x14ac:dyDescent="0.3">
      <c r="A3123" t="s">
        <v>3122</v>
      </c>
      <c r="B3123">
        <f>0*(1-0.8198)</f>
        <v>0</v>
      </c>
      <c r="C3123" s="1">
        <v>2.819</v>
      </c>
    </row>
    <row r="3124" spans="1:3" x14ac:dyDescent="0.3">
      <c r="A3124" t="s">
        <v>3123</v>
      </c>
      <c r="B3124">
        <f>0*(1-0.8198)</f>
        <v>0</v>
      </c>
      <c r="C3124" s="1">
        <v>2.819</v>
      </c>
    </row>
    <row r="3125" spans="1:3" x14ac:dyDescent="0.3">
      <c r="A3125" t="s">
        <v>3124</v>
      </c>
      <c r="B3125">
        <f>0*(1-0.8198)</f>
        <v>0</v>
      </c>
      <c r="C3125" s="1">
        <v>2.819</v>
      </c>
    </row>
    <row r="3126" spans="1:3" x14ac:dyDescent="0.3">
      <c r="A3126" t="s">
        <v>3125</v>
      </c>
      <c r="B3126">
        <f>0*(1-0.8198)</f>
        <v>0</v>
      </c>
      <c r="C3126" s="1">
        <v>2.819</v>
      </c>
    </row>
    <row r="3127" spans="1:3" x14ac:dyDescent="0.3">
      <c r="A3127" t="s">
        <v>3126</v>
      </c>
      <c r="B3127">
        <f>0.97954*(1-0.8198)</f>
        <v>0.17651310800000003</v>
      </c>
      <c r="C3127" s="1">
        <v>2.819</v>
      </c>
    </row>
    <row r="3128" spans="1:3" x14ac:dyDescent="0.3">
      <c r="A3128" t="s">
        <v>3127</v>
      </c>
      <c r="B3128">
        <f>7.37544581571429*(1-0.8198)</f>
        <v>1.3290553359917145</v>
      </c>
      <c r="C3128" s="1">
        <v>2.819</v>
      </c>
    </row>
    <row r="3129" spans="1:3" x14ac:dyDescent="0.3">
      <c r="A3129" t="s">
        <v>3128</v>
      </c>
      <c r="B3129">
        <f>9.44278200142857*(1-0.8198)</f>
        <v>1.7015893166574292</v>
      </c>
      <c r="C3129" s="1">
        <v>2.819</v>
      </c>
    </row>
    <row r="3130" spans="1:3" x14ac:dyDescent="0.3">
      <c r="A3130" t="s">
        <v>3129</v>
      </c>
      <c r="B3130">
        <f>16.3171652185714*(1-0.8198)</f>
        <v>2.9403531723865717</v>
      </c>
      <c r="C3130" s="1">
        <v>2.819</v>
      </c>
    </row>
    <row r="3131" spans="1:3" x14ac:dyDescent="0.3">
      <c r="A3131" t="s">
        <v>3130</v>
      </c>
      <c r="B3131">
        <f>35.4335137228571*(1-0.8198)</f>
        <v>6.3851191728588583</v>
      </c>
      <c r="C3131" s="1">
        <v>2.819</v>
      </c>
    </row>
    <row r="3132" spans="1:3" x14ac:dyDescent="0.3">
      <c r="A3132" t="s">
        <v>3131</v>
      </c>
      <c r="B3132">
        <f>45.9517623971429*(1-0.8198)</f>
        <v>8.280507583965143</v>
      </c>
      <c r="C3132" s="1">
        <v>2.819</v>
      </c>
    </row>
    <row r="3133" spans="1:3" x14ac:dyDescent="0.3">
      <c r="A3133" t="s">
        <v>3132</v>
      </c>
      <c r="B3133">
        <f>53.0601417242857*(1-0.8198)</f>
        <v>9.5614375387162891</v>
      </c>
      <c r="C3133" s="1">
        <v>2.819</v>
      </c>
    </row>
    <row r="3134" spans="1:3" x14ac:dyDescent="0.3">
      <c r="A3134" t="s">
        <v>3133</v>
      </c>
      <c r="B3134">
        <f>61.4285714285714*(1-0.8198)</f>
        <v>11.069428571428574</v>
      </c>
      <c r="C3134" s="1">
        <v>2.819</v>
      </c>
    </row>
    <row r="3135" spans="1:3" x14ac:dyDescent="0.3">
      <c r="A3135" t="s">
        <v>3134</v>
      </c>
      <c r="B3135">
        <f>58.3114749528571*(1-0.8198)</f>
        <v>10.507727786504859</v>
      </c>
      <c r="C3135" s="1">
        <v>2.819</v>
      </c>
    </row>
    <row r="3136" spans="1:3" x14ac:dyDescent="0.3">
      <c r="A3136" t="s">
        <v>3135</v>
      </c>
      <c r="B3136">
        <f>44.9704301571429*(1-0.8198)</f>
        <v>8.1036715143171438</v>
      </c>
      <c r="C3136" s="1">
        <v>2.819</v>
      </c>
    </row>
    <row r="3137" spans="1:3" x14ac:dyDescent="0.3">
      <c r="A3137" t="s">
        <v>3136</v>
      </c>
      <c r="B3137">
        <f>28.5805668042857*(1-0.8198)</f>
        <v>5.1502181381322867</v>
      </c>
      <c r="C3137" s="1">
        <v>2.819</v>
      </c>
    </row>
    <row r="3138" spans="1:3" x14ac:dyDescent="0.3">
      <c r="A3138" t="s">
        <v>3137</v>
      </c>
      <c r="B3138">
        <f>27.8348608042857*(1-0.8198)</f>
        <v>5.0158419169322874</v>
      </c>
      <c r="C3138" s="1">
        <v>2.819</v>
      </c>
    </row>
    <row r="3139" spans="1:3" x14ac:dyDescent="0.3">
      <c r="A3139" t="s">
        <v>3138</v>
      </c>
      <c r="B3139">
        <f>14.0998445414286*(1-0.8198)</f>
        <v>2.5407919863654289</v>
      </c>
      <c r="C3139" s="1">
        <v>2.819</v>
      </c>
    </row>
    <row r="3140" spans="1:3" x14ac:dyDescent="0.3">
      <c r="A3140" t="s">
        <v>3139</v>
      </c>
      <c r="B3140">
        <f>3.46686461857143*(1-0.8198)</f>
        <v>0.62472900426657163</v>
      </c>
      <c r="C3140" s="1">
        <v>2.819</v>
      </c>
    </row>
    <row r="3141" spans="1:3" x14ac:dyDescent="0.3">
      <c r="A3141" t="s">
        <v>3140</v>
      </c>
      <c r="B3141">
        <f>0*(1-0.8198)</f>
        <v>0</v>
      </c>
      <c r="C3141" s="1">
        <v>2.819</v>
      </c>
    </row>
    <row r="3142" spans="1:3" x14ac:dyDescent="0.3">
      <c r="A3142" t="s">
        <v>3141</v>
      </c>
      <c r="B3142">
        <f>0*(1-0.8198)</f>
        <v>0</v>
      </c>
      <c r="C3142" s="1">
        <v>2.819</v>
      </c>
    </row>
    <row r="3143" spans="1:3" x14ac:dyDescent="0.3">
      <c r="A3143" t="s">
        <v>3142</v>
      </c>
      <c r="B3143">
        <f>0*(1-0.8198)</f>
        <v>0</v>
      </c>
      <c r="C3143" s="1">
        <v>2.819</v>
      </c>
    </row>
    <row r="3144" spans="1:3" x14ac:dyDescent="0.3">
      <c r="A3144" t="s">
        <v>3143</v>
      </c>
      <c r="B3144">
        <f>0*(1-0.8198)</f>
        <v>0</v>
      </c>
      <c r="C3144" s="1">
        <v>2.819</v>
      </c>
    </row>
    <row r="3145" spans="1:3" x14ac:dyDescent="0.3">
      <c r="A3145" t="s">
        <v>3144</v>
      </c>
      <c r="B3145">
        <f>0*(1-0.8198)</f>
        <v>0</v>
      </c>
      <c r="C3145" s="1">
        <v>2.819</v>
      </c>
    </row>
    <row r="3146" spans="1:3" x14ac:dyDescent="0.3">
      <c r="A3146" t="s">
        <v>3145</v>
      </c>
      <c r="B3146">
        <f>0*(1-0.8198)</f>
        <v>0</v>
      </c>
      <c r="C3146" s="1">
        <v>2.819</v>
      </c>
    </row>
    <row r="3147" spans="1:3" x14ac:dyDescent="0.3">
      <c r="A3147" t="s">
        <v>3146</v>
      </c>
      <c r="B3147">
        <f>0*(1-0.8198)</f>
        <v>0</v>
      </c>
      <c r="C3147" s="1">
        <v>2.819</v>
      </c>
    </row>
    <row r="3148" spans="1:3" x14ac:dyDescent="0.3">
      <c r="A3148" t="s">
        <v>3147</v>
      </c>
      <c r="B3148">
        <f>0*(1-0.8198)</f>
        <v>0</v>
      </c>
      <c r="C3148" s="1">
        <v>2.819</v>
      </c>
    </row>
    <row r="3149" spans="1:3" x14ac:dyDescent="0.3">
      <c r="A3149" t="s">
        <v>3148</v>
      </c>
      <c r="B3149">
        <f>0*(1-0.8198)</f>
        <v>0</v>
      </c>
      <c r="C3149" s="1">
        <v>2.819</v>
      </c>
    </row>
    <row r="3150" spans="1:3" x14ac:dyDescent="0.3">
      <c r="A3150" t="s">
        <v>3149</v>
      </c>
      <c r="B3150">
        <f>0*(1-0.8198)</f>
        <v>0</v>
      </c>
      <c r="C3150" s="1">
        <v>2.819</v>
      </c>
    </row>
    <row r="3151" spans="1:3" x14ac:dyDescent="0.3">
      <c r="A3151" t="s">
        <v>3150</v>
      </c>
      <c r="B3151">
        <f>0.81528*(1-0.8198)</f>
        <v>0.14691345600000003</v>
      </c>
      <c r="C3151" s="1">
        <v>2.819</v>
      </c>
    </row>
    <row r="3152" spans="1:3" x14ac:dyDescent="0.3">
      <c r="A3152" t="s">
        <v>3151</v>
      </c>
      <c r="B3152">
        <f>9.93627199285714*(1-0.8198)</f>
        <v>1.7905162131128576</v>
      </c>
      <c r="C3152" s="1">
        <v>2.819</v>
      </c>
    </row>
    <row r="3153" spans="1:3" x14ac:dyDescent="0.3">
      <c r="A3153" t="s">
        <v>3152</v>
      </c>
      <c r="B3153">
        <f>24.9672420357143*(1-0.8198)</f>
        <v>4.4990970148357157</v>
      </c>
      <c r="C3153" s="1">
        <v>2.819</v>
      </c>
    </row>
    <row r="3154" spans="1:3" x14ac:dyDescent="0.3">
      <c r="A3154" t="s">
        <v>3153</v>
      </c>
      <c r="B3154">
        <f>33.7939475571429*(1-0.8198)</f>
        <v>6.0896693497971421</v>
      </c>
      <c r="C3154" s="1">
        <v>2.819</v>
      </c>
    </row>
    <row r="3155" spans="1:3" x14ac:dyDescent="0.3">
      <c r="A3155" t="s">
        <v>3154</v>
      </c>
      <c r="B3155">
        <f>38.14968729*(1-0.8198)</f>
        <v>6.8745736496580019</v>
      </c>
      <c r="C3155" s="1">
        <v>2.819</v>
      </c>
    </row>
    <row r="3156" spans="1:3" x14ac:dyDescent="0.3">
      <c r="A3156" t="s">
        <v>3155</v>
      </c>
      <c r="B3156">
        <f>32.4728772928571*(1-0.8198)</f>
        <v>5.851612488172858</v>
      </c>
      <c r="C3156" s="1">
        <v>2.819</v>
      </c>
    </row>
    <row r="3157" spans="1:3" x14ac:dyDescent="0.3">
      <c r="A3157" t="s">
        <v>3156</v>
      </c>
      <c r="B3157">
        <f>59.5572119814286*(1-0.8198)</f>
        <v>10.73220959905343</v>
      </c>
      <c r="C3157" s="1">
        <v>2.819</v>
      </c>
    </row>
    <row r="3158" spans="1:3" x14ac:dyDescent="0.3">
      <c r="A3158" t="s">
        <v>3157</v>
      </c>
      <c r="B3158">
        <f>30.5630625771429*(1-0.8198)</f>
        <v>5.5074638764011441</v>
      </c>
      <c r="C3158" s="1">
        <v>2.819</v>
      </c>
    </row>
    <row r="3159" spans="1:3" x14ac:dyDescent="0.3">
      <c r="A3159" t="s">
        <v>3158</v>
      </c>
      <c r="B3159">
        <f>11.7734*(1-0.8198)</f>
        <v>2.1215666800000008</v>
      </c>
      <c r="C3159" s="1">
        <v>2.819</v>
      </c>
    </row>
    <row r="3160" spans="1:3" x14ac:dyDescent="0.3">
      <c r="A3160" t="s">
        <v>3159</v>
      </c>
      <c r="B3160">
        <f>6.27714*(1-0.8198)</f>
        <v>1.1311406279999998</v>
      </c>
      <c r="C3160" s="1">
        <v>2.819</v>
      </c>
    </row>
    <row r="3161" spans="1:3" x14ac:dyDescent="0.3">
      <c r="A3161" t="s">
        <v>3160</v>
      </c>
      <c r="B3161">
        <f>13.7491167614286*(1-0.8198)</f>
        <v>2.4775908404094293</v>
      </c>
      <c r="C3161" s="1">
        <v>2.819</v>
      </c>
    </row>
    <row r="3162" spans="1:3" x14ac:dyDescent="0.3">
      <c r="A3162" t="s">
        <v>3161</v>
      </c>
      <c r="B3162">
        <f>4.87878*(1-0.8198)</f>
        <v>0.87915615600000008</v>
      </c>
      <c r="C3162" s="1">
        <v>2.819</v>
      </c>
    </row>
    <row r="3163" spans="1:3" x14ac:dyDescent="0.3">
      <c r="A3163" t="s">
        <v>3162</v>
      </c>
      <c r="B3163">
        <f>10.8224982457143*(1-0.8198)</f>
        <v>1.9502141838777143</v>
      </c>
      <c r="C3163" s="1">
        <v>2.819</v>
      </c>
    </row>
    <row r="3164" spans="1:3" x14ac:dyDescent="0.3">
      <c r="A3164" t="s">
        <v>3163</v>
      </c>
      <c r="B3164">
        <f>4.13656431*(1-0.8198)</f>
        <v>0.74540888866200028</v>
      </c>
      <c r="C3164" s="1">
        <v>2.819</v>
      </c>
    </row>
    <row r="3165" spans="1:3" x14ac:dyDescent="0.3">
      <c r="A3165" t="s">
        <v>3164</v>
      </c>
      <c r="B3165">
        <f>0*(1-0.8198)</f>
        <v>0</v>
      </c>
      <c r="C3165" s="1">
        <v>2.819</v>
      </c>
    </row>
    <row r="3166" spans="1:3" x14ac:dyDescent="0.3">
      <c r="A3166" t="s">
        <v>3165</v>
      </c>
      <c r="B3166">
        <f>0*(1-0.8198)</f>
        <v>0</v>
      </c>
      <c r="C3166" s="1">
        <v>2.819</v>
      </c>
    </row>
    <row r="3167" spans="1:3" x14ac:dyDescent="0.3">
      <c r="A3167" t="s">
        <v>3166</v>
      </c>
      <c r="B3167">
        <f>0*(1-0.8198)</f>
        <v>0</v>
      </c>
      <c r="C3167" s="1">
        <v>2.819</v>
      </c>
    </row>
    <row r="3168" spans="1:3" x14ac:dyDescent="0.3">
      <c r="A3168" t="s">
        <v>3167</v>
      </c>
      <c r="B3168">
        <f>0*(1-0.8198)</f>
        <v>0</v>
      </c>
      <c r="C3168" s="1">
        <v>2.819</v>
      </c>
    </row>
    <row r="3169" spans="1:3" x14ac:dyDescent="0.3">
      <c r="A3169" t="s">
        <v>3168</v>
      </c>
      <c r="B3169">
        <f>0*(1-0.8198)</f>
        <v>0</v>
      </c>
      <c r="C3169" s="1">
        <v>2.819</v>
      </c>
    </row>
    <row r="3170" spans="1:3" x14ac:dyDescent="0.3">
      <c r="A3170" t="s">
        <v>3169</v>
      </c>
      <c r="B3170">
        <f>0*(1-0.8198)</f>
        <v>0</v>
      </c>
      <c r="C3170" s="1">
        <v>2.819</v>
      </c>
    </row>
    <row r="3171" spans="1:3" x14ac:dyDescent="0.3">
      <c r="A3171" t="s">
        <v>3170</v>
      </c>
      <c r="B3171">
        <f>0*(1-0.8198)</f>
        <v>0</v>
      </c>
      <c r="C3171" s="1">
        <v>2.819</v>
      </c>
    </row>
    <row r="3172" spans="1:3" x14ac:dyDescent="0.3">
      <c r="A3172" t="s">
        <v>3171</v>
      </c>
      <c r="B3172">
        <f>0*(1-0.8198)</f>
        <v>0</v>
      </c>
      <c r="C3172" s="1">
        <v>2.819</v>
      </c>
    </row>
    <row r="3173" spans="1:3" x14ac:dyDescent="0.3">
      <c r="A3173" t="s">
        <v>3172</v>
      </c>
      <c r="B3173">
        <f>0*(1-0.8198)</f>
        <v>0</v>
      </c>
      <c r="C3173" s="1">
        <v>2.819</v>
      </c>
    </row>
    <row r="3174" spans="1:3" x14ac:dyDescent="0.3">
      <c r="A3174" t="s">
        <v>3173</v>
      </c>
      <c r="B3174">
        <f>0*(1-0.8198)</f>
        <v>0</v>
      </c>
      <c r="C3174" s="1">
        <v>2.819</v>
      </c>
    </row>
    <row r="3175" spans="1:3" x14ac:dyDescent="0.3">
      <c r="A3175" t="s">
        <v>3174</v>
      </c>
      <c r="B3175">
        <f>0.49536*(1-0.8198)</f>
        <v>8.9263872000000022E-2</v>
      </c>
      <c r="C3175" s="1">
        <v>2.819</v>
      </c>
    </row>
    <row r="3176" spans="1:3" x14ac:dyDescent="0.3">
      <c r="A3176" t="s">
        <v>3175</v>
      </c>
      <c r="B3176">
        <f>3.55954*(1-0.8198)</f>
        <v>0.6414291080000003</v>
      </c>
      <c r="C3176" s="1">
        <v>2.819</v>
      </c>
    </row>
    <row r="3177" spans="1:3" x14ac:dyDescent="0.3">
      <c r="A3177" t="s">
        <v>3176</v>
      </c>
      <c r="B3177">
        <f>15.4660348285714*(1-0.8198)</f>
        <v>2.7869794761085722</v>
      </c>
      <c r="C3177" s="1">
        <v>8.0709999999999997</v>
      </c>
    </row>
    <row r="3178" spans="1:3" x14ac:dyDescent="0.3">
      <c r="A3178" t="s">
        <v>3177</v>
      </c>
      <c r="B3178">
        <f>41.4555890871429*(1-0.8198)</f>
        <v>7.4702971535031448</v>
      </c>
      <c r="C3178" s="1">
        <v>9.9339999999999993</v>
      </c>
    </row>
    <row r="3179" spans="1:3" x14ac:dyDescent="0.3">
      <c r="A3179" t="s">
        <v>3178</v>
      </c>
      <c r="B3179">
        <f>23.2812187314286*(1-0.8198)</f>
        <v>4.1952756154034292</v>
      </c>
      <c r="C3179" s="1">
        <v>9.9339999999999993</v>
      </c>
    </row>
    <row r="3180" spans="1:3" x14ac:dyDescent="0.3">
      <c r="A3180" t="s">
        <v>3179</v>
      </c>
      <c r="B3180">
        <f>39.30960326*(1-0.8198)</f>
        <v>7.0835905074520014</v>
      </c>
      <c r="C3180" s="1">
        <v>9.9339999999999993</v>
      </c>
    </row>
    <row r="3181" spans="1:3" x14ac:dyDescent="0.3">
      <c r="A3181" t="s">
        <v>3180</v>
      </c>
      <c r="B3181">
        <f>46.9529221828572*(1-0.8198)</f>
        <v>8.4609165773508597</v>
      </c>
      <c r="C3181" s="1">
        <v>9.9339999999999993</v>
      </c>
    </row>
    <row r="3182" spans="1:3" x14ac:dyDescent="0.3">
      <c r="A3182" t="s">
        <v>3181</v>
      </c>
      <c r="B3182">
        <f>34.7218779128571*(1-0.8198)</f>
        <v>6.2568823998968588</v>
      </c>
      <c r="C3182" s="1">
        <v>9.9339999999999993</v>
      </c>
    </row>
    <row r="3183" spans="1:3" x14ac:dyDescent="0.3">
      <c r="A3183" t="s">
        <v>3182</v>
      </c>
      <c r="B3183">
        <f>34.8571634685714*(1-0.8198)</f>
        <v>6.2812608570365738</v>
      </c>
      <c r="C3183" s="1">
        <v>8.0709999999999997</v>
      </c>
    </row>
    <row r="3184" spans="1:3" x14ac:dyDescent="0.3">
      <c r="A3184" t="s">
        <v>3183</v>
      </c>
      <c r="B3184">
        <f>32.9315378985714*(1-0.8198)</f>
        <v>5.9342631293225736</v>
      </c>
      <c r="C3184" s="1">
        <v>8.0709999999999997</v>
      </c>
    </row>
    <row r="3185" spans="1:3" x14ac:dyDescent="0.3">
      <c r="A3185" t="s">
        <v>3184</v>
      </c>
      <c r="B3185">
        <f>15.5213526085714*(1-0.8198)</f>
        <v>2.7969477400645717</v>
      </c>
      <c r="C3185" s="1">
        <v>8.0709999999999997</v>
      </c>
    </row>
    <row r="3186" spans="1:3" x14ac:dyDescent="0.3">
      <c r="A3186" t="s">
        <v>3185</v>
      </c>
      <c r="B3186">
        <f>7.6239*(1-0.8198)</f>
        <v>1.3738267800000004</v>
      </c>
      <c r="C3186" s="1">
        <v>8.0709999999999997</v>
      </c>
    </row>
    <row r="3187" spans="1:3" x14ac:dyDescent="0.3">
      <c r="A3187" t="s">
        <v>3186</v>
      </c>
      <c r="B3187">
        <f>11.9188334328571*(1-0.8198)</f>
        <v>2.1477737846008575</v>
      </c>
      <c r="C3187" s="1">
        <v>9.9339999999999993</v>
      </c>
    </row>
    <row r="3188" spans="1:3" x14ac:dyDescent="0.3">
      <c r="A3188" t="s">
        <v>3187</v>
      </c>
      <c r="B3188">
        <f>1.56436782714286*(1-0.8198)</f>
        <v>0.28189908245114287</v>
      </c>
      <c r="C3188" s="1">
        <v>9.9339999999999993</v>
      </c>
    </row>
    <row r="3189" spans="1:3" x14ac:dyDescent="0.3">
      <c r="A3189" t="s">
        <v>3188</v>
      </c>
      <c r="B3189">
        <f>0*(1-0.8198)</f>
        <v>0</v>
      </c>
      <c r="C3189" s="1">
        <v>9.9339999999999993</v>
      </c>
    </row>
    <row r="3190" spans="1:3" x14ac:dyDescent="0.3">
      <c r="A3190" t="s">
        <v>3189</v>
      </c>
      <c r="B3190">
        <f>0*(1-0.8198)</f>
        <v>0</v>
      </c>
      <c r="C3190" s="1">
        <v>9.9339999999999993</v>
      </c>
    </row>
    <row r="3191" spans="1:3" x14ac:dyDescent="0.3">
      <c r="A3191" t="s">
        <v>3190</v>
      </c>
      <c r="B3191">
        <f>0*(1-0.8198)</f>
        <v>0</v>
      </c>
      <c r="C3191" s="1">
        <v>8.0709999999999997</v>
      </c>
    </row>
    <row r="3192" spans="1:3" x14ac:dyDescent="0.3">
      <c r="A3192" t="s">
        <v>3191</v>
      </c>
      <c r="B3192">
        <f>0*(1-0.8198)</f>
        <v>0</v>
      </c>
      <c r="C3192" s="1">
        <v>8.0709999999999997</v>
      </c>
    </row>
    <row r="3193" spans="1:3" x14ac:dyDescent="0.3">
      <c r="A3193" t="s">
        <v>3192</v>
      </c>
      <c r="B3193">
        <f>0*(1-0.8198)</f>
        <v>0</v>
      </c>
      <c r="C3193" s="1">
        <v>2.819</v>
      </c>
    </row>
    <row r="3194" spans="1:3" x14ac:dyDescent="0.3">
      <c r="A3194" t="s">
        <v>3193</v>
      </c>
      <c r="B3194">
        <f>0*(1-0.8198)</f>
        <v>0</v>
      </c>
      <c r="C3194" s="1">
        <v>2.819</v>
      </c>
    </row>
    <row r="3195" spans="1:3" x14ac:dyDescent="0.3">
      <c r="A3195" t="s">
        <v>3194</v>
      </c>
      <c r="B3195">
        <f>0*(1-0.8198)</f>
        <v>0</v>
      </c>
      <c r="C3195" s="1">
        <v>2.819</v>
      </c>
    </row>
    <row r="3196" spans="1:3" x14ac:dyDescent="0.3">
      <c r="A3196" t="s">
        <v>3195</v>
      </c>
      <c r="B3196">
        <f>0*(1-0.8198)</f>
        <v>0</v>
      </c>
      <c r="C3196" s="1">
        <v>2.819</v>
      </c>
    </row>
    <row r="3197" spans="1:3" x14ac:dyDescent="0.3">
      <c r="A3197" t="s">
        <v>3196</v>
      </c>
      <c r="B3197">
        <f>0*(1-0.8198)</f>
        <v>0</v>
      </c>
      <c r="C3197" s="1">
        <v>2.819</v>
      </c>
    </row>
    <row r="3198" spans="1:3" x14ac:dyDescent="0.3">
      <c r="A3198" t="s">
        <v>3197</v>
      </c>
      <c r="B3198">
        <f>0*(1-0.8198)</f>
        <v>0</v>
      </c>
      <c r="C3198" s="1">
        <v>2.819</v>
      </c>
    </row>
    <row r="3199" spans="1:3" x14ac:dyDescent="0.3">
      <c r="A3199" t="s">
        <v>3198</v>
      </c>
      <c r="B3199">
        <f>2.41552020857143*(1-0.8198)</f>
        <v>0.43527674158457147</v>
      </c>
      <c r="C3199" s="1">
        <v>2.819</v>
      </c>
    </row>
    <row r="3200" spans="1:3" x14ac:dyDescent="0.3">
      <c r="A3200" t="s">
        <v>3199</v>
      </c>
      <c r="B3200">
        <f>15.6167304171429*(1-0.8198)</f>
        <v>2.8141348211691435</v>
      </c>
      <c r="C3200" s="1">
        <v>2.819</v>
      </c>
    </row>
    <row r="3201" spans="1:3" x14ac:dyDescent="0.3">
      <c r="A3201" t="s">
        <v>3200</v>
      </c>
      <c r="B3201">
        <f>30.1381618242857*(1-0.8198)</f>
        <v>5.4308967607362879</v>
      </c>
      <c r="C3201" s="1">
        <v>8.0709999999999997</v>
      </c>
    </row>
    <row r="3202" spans="1:3" x14ac:dyDescent="0.3">
      <c r="A3202" t="s">
        <v>3201</v>
      </c>
      <c r="B3202">
        <f>43.5935122914286*(1-0.8198)</f>
        <v>7.8555509149154306</v>
      </c>
      <c r="C3202" s="1">
        <v>9.9339999999999993</v>
      </c>
    </row>
    <row r="3203" spans="1:3" x14ac:dyDescent="0.3">
      <c r="A3203" t="s">
        <v>3202</v>
      </c>
      <c r="B3203">
        <f>53.1416679428572*(1-0.8198)</f>
        <v>9.576128563302861</v>
      </c>
      <c r="C3203" s="1">
        <v>9.9339999999999993</v>
      </c>
    </row>
    <row r="3204" spans="1:3" x14ac:dyDescent="0.3">
      <c r="A3204" t="s">
        <v>3203</v>
      </c>
      <c r="B3204">
        <f>60.7450313271429*(1-0.8198)</f>
        <v>10.946254645151146</v>
      </c>
      <c r="C3204" s="1">
        <v>9.9339999999999993</v>
      </c>
    </row>
    <row r="3205" spans="1:3" x14ac:dyDescent="0.3">
      <c r="A3205" t="s">
        <v>3204</v>
      </c>
      <c r="B3205">
        <f>61.4285714285714*(1-0.8198)</f>
        <v>11.069428571428574</v>
      </c>
      <c r="C3205" s="1">
        <v>9.9339999999999993</v>
      </c>
    </row>
    <row r="3206" spans="1:3" x14ac:dyDescent="0.3">
      <c r="A3206" t="s">
        <v>3205</v>
      </c>
      <c r="B3206">
        <f>61.4285714285714*(1-0.8198)</f>
        <v>11.069428571428574</v>
      </c>
      <c r="C3206" s="1">
        <v>9.9339999999999993</v>
      </c>
    </row>
    <row r="3207" spans="1:3" x14ac:dyDescent="0.3">
      <c r="A3207" t="s">
        <v>3206</v>
      </c>
      <c r="B3207">
        <f>15.46022*(1-0.8198)</f>
        <v>2.7859316440000006</v>
      </c>
      <c r="C3207" s="1">
        <v>8.0709999999999997</v>
      </c>
    </row>
    <row r="3208" spans="1:3" x14ac:dyDescent="0.3">
      <c r="A3208" t="s">
        <v>3207</v>
      </c>
      <c r="B3208">
        <f>29.7071165557143*(1-0.8198)</f>
        <v>5.353222403339716</v>
      </c>
      <c r="C3208" s="1">
        <v>8.0709999999999997</v>
      </c>
    </row>
    <row r="3209" spans="1:3" x14ac:dyDescent="0.3">
      <c r="A3209" t="s">
        <v>3208</v>
      </c>
      <c r="B3209">
        <f>43.2689763642857*(1-0.8198)</f>
        <v>7.7970695408442854</v>
      </c>
      <c r="C3209" s="1">
        <v>8.0709999999999997</v>
      </c>
    </row>
    <row r="3210" spans="1:3" x14ac:dyDescent="0.3">
      <c r="A3210" t="s">
        <v>3209</v>
      </c>
      <c r="B3210">
        <f>4.55026*(1-0.8198)</f>
        <v>0.81995685200000012</v>
      </c>
      <c r="C3210" s="1">
        <v>8.0709999999999997</v>
      </c>
    </row>
    <row r="3211" spans="1:3" x14ac:dyDescent="0.3">
      <c r="A3211" t="s">
        <v>3210</v>
      </c>
      <c r="B3211">
        <f>8.44844091*(1-0.8198)</f>
        <v>1.5224090519820006</v>
      </c>
      <c r="C3211" s="1">
        <v>9.9339999999999993</v>
      </c>
    </row>
    <row r="3212" spans="1:3" x14ac:dyDescent="0.3">
      <c r="A3212" t="s">
        <v>3211</v>
      </c>
      <c r="B3212">
        <f>3.78585766142857*(1-0.8198)</f>
        <v>0.68221155058942862</v>
      </c>
      <c r="C3212" s="1">
        <v>9.9339999999999993</v>
      </c>
    </row>
    <row r="3213" spans="1:3" x14ac:dyDescent="0.3">
      <c r="A3213" t="s">
        <v>3212</v>
      </c>
      <c r="B3213">
        <f>0*(1-0.8198)</f>
        <v>0</v>
      </c>
      <c r="C3213" s="1">
        <v>9.9339999999999993</v>
      </c>
    </row>
    <row r="3214" spans="1:3" x14ac:dyDescent="0.3">
      <c r="A3214" t="s">
        <v>3213</v>
      </c>
      <c r="B3214">
        <f>0*(1-0.8198)</f>
        <v>0</v>
      </c>
      <c r="C3214" s="1">
        <v>9.9339999999999993</v>
      </c>
    </row>
    <row r="3215" spans="1:3" x14ac:dyDescent="0.3">
      <c r="A3215" t="s">
        <v>3214</v>
      </c>
      <c r="B3215">
        <f>0*(1-0.8198)</f>
        <v>0</v>
      </c>
      <c r="C3215" s="1">
        <v>8.0709999999999997</v>
      </c>
    </row>
    <row r="3216" spans="1:3" x14ac:dyDescent="0.3">
      <c r="A3216" t="s">
        <v>3215</v>
      </c>
      <c r="B3216">
        <f>0*(1-0.8198)</f>
        <v>0</v>
      </c>
      <c r="C3216" s="1">
        <v>8.0709999999999997</v>
      </c>
    </row>
    <row r="3217" spans="1:3" x14ac:dyDescent="0.3">
      <c r="A3217" t="s">
        <v>3216</v>
      </c>
      <c r="B3217">
        <f>0*(1-0.8198)</f>
        <v>0</v>
      </c>
      <c r="C3217" s="1">
        <v>2.819</v>
      </c>
    </row>
    <row r="3218" spans="1:3" x14ac:dyDescent="0.3">
      <c r="A3218" t="s">
        <v>3217</v>
      </c>
      <c r="B3218">
        <f>0*(1-0.8198)</f>
        <v>0</v>
      </c>
      <c r="C3218" s="1">
        <v>2.819</v>
      </c>
    </row>
    <row r="3219" spans="1:3" x14ac:dyDescent="0.3">
      <c r="A3219" t="s">
        <v>3218</v>
      </c>
      <c r="B3219">
        <f>0*(1-0.8198)</f>
        <v>0</v>
      </c>
      <c r="C3219" s="1">
        <v>2.819</v>
      </c>
    </row>
    <row r="3220" spans="1:3" x14ac:dyDescent="0.3">
      <c r="A3220" t="s">
        <v>3219</v>
      </c>
      <c r="B3220">
        <f>0*(1-0.8198)</f>
        <v>0</v>
      </c>
      <c r="C3220" s="1">
        <v>2.819</v>
      </c>
    </row>
    <row r="3221" spans="1:3" x14ac:dyDescent="0.3">
      <c r="A3221" t="s">
        <v>3220</v>
      </c>
      <c r="B3221">
        <f>0*(1-0.8198)</f>
        <v>0</v>
      </c>
      <c r="C3221" s="1">
        <v>2.819</v>
      </c>
    </row>
    <row r="3222" spans="1:3" x14ac:dyDescent="0.3">
      <c r="A3222" t="s">
        <v>3221</v>
      </c>
      <c r="B3222">
        <f>0*(1-0.8198)</f>
        <v>0</v>
      </c>
      <c r="C3222" s="1">
        <v>2.819</v>
      </c>
    </row>
    <row r="3223" spans="1:3" x14ac:dyDescent="0.3">
      <c r="A3223" t="s">
        <v>3222</v>
      </c>
      <c r="B3223">
        <f>1.66738839428571*(1-0.8198)</f>
        <v>0.30046338865028582</v>
      </c>
      <c r="C3223" s="1">
        <v>2.819</v>
      </c>
    </row>
    <row r="3224" spans="1:3" x14ac:dyDescent="0.3">
      <c r="A3224" t="s">
        <v>3223</v>
      </c>
      <c r="B3224">
        <f>15.4596361214286*(1-0.8198)</f>
        <v>2.7858264290814292</v>
      </c>
      <c r="C3224" s="1">
        <v>2.819</v>
      </c>
    </row>
    <row r="3225" spans="1:3" x14ac:dyDescent="0.3">
      <c r="A3225" t="s">
        <v>3224</v>
      </c>
      <c r="B3225">
        <f>30.1598255928571*(1-0.8198)</f>
        <v>5.4348005718328576</v>
      </c>
      <c r="C3225" s="1">
        <v>8.0709999999999997</v>
      </c>
    </row>
    <row r="3226" spans="1:3" x14ac:dyDescent="0.3">
      <c r="A3226" t="s">
        <v>3225</v>
      </c>
      <c r="B3226">
        <f>43.3296701885714*(1-0.8198)</f>
        <v>7.8080065679805752</v>
      </c>
      <c r="C3226" s="1">
        <v>9.9339999999999993</v>
      </c>
    </row>
    <row r="3227" spans="1:3" x14ac:dyDescent="0.3">
      <c r="A3227" t="s">
        <v>3226</v>
      </c>
      <c r="B3227">
        <f>53.2081216171429*(1-0.8198)</f>
        <v>9.5881035154091432</v>
      </c>
      <c r="C3227" s="1">
        <v>9.9339999999999993</v>
      </c>
    </row>
    <row r="3228" spans="1:3" x14ac:dyDescent="0.3">
      <c r="A3228" t="s">
        <v>3227</v>
      </c>
      <c r="B3228">
        <f>58.2722934142857*(1-0.8198)</f>
        <v>10.500667273254289</v>
      </c>
      <c r="C3228" s="1">
        <v>9.9339999999999993</v>
      </c>
    </row>
    <row r="3229" spans="1:3" x14ac:dyDescent="0.3">
      <c r="A3229" t="s">
        <v>3228</v>
      </c>
      <c r="B3229">
        <f>61.4285714285714*(1-0.8198)</f>
        <v>11.069428571428574</v>
      </c>
      <c r="C3229" s="1">
        <v>9.9339999999999993</v>
      </c>
    </row>
    <row r="3230" spans="1:3" x14ac:dyDescent="0.3">
      <c r="A3230" t="s">
        <v>3229</v>
      </c>
      <c r="B3230">
        <f>61.4285714285714*(1-0.8198)</f>
        <v>11.069428571428574</v>
      </c>
      <c r="C3230" s="1">
        <v>9.9339999999999993</v>
      </c>
    </row>
    <row r="3231" spans="1:3" x14ac:dyDescent="0.3">
      <c r="A3231" t="s">
        <v>3230</v>
      </c>
      <c r="B3231">
        <f>47.2043412785714*(1-0.8198)</f>
        <v>8.5062222983985727</v>
      </c>
      <c r="C3231" s="1">
        <v>8.0709999999999997</v>
      </c>
    </row>
    <row r="3232" spans="1:3" x14ac:dyDescent="0.3">
      <c r="A3232" t="s">
        <v>3231</v>
      </c>
      <c r="B3232">
        <f>25.5087970585714*(1-0.8198)</f>
        <v>4.5966852299545735</v>
      </c>
      <c r="C3232" s="1">
        <v>8.0709999999999997</v>
      </c>
    </row>
    <row r="3233" spans="1:3" x14ac:dyDescent="0.3">
      <c r="A3233" t="s">
        <v>3232</v>
      </c>
      <c r="B3233">
        <f>4.41266*(1-0.8198)</f>
        <v>0.79516133200000005</v>
      </c>
      <c r="C3233" s="1">
        <v>8.0709999999999997</v>
      </c>
    </row>
    <row r="3234" spans="1:3" x14ac:dyDescent="0.3">
      <c r="A3234" t="s">
        <v>3233</v>
      </c>
      <c r="B3234">
        <f>7.83976*(1-0.8198)</f>
        <v>1.4127247520000001</v>
      </c>
      <c r="C3234" s="1">
        <v>8.0709999999999997</v>
      </c>
    </row>
    <row r="3235" spans="1:3" x14ac:dyDescent="0.3">
      <c r="A3235" t="s">
        <v>3234</v>
      </c>
      <c r="B3235">
        <f>7.16080314571429*(1-0.8198)</f>
        <v>1.2903767268577147</v>
      </c>
      <c r="C3235" s="1">
        <v>9.9339999999999993</v>
      </c>
    </row>
    <row r="3236" spans="1:3" x14ac:dyDescent="0.3">
      <c r="A3236" t="s">
        <v>3235</v>
      </c>
      <c r="B3236">
        <f>1.42770406*(1-0.8198)</f>
        <v>0.25727227161200011</v>
      </c>
      <c r="C3236" s="1">
        <v>9.9339999999999993</v>
      </c>
    </row>
    <row r="3237" spans="1:3" x14ac:dyDescent="0.3">
      <c r="A3237" t="s">
        <v>3236</v>
      </c>
      <c r="B3237">
        <f>0*(1-0.8198)</f>
        <v>0</v>
      </c>
      <c r="C3237" s="1">
        <v>9.9339999999999993</v>
      </c>
    </row>
    <row r="3238" spans="1:3" x14ac:dyDescent="0.3">
      <c r="A3238" t="s">
        <v>3237</v>
      </c>
      <c r="B3238">
        <f>0*(1-0.8198)</f>
        <v>0</v>
      </c>
      <c r="C3238" s="1">
        <v>9.9339999999999993</v>
      </c>
    </row>
    <row r="3239" spans="1:3" x14ac:dyDescent="0.3">
      <c r="A3239" t="s">
        <v>3238</v>
      </c>
      <c r="B3239">
        <f>0*(1-0.8198)</f>
        <v>0</v>
      </c>
      <c r="C3239" s="1">
        <v>8.0709999999999997</v>
      </c>
    </row>
    <row r="3240" spans="1:3" x14ac:dyDescent="0.3">
      <c r="A3240" t="s">
        <v>3239</v>
      </c>
      <c r="B3240">
        <f>0*(1-0.8198)</f>
        <v>0</v>
      </c>
      <c r="C3240" s="1">
        <v>8.0709999999999997</v>
      </c>
    </row>
    <row r="3241" spans="1:3" x14ac:dyDescent="0.3">
      <c r="A3241" t="s">
        <v>3240</v>
      </c>
      <c r="B3241">
        <f>0*(1-0.8198)</f>
        <v>0</v>
      </c>
      <c r="C3241" s="1">
        <v>2.819</v>
      </c>
    </row>
    <row r="3242" spans="1:3" x14ac:dyDescent="0.3">
      <c r="A3242" t="s">
        <v>3241</v>
      </c>
      <c r="B3242">
        <f>0*(1-0.8198)</f>
        <v>0</v>
      </c>
      <c r="C3242" s="1">
        <v>2.819</v>
      </c>
    </row>
    <row r="3243" spans="1:3" x14ac:dyDescent="0.3">
      <c r="A3243" t="s">
        <v>3242</v>
      </c>
      <c r="B3243">
        <f>0*(1-0.8198)</f>
        <v>0</v>
      </c>
      <c r="C3243" s="1">
        <v>2.819</v>
      </c>
    </row>
    <row r="3244" spans="1:3" x14ac:dyDescent="0.3">
      <c r="A3244" t="s">
        <v>3243</v>
      </c>
      <c r="B3244">
        <f>0*(1-0.8198)</f>
        <v>0</v>
      </c>
      <c r="C3244" s="1">
        <v>2.819</v>
      </c>
    </row>
    <row r="3245" spans="1:3" x14ac:dyDescent="0.3">
      <c r="A3245" t="s">
        <v>3244</v>
      </c>
      <c r="B3245">
        <f>0*(1-0.8198)</f>
        <v>0</v>
      </c>
      <c r="C3245" s="1">
        <v>2.819</v>
      </c>
    </row>
    <row r="3246" spans="1:3" x14ac:dyDescent="0.3">
      <c r="A3246" t="s">
        <v>3245</v>
      </c>
      <c r="B3246">
        <f>0*(1-0.8198)</f>
        <v>0</v>
      </c>
      <c r="C3246" s="1">
        <v>2.819</v>
      </c>
    </row>
    <row r="3247" spans="1:3" x14ac:dyDescent="0.3">
      <c r="A3247" t="s">
        <v>3246</v>
      </c>
      <c r="B3247">
        <f>0.00845545857142857*(1-0.8198)</f>
        <v>1.523673634571429E-3</v>
      </c>
      <c r="C3247" s="1">
        <v>2.819</v>
      </c>
    </row>
    <row r="3248" spans="1:3" x14ac:dyDescent="0.3">
      <c r="A3248" t="s">
        <v>3247</v>
      </c>
      <c r="B3248">
        <f>14.96952593*(1-0.8198)</f>
        <v>2.6975085725860004</v>
      </c>
      <c r="C3248" s="1">
        <v>2.819</v>
      </c>
    </row>
    <row r="3249" spans="1:3" x14ac:dyDescent="0.3">
      <c r="A3249" t="s">
        <v>3248</v>
      </c>
      <c r="B3249">
        <f>29.6818927557143*(1-0.8198)</f>
        <v>5.3486770745797143</v>
      </c>
      <c r="C3249" s="1">
        <v>8.0709999999999997</v>
      </c>
    </row>
    <row r="3250" spans="1:3" x14ac:dyDescent="0.3">
      <c r="A3250" t="s">
        <v>3249</v>
      </c>
      <c r="B3250">
        <f>43.9007289857143*(1-0.8198)</f>
        <v>7.9109113632257149</v>
      </c>
      <c r="C3250" s="1">
        <v>9.9339999999999993</v>
      </c>
    </row>
    <row r="3251" spans="1:3" x14ac:dyDescent="0.3">
      <c r="A3251" t="s">
        <v>3250</v>
      </c>
      <c r="B3251">
        <f>53.7811702085714*(1-0.8198)</f>
        <v>9.6913668715845738</v>
      </c>
      <c r="C3251" s="1">
        <v>9.9339999999999993</v>
      </c>
    </row>
    <row r="3252" spans="1:3" x14ac:dyDescent="0.3">
      <c r="A3252" t="s">
        <v>3251</v>
      </c>
      <c r="B3252">
        <f>61.4285714285714*(1-0.8198)</f>
        <v>11.069428571428574</v>
      </c>
      <c r="C3252" s="1">
        <v>9.9339999999999993</v>
      </c>
    </row>
    <row r="3253" spans="1:3" x14ac:dyDescent="0.3">
      <c r="A3253" t="s">
        <v>3252</v>
      </c>
      <c r="B3253">
        <f>61.4285714285714*(1-0.8198)</f>
        <v>11.069428571428574</v>
      </c>
      <c r="C3253" s="1">
        <v>9.9339999999999993</v>
      </c>
    </row>
    <row r="3254" spans="1:3" x14ac:dyDescent="0.3">
      <c r="A3254" t="s">
        <v>3253</v>
      </c>
      <c r="B3254">
        <f>61.4285714285714*(1-0.8198)</f>
        <v>11.069428571428574</v>
      </c>
      <c r="C3254" s="1">
        <v>9.9339999999999993</v>
      </c>
    </row>
    <row r="3255" spans="1:3" x14ac:dyDescent="0.3">
      <c r="A3255" t="s">
        <v>3254</v>
      </c>
      <c r="B3255">
        <f>51.3739720357143*(1-0.8198)</f>
        <v>9.2575897608357156</v>
      </c>
      <c r="C3255" s="1">
        <v>8.0709999999999997</v>
      </c>
    </row>
    <row r="3256" spans="1:3" x14ac:dyDescent="0.3">
      <c r="A3256" t="s">
        <v>3255</v>
      </c>
      <c r="B3256">
        <f>5.11872*(1-0.8198)</f>
        <v>0.92239334400000028</v>
      </c>
      <c r="C3256" s="1">
        <v>8.0709999999999997</v>
      </c>
    </row>
    <row r="3257" spans="1:3" x14ac:dyDescent="0.3">
      <c r="A3257" t="s">
        <v>3256</v>
      </c>
      <c r="B3257">
        <f>42.3158031042857*(1-0.8198)</f>
        <v>7.6253077193922882</v>
      </c>
      <c r="C3257" s="1">
        <v>8.0709999999999997</v>
      </c>
    </row>
    <row r="3258" spans="1:3" x14ac:dyDescent="0.3">
      <c r="A3258" t="s">
        <v>3257</v>
      </c>
      <c r="B3258">
        <f>25.9271284557143*(1-0.8198)</f>
        <v>4.6720685477197161</v>
      </c>
      <c r="C3258" s="1">
        <v>8.0709999999999997</v>
      </c>
    </row>
    <row r="3259" spans="1:3" x14ac:dyDescent="0.3">
      <c r="A3259" t="s">
        <v>3258</v>
      </c>
      <c r="B3259">
        <f>16.1479411757143*(1-0.8198)</f>
        <v>2.9098589998637148</v>
      </c>
      <c r="C3259" s="1">
        <v>9.9339999999999993</v>
      </c>
    </row>
    <row r="3260" spans="1:3" x14ac:dyDescent="0.3">
      <c r="A3260" t="s">
        <v>3259</v>
      </c>
      <c r="B3260">
        <f>4.42674121*(1-0.8198)</f>
        <v>0.79769876604200018</v>
      </c>
      <c r="C3260" s="1">
        <v>9.9339999999999993</v>
      </c>
    </row>
    <row r="3261" spans="1:3" x14ac:dyDescent="0.3">
      <c r="A3261" t="s">
        <v>3260</v>
      </c>
      <c r="B3261">
        <f>0*(1-0.8198)</f>
        <v>0</v>
      </c>
      <c r="C3261" s="1">
        <v>9.9339999999999993</v>
      </c>
    </row>
    <row r="3262" spans="1:3" x14ac:dyDescent="0.3">
      <c r="A3262" t="s">
        <v>3261</v>
      </c>
      <c r="B3262">
        <f>0*(1-0.8198)</f>
        <v>0</v>
      </c>
      <c r="C3262" s="1">
        <v>9.9339999999999993</v>
      </c>
    </row>
    <row r="3263" spans="1:3" x14ac:dyDescent="0.3">
      <c r="A3263" t="s">
        <v>3262</v>
      </c>
      <c r="B3263">
        <f>0*(1-0.8198)</f>
        <v>0</v>
      </c>
      <c r="C3263" s="1">
        <v>8.0709999999999997</v>
      </c>
    </row>
    <row r="3264" spans="1:3" x14ac:dyDescent="0.3">
      <c r="A3264" t="s">
        <v>3263</v>
      </c>
      <c r="B3264">
        <f>0*(1-0.8198)</f>
        <v>0</v>
      </c>
      <c r="C3264" s="1">
        <v>8.0709999999999997</v>
      </c>
    </row>
    <row r="3265" spans="1:3" x14ac:dyDescent="0.3">
      <c r="A3265" t="s">
        <v>3264</v>
      </c>
      <c r="B3265">
        <f>0*(1-0.8198)</f>
        <v>0</v>
      </c>
      <c r="C3265" s="1">
        <v>2.819</v>
      </c>
    </row>
    <row r="3266" spans="1:3" x14ac:dyDescent="0.3">
      <c r="A3266" t="s">
        <v>3265</v>
      </c>
      <c r="B3266">
        <f>0*(1-0.8198)</f>
        <v>0</v>
      </c>
      <c r="C3266" s="1">
        <v>2.819</v>
      </c>
    </row>
    <row r="3267" spans="1:3" x14ac:dyDescent="0.3">
      <c r="A3267" t="s">
        <v>3266</v>
      </c>
      <c r="B3267">
        <f>0*(1-0.8198)</f>
        <v>0</v>
      </c>
      <c r="C3267" s="1">
        <v>2.819</v>
      </c>
    </row>
    <row r="3268" spans="1:3" x14ac:dyDescent="0.3">
      <c r="A3268" t="s">
        <v>3267</v>
      </c>
      <c r="B3268">
        <f>0*(1-0.8198)</f>
        <v>0</v>
      </c>
      <c r="C3268" s="1">
        <v>2.819</v>
      </c>
    </row>
    <row r="3269" spans="1:3" x14ac:dyDescent="0.3">
      <c r="A3269" t="s">
        <v>3268</v>
      </c>
      <c r="B3269">
        <f>0*(1-0.8198)</f>
        <v>0</v>
      </c>
      <c r="C3269" s="1">
        <v>2.819</v>
      </c>
    </row>
    <row r="3270" spans="1:3" x14ac:dyDescent="0.3">
      <c r="A3270" t="s">
        <v>3269</v>
      </c>
      <c r="B3270">
        <f>0*(1-0.8198)</f>
        <v>0</v>
      </c>
      <c r="C3270" s="1">
        <v>2.819</v>
      </c>
    </row>
    <row r="3271" spans="1:3" x14ac:dyDescent="0.3">
      <c r="A3271" t="s">
        <v>3270</v>
      </c>
      <c r="B3271">
        <f>3.14299556*(1-0.8198)</f>
        <v>0.56636779991200015</v>
      </c>
      <c r="C3271" s="1">
        <v>2.819</v>
      </c>
    </row>
    <row r="3272" spans="1:3" x14ac:dyDescent="0.3">
      <c r="A3272" t="s">
        <v>3271</v>
      </c>
      <c r="B3272">
        <f>16.0506447071429*(1-0.8198)</f>
        <v>2.8923261762271433</v>
      </c>
      <c r="C3272" s="1">
        <v>2.819</v>
      </c>
    </row>
    <row r="3273" spans="1:3" x14ac:dyDescent="0.3">
      <c r="A3273" t="s">
        <v>3272</v>
      </c>
      <c r="B3273">
        <f>30.9219245442857*(1-0.8198)</f>
        <v>5.5721308028802872</v>
      </c>
      <c r="C3273" s="1">
        <v>8.0709999999999997</v>
      </c>
    </row>
    <row r="3274" spans="1:3" x14ac:dyDescent="0.3">
      <c r="A3274" t="s">
        <v>3273</v>
      </c>
      <c r="B3274">
        <f>44.45400931*(1-0.8198)</f>
        <v>8.0106124776620025</v>
      </c>
      <c r="C3274" s="1">
        <v>9.9339999999999993</v>
      </c>
    </row>
    <row r="3275" spans="1:3" x14ac:dyDescent="0.3">
      <c r="A3275" t="s">
        <v>3274</v>
      </c>
      <c r="B3275">
        <f>54.2223449871429*(1-0.8198)</f>
        <v>9.7708665666831429</v>
      </c>
      <c r="C3275" s="1">
        <v>9.9339999999999993</v>
      </c>
    </row>
    <row r="3276" spans="1:3" x14ac:dyDescent="0.3">
      <c r="A3276" t="s">
        <v>3275</v>
      </c>
      <c r="B3276">
        <f>59.6241005085714*(1-0.8198)</f>
        <v>10.744262911644574</v>
      </c>
      <c r="C3276" s="1">
        <v>9.9339999999999993</v>
      </c>
    </row>
    <row r="3277" spans="1:3" x14ac:dyDescent="0.3">
      <c r="A3277" t="s">
        <v>3276</v>
      </c>
      <c r="B3277">
        <f>61.4285714285714*(1-0.8198)</f>
        <v>11.069428571428574</v>
      </c>
      <c r="C3277" s="1">
        <v>9.9339999999999993</v>
      </c>
    </row>
    <row r="3278" spans="1:3" x14ac:dyDescent="0.3">
      <c r="A3278" t="s">
        <v>3277</v>
      </c>
      <c r="B3278">
        <f>61.4285714285714*(1-0.8198)</f>
        <v>11.069428571428574</v>
      </c>
      <c r="C3278" s="1">
        <v>9.9339999999999993</v>
      </c>
    </row>
    <row r="3279" spans="1:3" x14ac:dyDescent="0.3">
      <c r="A3279" t="s">
        <v>3278</v>
      </c>
      <c r="B3279">
        <f>61.4285714285714*(1-0.8198)</f>
        <v>11.069428571428574</v>
      </c>
      <c r="C3279" s="1">
        <v>8.0709999999999997</v>
      </c>
    </row>
    <row r="3280" spans="1:3" x14ac:dyDescent="0.3">
      <c r="A3280" t="s">
        <v>3279</v>
      </c>
      <c r="B3280">
        <f>55.9684418714286*(1-0.8198)</f>
        <v>10.085513225231432</v>
      </c>
      <c r="C3280" s="1">
        <v>8.0709999999999997</v>
      </c>
    </row>
    <row r="3281" spans="1:3" x14ac:dyDescent="0.3">
      <c r="A3281" t="s">
        <v>3280</v>
      </c>
      <c r="B3281">
        <f>45.3266372428571*(1-0.8198)</f>
        <v>8.1678600311628582</v>
      </c>
      <c r="C3281" s="1">
        <v>8.0709999999999997</v>
      </c>
    </row>
    <row r="3282" spans="1:3" x14ac:dyDescent="0.3">
      <c r="A3282" t="s">
        <v>3281</v>
      </c>
      <c r="B3282">
        <f>31.0122120128571*(1-0.8198)</f>
        <v>5.588400604716858</v>
      </c>
      <c r="C3282" s="1">
        <v>8.0709999999999997</v>
      </c>
    </row>
    <row r="3283" spans="1:3" x14ac:dyDescent="0.3">
      <c r="A3283" t="s">
        <v>3282</v>
      </c>
      <c r="B3283">
        <f>12.25805644*(1-0.8198)</f>
        <v>2.2089017704880005</v>
      </c>
      <c r="C3283" s="1">
        <v>9.9339999999999993</v>
      </c>
    </row>
    <row r="3284" spans="1:3" x14ac:dyDescent="0.3">
      <c r="A3284" t="s">
        <v>3283</v>
      </c>
      <c r="B3284">
        <f>4.14030021142857*(1-0.8198)</f>
        <v>0.74608209809942883</v>
      </c>
      <c r="C3284" s="1">
        <v>9.9339999999999993</v>
      </c>
    </row>
    <row r="3285" spans="1:3" x14ac:dyDescent="0.3">
      <c r="A3285" t="s">
        <v>3284</v>
      </c>
      <c r="B3285">
        <f>0*(1-0.8198)</f>
        <v>0</v>
      </c>
      <c r="C3285" s="1">
        <v>9.9339999999999993</v>
      </c>
    </row>
    <row r="3286" spans="1:3" x14ac:dyDescent="0.3">
      <c r="A3286" t="s">
        <v>3285</v>
      </c>
      <c r="B3286">
        <f>0*(1-0.8198)</f>
        <v>0</v>
      </c>
      <c r="C3286" s="1">
        <v>9.9339999999999993</v>
      </c>
    </row>
    <row r="3287" spans="1:3" x14ac:dyDescent="0.3">
      <c r="A3287" t="s">
        <v>3286</v>
      </c>
      <c r="B3287">
        <f>0*(1-0.8198)</f>
        <v>0</v>
      </c>
      <c r="C3287" s="1">
        <v>8.0709999999999997</v>
      </c>
    </row>
    <row r="3288" spans="1:3" x14ac:dyDescent="0.3">
      <c r="A3288" t="s">
        <v>3287</v>
      </c>
      <c r="B3288">
        <f>0*(1-0.8198)</f>
        <v>0</v>
      </c>
      <c r="C3288" s="1">
        <v>8.0709999999999997</v>
      </c>
    </row>
    <row r="3289" spans="1:3" x14ac:dyDescent="0.3">
      <c r="A3289" t="s">
        <v>3288</v>
      </c>
      <c r="B3289">
        <f>0*(1-0.8198)</f>
        <v>0</v>
      </c>
      <c r="C3289" s="1">
        <v>2.819</v>
      </c>
    </row>
    <row r="3290" spans="1:3" x14ac:dyDescent="0.3">
      <c r="A3290" t="s">
        <v>3289</v>
      </c>
      <c r="B3290">
        <f>0*(1-0.8198)</f>
        <v>0</v>
      </c>
      <c r="C3290" s="1">
        <v>2.819</v>
      </c>
    </row>
    <row r="3291" spans="1:3" x14ac:dyDescent="0.3">
      <c r="A3291" t="s">
        <v>3290</v>
      </c>
      <c r="B3291">
        <f>0*(1-0.8198)</f>
        <v>0</v>
      </c>
      <c r="C3291" s="1">
        <v>2.819</v>
      </c>
    </row>
    <row r="3292" spans="1:3" x14ac:dyDescent="0.3">
      <c r="A3292" t="s">
        <v>3291</v>
      </c>
      <c r="B3292">
        <f>0*(1-0.8198)</f>
        <v>0</v>
      </c>
      <c r="C3292" s="1">
        <v>2.819</v>
      </c>
    </row>
    <row r="3293" spans="1:3" x14ac:dyDescent="0.3">
      <c r="A3293" t="s">
        <v>3292</v>
      </c>
      <c r="B3293">
        <f>0*(1-0.8198)</f>
        <v>0</v>
      </c>
      <c r="C3293" s="1">
        <v>2.819</v>
      </c>
    </row>
    <row r="3294" spans="1:3" x14ac:dyDescent="0.3">
      <c r="A3294" t="s">
        <v>3293</v>
      </c>
      <c r="B3294">
        <f>0*(1-0.8198)</f>
        <v>0</v>
      </c>
      <c r="C3294" s="1">
        <v>2.819</v>
      </c>
    </row>
    <row r="3295" spans="1:3" x14ac:dyDescent="0.3">
      <c r="A3295" t="s">
        <v>3294</v>
      </c>
      <c r="B3295">
        <f>2.83817372*(1-0.8198)</f>
        <v>0.51143890434400008</v>
      </c>
      <c r="C3295" s="1">
        <v>2.819</v>
      </c>
    </row>
    <row r="3296" spans="1:3" x14ac:dyDescent="0.3">
      <c r="A3296" t="s">
        <v>3295</v>
      </c>
      <c r="B3296">
        <f>15.38449743*(1-0.8198)</f>
        <v>2.772286436886001</v>
      </c>
      <c r="C3296" s="1">
        <v>2.819</v>
      </c>
    </row>
    <row r="3297" spans="1:3" x14ac:dyDescent="0.3">
      <c r="A3297" t="s">
        <v>3296</v>
      </c>
      <c r="B3297">
        <f>29.3501752142857*(1-0.8198)</f>
        <v>5.2889015736142859</v>
      </c>
      <c r="C3297" s="1">
        <v>2.819</v>
      </c>
    </row>
    <row r="3298" spans="1:3" x14ac:dyDescent="0.3">
      <c r="A3298" t="s">
        <v>3297</v>
      </c>
      <c r="B3298">
        <f>25.6912182314286*(1-0.8198)</f>
        <v>4.6295575253034302</v>
      </c>
      <c r="C3298" s="1">
        <v>2.819</v>
      </c>
    </row>
    <row r="3299" spans="1:3" x14ac:dyDescent="0.3">
      <c r="A3299" t="s">
        <v>3298</v>
      </c>
      <c r="B3299">
        <f>54.17650625*(1-0.8198)</f>
        <v>9.7626064262500005</v>
      </c>
      <c r="C3299" s="1">
        <v>2.819</v>
      </c>
    </row>
    <row r="3300" spans="1:3" x14ac:dyDescent="0.3">
      <c r="A3300" t="s">
        <v>3299</v>
      </c>
      <c r="B3300">
        <f>59.8455001985714*(1-0.8198)</f>
        <v>10.784159135782572</v>
      </c>
      <c r="C3300" s="1">
        <v>2.819</v>
      </c>
    </row>
    <row r="3301" spans="1:3" x14ac:dyDescent="0.3">
      <c r="A3301" t="s">
        <v>3300</v>
      </c>
      <c r="B3301">
        <f>61.4285714285714*(1-0.8198)</f>
        <v>11.069428571428574</v>
      </c>
      <c r="C3301" s="1">
        <v>2.819</v>
      </c>
    </row>
    <row r="3302" spans="1:3" x14ac:dyDescent="0.3">
      <c r="A3302" t="s">
        <v>3301</v>
      </c>
      <c r="B3302">
        <f>10.7027*(1-0.8198)</f>
        <v>1.9286265400000007</v>
      </c>
      <c r="C3302" s="1">
        <v>2.819</v>
      </c>
    </row>
    <row r="3303" spans="1:3" x14ac:dyDescent="0.3">
      <c r="A3303" t="s">
        <v>3302</v>
      </c>
      <c r="B3303">
        <f>17.54572*(1-0.8198)</f>
        <v>3.1617387440000004</v>
      </c>
      <c r="C3303" s="1">
        <v>2.819</v>
      </c>
    </row>
    <row r="3304" spans="1:3" x14ac:dyDescent="0.3">
      <c r="A3304" t="s">
        <v>3303</v>
      </c>
      <c r="B3304">
        <f>38.5396930514286*(1-0.8198)</f>
        <v>6.9448526878674306</v>
      </c>
      <c r="C3304" s="1">
        <v>2.819</v>
      </c>
    </row>
    <row r="3305" spans="1:3" x14ac:dyDescent="0.3">
      <c r="A3305" t="s">
        <v>3304</v>
      </c>
      <c r="B3305">
        <f>11.47756*(1-0.8198)</f>
        <v>2.0682563120000008</v>
      </c>
      <c r="C3305" s="1">
        <v>2.819</v>
      </c>
    </row>
    <row r="3306" spans="1:3" x14ac:dyDescent="0.3">
      <c r="A3306" t="s">
        <v>3305</v>
      </c>
      <c r="B3306">
        <f>6.47924*(1-0.8198)</f>
        <v>1.1675590480000002</v>
      </c>
      <c r="C3306" s="1">
        <v>2.819</v>
      </c>
    </row>
    <row r="3307" spans="1:3" x14ac:dyDescent="0.3">
      <c r="A3307" t="s">
        <v>3306</v>
      </c>
      <c r="B3307">
        <f>4.99058*(1-0.8198)</f>
        <v>0.89930251600000011</v>
      </c>
      <c r="C3307" s="1">
        <v>2.819</v>
      </c>
    </row>
    <row r="3308" spans="1:3" x14ac:dyDescent="0.3">
      <c r="A3308" t="s">
        <v>3307</v>
      </c>
      <c r="B3308">
        <f>1.51446*(1-0.8198)</f>
        <v>0.27290569200000009</v>
      </c>
      <c r="C3308" s="1">
        <v>2.819</v>
      </c>
    </row>
    <row r="3309" spans="1:3" x14ac:dyDescent="0.3">
      <c r="A3309" t="s">
        <v>3308</v>
      </c>
      <c r="B3309">
        <f>0*(1-0.8198)</f>
        <v>0</v>
      </c>
      <c r="C3309" s="1">
        <v>2.819</v>
      </c>
    </row>
    <row r="3310" spans="1:3" x14ac:dyDescent="0.3">
      <c r="A3310" t="s">
        <v>3309</v>
      </c>
      <c r="B3310">
        <f>0*(1-0.8198)</f>
        <v>0</v>
      </c>
      <c r="C3310" s="1">
        <v>2.819</v>
      </c>
    </row>
    <row r="3311" spans="1:3" x14ac:dyDescent="0.3">
      <c r="A3311" t="s">
        <v>3310</v>
      </c>
      <c r="B3311">
        <f>0*(1-0.8198)</f>
        <v>0</v>
      </c>
      <c r="C3311" s="1">
        <v>2.819</v>
      </c>
    </row>
    <row r="3312" spans="1:3" x14ac:dyDescent="0.3">
      <c r="A3312" t="s">
        <v>3311</v>
      </c>
      <c r="B3312">
        <f>0*(1-0.8198)</f>
        <v>0</v>
      </c>
      <c r="C3312" s="1">
        <v>2.819</v>
      </c>
    </row>
    <row r="3313" spans="1:3" x14ac:dyDescent="0.3">
      <c r="A3313" t="s">
        <v>3312</v>
      </c>
      <c r="B3313">
        <f>0*(1-0.8198)</f>
        <v>0</v>
      </c>
      <c r="C3313" s="1">
        <v>2.819</v>
      </c>
    </row>
    <row r="3314" spans="1:3" x14ac:dyDescent="0.3">
      <c r="A3314" t="s">
        <v>3313</v>
      </c>
      <c r="B3314">
        <f>0*(1-0.8198)</f>
        <v>0</v>
      </c>
      <c r="C3314" s="1">
        <v>2.819</v>
      </c>
    </row>
    <row r="3315" spans="1:3" x14ac:dyDescent="0.3">
      <c r="A3315" t="s">
        <v>3314</v>
      </c>
      <c r="B3315">
        <f>0*(1-0.8198)</f>
        <v>0</v>
      </c>
      <c r="C3315" s="1">
        <v>2.819</v>
      </c>
    </row>
    <row r="3316" spans="1:3" x14ac:dyDescent="0.3">
      <c r="A3316" t="s">
        <v>3315</v>
      </c>
      <c r="B3316">
        <f>0*(1-0.8198)</f>
        <v>0</v>
      </c>
      <c r="C3316" s="1">
        <v>2.819</v>
      </c>
    </row>
    <row r="3317" spans="1:3" x14ac:dyDescent="0.3">
      <c r="A3317" t="s">
        <v>3316</v>
      </c>
      <c r="B3317">
        <f>0*(1-0.8198)</f>
        <v>0</v>
      </c>
      <c r="C3317" s="1">
        <v>2.819</v>
      </c>
    </row>
    <row r="3318" spans="1:3" x14ac:dyDescent="0.3">
      <c r="A3318" t="s">
        <v>3317</v>
      </c>
      <c r="B3318">
        <f>0*(1-0.8198)</f>
        <v>0</v>
      </c>
      <c r="C3318" s="1">
        <v>2.819</v>
      </c>
    </row>
    <row r="3319" spans="1:3" x14ac:dyDescent="0.3">
      <c r="A3319" t="s">
        <v>3318</v>
      </c>
      <c r="B3319">
        <f>3.32454948428571*(1-0.8198)</f>
        <v>0.59908381706828595</v>
      </c>
      <c r="C3319" s="1">
        <v>2.819</v>
      </c>
    </row>
    <row r="3320" spans="1:3" x14ac:dyDescent="0.3">
      <c r="A3320" t="s">
        <v>3319</v>
      </c>
      <c r="B3320">
        <f>8.65428031285714*(1-0.8198)</f>
        <v>1.5595013123768573</v>
      </c>
      <c r="C3320" s="1">
        <v>2.819</v>
      </c>
    </row>
    <row r="3321" spans="1:3" x14ac:dyDescent="0.3">
      <c r="A3321" t="s">
        <v>3320</v>
      </c>
      <c r="B3321">
        <f>20.3881778714286*(1-0.8198)</f>
        <v>3.6739496524314292</v>
      </c>
      <c r="C3321" s="1">
        <v>2.819</v>
      </c>
    </row>
    <row r="3322" spans="1:3" x14ac:dyDescent="0.3">
      <c r="A3322" t="s">
        <v>3321</v>
      </c>
      <c r="B3322">
        <f>41.36293625*(1-0.8198)</f>
        <v>7.4536011122500021</v>
      </c>
      <c r="C3322" s="1">
        <v>2.819</v>
      </c>
    </row>
    <row r="3323" spans="1:3" x14ac:dyDescent="0.3">
      <c r="A3323" t="s">
        <v>3322</v>
      </c>
      <c r="B3323">
        <f>35.9426356271429*(1-0.8198)</f>
        <v>6.476862940011145</v>
      </c>
      <c r="C3323" s="1">
        <v>2.819</v>
      </c>
    </row>
    <row r="3324" spans="1:3" x14ac:dyDescent="0.3">
      <c r="A3324" t="s">
        <v>3323</v>
      </c>
      <c r="B3324">
        <f>51.4792136142857*(1-0.8198)</f>
        <v>9.2765542932942875</v>
      </c>
      <c r="C3324" s="1">
        <v>2.819</v>
      </c>
    </row>
    <row r="3325" spans="1:3" x14ac:dyDescent="0.3">
      <c r="A3325" t="s">
        <v>3324</v>
      </c>
      <c r="B3325">
        <f>19.14016*(1-0.8198)</f>
        <v>3.449056832000001</v>
      </c>
      <c r="C3325" s="1">
        <v>2.819</v>
      </c>
    </row>
    <row r="3326" spans="1:3" x14ac:dyDescent="0.3">
      <c r="A3326" t="s">
        <v>3325</v>
      </c>
      <c r="B3326">
        <f>4.86674*(1-0.8198)</f>
        <v>0.87698654800000009</v>
      </c>
      <c r="C3326" s="1">
        <v>2.819</v>
      </c>
    </row>
    <row r="3327" spans="1:3" x14ac:dyDescent="0.3">
      <c r="A3327" t="s">
        <v>3326</v>
      </c>
      <c r="B3327">
        <f>21.0896435671429*(1-0.8198)</f>
        <v>3.8003537707991444</v>
      </c>
      <c r="C3327" s="1">
        <v>2.819</v>
      </c>
    </row>
    <row r="3328" spans="1:3" x14ac:dyDescent="0.3">
      <c r="A3328" t="s">
        <v>3327</v>
      </c>
      <c r="B3328">
        <f>52.5165257114286*(1-0.8198)</f>
        <v>9.4634779331994299</v>
      </c>
      <c r="C3328" s="1">
        <v>2.819</v>
      </c>
    </row>
    <row r="3329" spans="1:3" x14ac:dyDescent="0.3">
      <c r="A3329" t="s">
        <v>3328</v>
      </c>
      <c r="B3329">
        <f>8.0711*(1-0.8198)</f>
        <v>1.45441222</v>
      </c>
      <c r="C3329" s="1">
        <v>2.819</v>
      </c>
    </row>
    <row r="3330" spans="1:3" x14ac:dyDescent="0.3">
      <c r="A3330" t="s">
        <v>3329</v>
      </c>
      <c r="B3330">
        <f>8.80984*(1-0.8198)</f>
        <v>1.5875331680000004</v>
      </c>
      <c r="C3330" s="1">
        <v>2.819</v>
      </c>
    </row>
    <row r="3331" spans="1:3" x14ac:dyDescent="0.3">
      <c r="A3331" t="s">
        <v>3330</v>
      </c>
      <c r="B3331">
        <f>9.87616548714286*(1-0.8198)</f>
        <v>1.7796850207831429</v>
      </c>
      <c r="C3331" s="1">
        <v>2.819</v>
      </c>
    </row>
    <row r="3332" spans="1:3" x14ac:dyDescent="0.3">
      <c r="A3332" t="s">
        <v>3331</v>
      </c>
      <c r="B3332">
        <f>2.60413018714286*(1-0.8198)</f>
        <v>0.46926425972314312</v>
      </c>
      <c r="C3332" s="1">
        <v>2.819</v>
      </c>
    </row>
    <row r="3333" spans="1:3" x14ac:dyDescent="0.3">
      <c r="A3333" t="s">
        <v>3332</v>
      </c>
      <c r="B3333">
        <f>0*(1-0.8198)</f>
        <v>0</v>
      </c>
      <c r="C3333" s="1">
        <v>2.819</v>
      </c>
    </row>
    <row r="3334" spans="1:3" x14ac:dyDescent="0.3">
      <c r="A3334" t="s">
        <v>3333</v>
      </c>
      <c r="B3334">
        <f>0*(1-0.8198)</f>
        <v>0</v>
      </c>
      <c r="C3334" s="1">
        <v>2.819</v>
      </c>
    </row>
    <row r="3335" spans="1:3" x14ac:dyDescent="0.3">
      <c r="A3335" t="s">
        <v>3334</v>
      </c>
      <c r="B3335">
        <f>0*(1-0.8198)</f>
        <v>0</v>
      </c>
      <c r="C3335" s="1">
        <v>2.819</v>
      </c>
    </row>
    <row r="3336" spans="1:3" x14ac:dyDescent="0.3">
      <c r="A3336" t="s">
        <v>3335</v>
      </c>
      <c r="B3336">
        <f>0*(1-0.8198)</f>
        <v>0</v>
      </c>
      <c r="C3336" s="1">
        <v>2.819</v>
      </c>
    </row>
    <row r="3337" spans="1:3" x14ac:dyDescent="0.3">
      <c r="A3337" t="s">
        <v>3336</v>
      </c>
      <c r="B3337">
        <f>0*(1-0.8198)</f>
        <v>0</v>
      </c>
      <c r="C3337" s="1">
        <v>2.819</v>
      </c>
    </row>
    <row r="3338" spans="1:3" x14ac:dyDescent="0.3">
      <c r="A3338" t="s">
        <v>3337</v>
      </c>
      <c r="B3338">
        <f>0*(1-0.8198)</f>
        <v>0</v>
      </c>
      <c r="C3338" s="1">
        <v>2.819</v>
      </c>
    </row>
    <row r="3339" spans="1:3" x14ac:dyDescent="0.3">
      <c r="A3339" t="s">
        <v>3338</v>
      </c>
      <c r="B3339">
        <f>0*(1-0.8198)</f>
        <v>0</v>
      </c>
      <c r="C3339" s="1">
        <v>2.819</v>
      </c>
    </row>
    <row r="3340" spans="1:3" x14ac:dyDescent="0.3">
      <c r="A3340" t="s">
        <v>3339</v>
      </c>
      <c r="B3340">
        <f>0*(1-0.8198)</f>
        <v>0</v>
      </c>
      <c r="C3340" s="1">
        <v>2.819</v>
      </c>
    </row>
    <row r="3341" spans="1:3" x14ac:dyDescent="0.3">
      <c r="A3341" t="s">
        <v>3340</v>
      </c>
      <c r="B3341">
        <f>0*(1-0.8198)</f>
        <v>0</v>
      </c>
      <c r="C3341" s="1">
        <v>2.819</v>
      </c>
    </row>
    <row r="3342" spans="1:3" x14ac:dyDescent="0.3">
      <c r="A3342" t="s">
        <v>3341</v>
      </c>
      <c r="B3342">
        <f>0*(1-0.8198)</f>
        <v>0</v>
      </c>
      <c r="C3342" s="1">
        <v>2.819</v>
      </c>
    </row>
    <row r="3343" spans="1:3" x14ac:dyDescent="0.3">
      <c r="A3343" t="s">
        <v>3342</v>
      </c>
      <c r="B3343">
        <f>3.28806791571429*(1-0.8198)</f>
        <v>0.59250983841171434</v>
      </c>
      <c r="C3343" s="1">
        <v>2.819</v>
      </c>
    </row>
    <row r="3344" spans="1:3" x14ac:dyDescent="0.3">
      <c r="A3344" t="s">
        <v>3343</v>
      </c>
      <c r="B3344">
        <f>16.0851434842857*(1-0.8198)</f>
        <v>2.8985428558682864</v>
      </c>
      <c r="C3344" s="1">
        <v>2.819</v>
      </c>
    </row>
    <row r="3345" spans="1:3" x14ac:dyDescent="0.3">
      <c r="A3345" t="s">
        <v>3344</v>
      </c>
      <c r="B3345">
        <f>31.7508608528571*(1-0.8198)</f>
        <v>5.7215051256848586</v>
      </c>
      <c r="C3345" s="1">
        <v>8.0709999999999997</v>
      </c>
    </row>
    <row r="3346" spans="1:3" x14ac:dyDescent="0.3">
      <c r="A3346" t="s">
        <v>3345</v>
      </c>
      <c r="B3346">
        <f>44.2386337357143*(1-0.8198)</f>
        <v>7.971801799175716</v>
      </c>
      <c r="C3346" s="1">
        <v>9.9339999999999993</v>
      </c>
    </row>
    <row r="3347" spans="1:3" x14ac:dyDescent="0.3">
      <c r="A3347" t="s">
        <v>3346</v>
      </c>
      <c r="B3347">
        <f>46.2876900071429*(1-0.8198)</f>
        <v>8.3410417392871459</v>
      </c>
      <c r="C3347" s="1">
        <v>9.9339999999999993</v>
      </c>
    </row>
    <row r="3348" spans="1:3" x14ac:dyDescent="0.3">
      <c r="A3348" t="s">
        <v>3347</v>
      </c>
      <c r="B3348">
        <f>60.6657035142857*(1-0.8198)</f>
        <v>10.93195977327429</v>
      </c>
      <c r="C3348" s="1">
        <v>9.9339999999999993</v>
      </c>
    </row>
    <row r="3349" spans="1:3" x14ac:dyDescent="0.3">
      <c r="A3349" t="s">
        <v>3348</v>
      </c>
      <c r="B3349">
        <f>55.7672688285714*(1-0.8198)</f>
        <v>10.049261842908573</v>
      </c>
      <c r="C3349" s="1">
        <v>9.9339999999999993</v>
      </c>
    </row>
    <row r="3350" spans="1:3" x14ac:dyDescent="0.3">
      <c r="A3350" t="s">
        <v>3349</v>
      </c>
      <c r="B3350">
        <f>61.4285714285714*(1-0.8198)</f>
        <v>11.069428571428574</v>
      </c>
      <c r="C3350" s="1">
        <v>9.9339999999999993</v>
      </c>
    </row>
    <row r="3351" spans="1:3" x14ac:dyDescent="0.3">
      <c r="A3351" t="s">
        <v>3350</v>
      </c>
      <c r="B3351">
        <f>47.5928581957143*(1-0.8198)</f>
        <v>8.5762330468677188</v>
      </c>
      <c r="C3351" s="1">
        <v>8.0709999999999997</v>
      </c>
    </row>
    <row r="3352" spans="1:3" x14ac:dyDescent="0.3">
      <c r="A3352" t="s">
        <v>3351</v>
      </c>
      <c r="B3352">
        <f>31.81566818*(1-0.8198)</f>
        <v>5.7331834060360016</v>
      </c>
      <c r="C3352" s="1">
        <v>8.0709999999999997</v>
      </c>
    </row>
    <row r="3353" spans="1:3" x14ac:dyDescent="0.3">
      <c r="A3353" t="s">
        <v>3352</v>
      </c>
      <c r="B3353">
        <f>29.0007460957143*(1-0.8198)</f>
        <v>5.2259344464477158</v>
      </c>
      <c r="C3353" s="1">
        <v>8.0709999999999997</v>
      </c>
    </row>
    <row r="3354" spans="1:3" x14ac:dyDescent="0.3">
      <c r="A3354" t="s">
        <v>3353</v>
      </c>
      <c r="B3354">
        <f>4.7558*(1-0.8198)</f>
        <v>0.85699516000000009</v>
      </c>
      <c r="C3354" s="1">
        <v>8.0709999999999997</v>
      </c>
    </row>
    <row r="3355" spans="1:3" x14ac:dyDescent="0.3">
      <c r="A3355" t="s">
        <v>3354</v>
      </c>
      <c r="B3355">
        <f>4.90286*(1-0.8198)</f>
        <v>0.88349537200000017</v>
      </c>
      <c r="C3355" s="1">
        <v>9.9339999999999993</v>
      </c>
    </row>
    <row r="3356" spans="1:3" x14ac:dyDescent="0.3">
      <c r="A3356" t="s">
        <v>3355</v>
      </c>
      <c r="B3356">
        <f>1.75354*(1-0.8198)</f>
        <v>0.31598790800000004</v>
      </c>
      <c r="C3356" s="1">
        <v>9.9339999999999993</v>
      </c>
    </row>
    <row r="3357" spans="1:3" x14ac:dyDescent="0.3">
      <c r="A3357" t="s">
        <v>3356</v>
      </c>
      <c r="B3357">
        <f>0*(1-0.8198)</f>
        <v>0</v>
      </c>
      <c r="C3357" s="1">
        <v>9.9339999999999993</v>
      </c>
    </row>
    <row r="3358" spans="1:3" x14ac:dyDescent="0.3">
      <c r="A3358" t="s">
        <v>3357</v>
      </c>
      <c r="B3358">
        <f>0*(1-0.8198)</f>
        <v>0</v>
      </c>
      <c r="C3358" s="1">
        <v>9.9339999999999993</v>
      </c>
    </row>
    <row r="3359" spans="1:3" x14ac:dyDescent="0.3">
      <c r="A3359" t="s">
        <v>3358</v>
      </c>
      <c r="B3359">
        <f>0*(1-0.8198)</f>
        <v>0</v>
      </c>
      <c r="C3359" s="1">
        <v>8.0709999999999997</v>
      </c>
    </row>
    <row r="3360" spans="1:3" x14ac:dyDescent="0.3">
      <c r="A3360" t="s">
        <v>3359</v>
      </c>
      <c r="B3360">
        <f>0*(1-0.8198)</f>
        <v>0</v>
      </c>
      <c r="C3360" s="1">
        <v>8.0709999999999997</v>
      </c>
    </row>
    <row r="3361" spans="1:3" x14ac:dyDescent="0.3">
      <c r="A3361" t="s">
        <v>3360</v>
      </c>
      <c r="B3361">
        <f>0*(1-0.8198)</f>
        <v>0</v>
      </c>
      <c r="C3361" s="1">
        <v>2.819</v>
      </c>
    </row>
    <row r="3362" spans="1:3" x14ac:dyDescent="0.3">
      <c r="A3362" t="s">
        <v>3361</v>
      </c>
      <c r="B3362">
        <f>0*(1-0.8198)</f>
        <v>0</v>
      </c>
      <c r="C3362" s="1">
        <v>2.819</v>
      </c>
    </row>
    <row r="3363" spans="1:3" x14ac:dyDescent="0.3">
      <c r="A3363" t="s">
        <v>3362</v>
      </c>
      <c r="B3363">
        <f>0*(1-0.8198)</f>
        <v>0</v>
      </c>
      <c r="C3363" s="1">
        <v>2.819</v>
      </c>
    </row>
    <row r="3364" spans="1:3" x14ac:dyDescent="0.3">
      <c r="A3364" t="s">
        <v>3363</v>
      </c>
      <c r="B3364">
        <f>0*(1-0.8198)</f>
        <v>0</v>
      </c>
      <c r="C3364" s="1">
        <v>2.819</v>
      </c>
    </row>
    <row r="3365" spans="1:3" x14ac:dyDescent="0.3">
      <c r="A3365" t="s">
        <v>3364</v>
      </c>
      <c r="B3365">
        <f>0*(1-0.8198)</f>
        <v>0</v>
      </c>
      <c r="C3365" s="1">
        <v>2.819</v>
      </c>
    </row>
    <row r="3366" spans="1:3" x14ac:dyDescent="0.3">
      <c r="A3366" t="s">
        <v>3365</v>
      </c>
      <c r="B3366">
        <f>0*(1-0.8198)</f>
        <v>0</v>
      </c>
      <c r="C3366" s="1">
        <v>2.819</v>
      </c>
    </row>
    <row r="3367" spans="1:3" x14ac:dyDescent="0.3">
      <c r="A3367" t="s">
        <v>3366</v>
      </c>
      <c r="B3367">
        <f>3.09757386142857*(1-0.8198)</f>
        <v>0.55818280982942858</v>
      </c>
      <c r="C3367" s="1">
        <v>2.819</v>
      </c>
    </row>
    <row r="3368" spans="1:3" x14ac:dyDescent="0.3">
      <c r="A3368" t="s">
        <v>3367</v>
      </c>
      <c r="B3368">
        <f>15.4928921985714*(1-0.8198)</f>
        <v>2.7918191741825722</v>
      </c>
      <c r="C3368" s="1">
        <v>2.819</v>
      </c>
    </row>
    <row r="3369" spans="1:3" x14ac:dyDescent="0.3">
      <c r="A3369" t="s">
        <v>3368</v>
      </c>
      <c r="B3369">
        <f>29.7495212514286*(1-0.8198)</f>
        <v>5.3608637295074306</v>
      </c>
      <c r="C3369" s="1">
        <v>8.0709999999999997</v>
      </c>
    </row>
    <row r="3370" spans="1:3" x14ac:dyDescent="0.3">
      <c r="A3370" t="s">
        <v>3369</v>
      </c>
      <c r="B3370">
        <f>43.1912362957143*(1-0.8198)</f>
        <v>7.7830607804877161</v>
      </c>
      <c r="C3370" s="1">
        <v>9.9339999999999993</v>
      </c>
    </row>
    <row r="3371" spans="1:3" x14ac:dyDescent="0.3">
      <c r="A3371" t="s">
        <v>3370</v>
      </c>
      <c r="B3371">
        <f>48.73856844*(1-0.8198)</f>
        <v>8.7826900328880022</v>
      </c>
      <c r="C3371" s="1">
        <v>9.9339999999999993</v>
      </c>
    </row>
    <row r="3372" spans="1:3" x14ac:dyDescent="0.3">
      <c r="A3372" t="s">
        <v>3371</v>
      </c>
      <c r="B3372">
        <f>55.6514620885714*(1-0.8198)</f>
        <v>10.028393468360575</v>
      </c>
      <c r="C3372" s="1">
        <v>9.9339999999999993</v>
      </c>
    </row>
    <row r="3373" spans="1:3" x14ac:dyDescent="0.3">
      <c r="A3373" t="s">
        <v>3372</v>
      </c>
      <c r="B3373">
        <f>58.79796307*(1-0.8198)</f>
        <v>10.595392945214003</v>
      </c>
      <c r="C3373" s="1">
        <v>9.9339999999999993</v>
      </c>
    </row>
    <row r="3374" spans="1:3" x14ac:dyDescent="0.3">
      <c r="A3374" t="s">
        <v>3373</v>
      </c>
      <c r="B3374">
        <f>29.7625918385714*(1-0.8198)</f>
        <v>5.3632190493105734</v>
      </c>
      <c r="C3374" s="1">
        <v>9.9339999999999993</v>
      </c>
    </row>
    <row r="3375" spans="1:3" x14ac:dyDescent="0.3">
      <c r="A3375" t="s">
        <v>3374</v>
      </c>
      <c r="B3375">
        <f>24.1562730928571*(1-0.8198)</f>
        <v>4.3529604113328579</v>
      </c>
      <c r="C3375" s="1">
        <v>8.0709999999999997</v>
      </c>
    </row>
    <row r="3376" spans="1:3" x14ac:dyDescent="0.3">
      <c r="A3376" t="s">
        <v>3375</v>
      </c>
      <c r="B3376">
        <f>26.3950364571429*(1-0.8198)</f>
        <v>4.7563855695771453</v>
      </c>
      <c r="C3376" s="1">
        <v>8.0709999999999997</v>
      </c>
    </row>
    <row r="3377" spans="1:3" x14ac:dyDescent="0.3">
      <c r="A3377" t="s">
        <v>3376</v>
      </c>
      <c r="B3377">
        <f>30.2377076228571*(1-0.8198)</f>
        <v>5.4488349136388576</v>
      </c>
      <c r="C3377" s="1">
        <v>8.0709999999999997</v>
      </c>
    </row>
    <row r="3378" spans="1:3" x14ac:dyDescent="0.3">
      <c r="A3378" t="s">
        <v>3377</v>
      </c>
      <c r="B3378">
        <f>16.7902209342857*(1-0.8198)</f>
        <v>3.0255978123582858</v>
      </c>
      <c r="C3378" s="1">
        <v>8.0709999999999997</v>
      </c>
    </row>
    <row r="3379" spans="1:3" x14ac:dyDescent="0.3">
      <c r="A3379" t="s">
        <v>3378</v>
      </c>
      <c r="B3379">
        <f>7.49539536*(1-0.8198)</f>
        <v>1.3506702438720002</v>
      </c>
      <c r="C3379" s="1">
        <v>9.9339999999999993</v>
      </c>
    </row>
    <row r="3380" spans="1:3" x14ac:dyDescent="0.3">
      <c r="A3380" t="s">
        <v>3379</v>
      </c>
      <c r="B3380">
        <f>2.79540788571429*(1-0.8198)</f>
        <v>0.50373250100571443</v>
      </c>
      <c r="C3380" s="1">
        <v>9.9339999999999993</v>
      </c>
    </row>
    <row r="3381" spans="1:3" x14ac:dyDescent="0.3">
      <c r="A3381" t="s">
        <v>3380</v>
      </c>
      <c r="B3381">
        <f>0*(1-0.8198)</f>
        <v>0</v>
      </c>
      <c r="C3381" s="1">
        <v>9.9339999999999993</v>
      </c>
    </row>
    <row r="3382" spans="1:3" x14ac:dyDescent="0.3">
      <c r="A3382" t="s">
        <v>3381</v>
      </c>
      <c r="B3382">
        <f>0*(1-0.8198)</f>
        <v>0</v>
      </c>
      <c r="C3382" s="1">
        <v>9.9339999999999993</v>
      </c>
    </row>
    <row r="3383" spans="1:3" x14ac:dyDescent="0.3">
      <c r="A3383" t="s">
        <v>3382</v>
      </c>
      <c r="B3383">
        <f>0*(1-0.8198)</f>
        <v>0</v>
      </c>
      <c r="C3383" s="1">
        <v>8.0709999999999997</v>
      </c>
    </row>
    <row r="3384" spans="1:3" x14ac:dyDescent="0.3">
      <c r="A3384" t="s">
        <v>3383</v>
      </c>
      <c r="B3384">
        <f>0*(1-0.8198)</f>
        <v>0</v>
      </c>
      <c r="C3384" s="1">
        <v>8.0709999999999997</v>
      </c>
    </row>
    <row r="3385" spans="1:3" x14ac:dyDescent="0.3">
      <c r="A3385" t="s">
        <v>3384</v>
      </c>
      <c r="B3385">
        <f>0*(1-0.8198)</f>
        <v>0</v>
      </c>
      <c r="C3385" s="1">
        <v>2.819</v>
      </c>
    </row>
    <row r="3386" spans="1:3" x14ac:dyDescent="0.3">
      <c r="A3386" t="s">
        <v>3385</v>
      </c>
      <c r="B3386">
        <f>0*(1-0.8198)</f>
        <v>0</v>
      </c>
      <c r="C3386" s="1">
        <v>2.819</v>
      </c>
    </row>
    <row r="3387" spans="1:3" x14ac:dyDescent="0.3">
      <c r="A3387" t="s">
        <v>3386</v>
      </c>
      <c r="B3387">
        <f>0*(1-0.8198)</f>
        <v>0</v>
      </c>
      <c r="C3387" s="1">
        <v>2.819</v>
      </c>
    </row>
    <row r="3388" spans="1:3" x14ac:dyDescent="0.3">
      <c r="A3388" t="s">
        <v>3387</v>
      </c>
      <c r="B3388">
        <f>0*(1-0.8198)</f>
        <v>0</v>
      </c>
      <c r="C3388" s="1">
        <v>2.819</v>
      </c>
    </row>
    <row r="3389" spans="1:3" x14ac:dyDescent="0.3">
      <c r="A3389" t="s">
        <v>3388</v>
      </c>
      <c r="B3389">
        <f>0*(1-0.8198)</f>
        <v>0</v>
      </c>
      <c r="C3389" s="1">
        <v>2.819</v>
      </c>
    </row>
    <row r="3390" spans="1:3" x14ac:dyDescent="0.3">
      <c r="A3390" t="s">
        <v>3389</v>
      </c>
      <c r="B3390">
        <f>0*(1-0.8198)</f>
        <v>0</v>
      </c>
      <c r="C3390" s="1">
        <v>2.819</v>
      </c>
    </row>
    <row r="3391" spans="1:3" x14ac:dyDescent="0.3">
      <c r="A3391" t="s">
        <v>3390</v>
      </c>
      <c r="B3391">
        <f>0.242946375714286*(1-0.8198)</f>
        <v>4.3778936903714295E-2</v>
      </c>
      <c r="C3391" s="1">
        <v>2.819</v>
      </c>
    </row>
    <row r="3392" spans="1:3" x14ac:dyDescent="0.3">
      <c r="A3392" t="s">
        <v>3391</v>
      </c>
      <c r="B3392">
        <f>3.82958*(1-0.8198)</f>
        <v>0.69009031600000004</v>
      </c>
      <c r="C3392" s="1">
        <v>2.819</v>
      </c>
    </row>
    <row r="3393" spans="1:3" x14ac:dyDescent="0.3">
      <c r="A3393" t="s">
        <v>3392</v>
      </c>
      <c r="B3393">
        <f>8.08572*(1-0.8198)</f>
        <v>1.4570467439999999</v>
      </c>
      <c r="C3393" s="1">
        <v>8.0709999999999997</v>
      </c>
    </row>
    <row r="3394" spans="1:3" x14ac:dyDescent="0.3">
      <c r="A3394" t="s">
        <v>3393</v>
      </c>
      <c r="B3394">
        <f>8.04272*(1-0.8198)</f>
        <v>1.4492981439999997</v>
      </c>
      <c r="C3394" s="1">
        <v>9.9339999999999993</v>
      </c>
    </row>
    <row r="3395" spans="1:3" x14ac:dyDescent="0.3">
      <c r="A3395" t="s">
        <v>3394</v>
      </c>
      <c r="B3395">
        <f>9.50644*(1-0.8198)</f>
        <v>1.7130604880000004</v>
      </c>
      <c r="C3395" s="1">
        <v>9.9339999999999993</v>
      </c>
    </row>
    <row r="3396" spans="1:3" x14ac:dyDescent="0.3">
      <c r="A3396" t="s">
        <v>3395</v>
      </c>
      <c r="B3396">
        <f>11.18*(1-0.8198)</f>
        <v>2.0146360000000003</v>
      </c>
      <c r="C3396" s="1">
        <v>9.9339999999999993</v>
      </c>
    </row>
    <row r="3397" spans="1:3" x14ac:dyDescent="0.3">
      <c r="A3397" t="s">
        <v>3396</v>
      </c>
      <c r="B3397">
        <f>7.89566*(1-0.8198)</f>
        <v>1.4227979320000004</v>
      </c>
      <c r="C3397" s="1">
        <v>9.9339999999999993</v>
      </c>
    </row>
    <row r="3398" spans="1:3" x14ac:dyDescent="0.3">
      <c r="A3398" t="s">
        <v>3397</v>
      </c>
      <c r="B3398">
        <f>36.6759868057143*(1-0.8198)</f>
        <v>6.6090128223897153</v>
      </c>
      <c r="C3398" s="1">
        <v>9.9339999999999993</v>
      </c>
    </row>
    <row r="3399" spans="1:3" x14ac:dyDescent="0.3">
      <c r="A3399" t="s">
        <v>3398</v>
      </c>
      <c r="B3399">
        <f>24.6880815514286*(1-0.8198)</f>
        <v>4.4487922955674293</v>
      </c>
      <c r="C3399" s="1">
        <v>8.0709999999999997</v>
      </c>
    </row>
    <row r="3400" spans="1:3" x14ac:dyDescent="0.3">
      <c r="A3400" t="s">
        <v>3399</v>
      </c>
      <c r="B3400">
        <f>49.88776408*(1-0.8198)</f>
        <v>8.9897750872160014</v>
      </c>
      <c r="C3400" s="1">
        <v>8.0709999999999997</v>
      </c>
    </row>
    <row r="3401" spans="1:3" x14ac:dyDescent="0.3">
      <c r="A3401" t="s">
        <v>3400</v>
      </c>
      <c r="B3401">
        <f>42.9274833257143*(1-0.8198)</f>
        <v>7.7355324952937154</v>
      </c>
      <c r="C3401" s="1">
        <v>8.0709999999999997</v>
      </c>
    </row>
    <row r="3402" spans="1:3" x14ac:dyDescent="0.3">
      <c r="A3402" t="s">
        <v>3401</v>
      </c>
      <c r="B3402">
        <f>27.8642091028571*(1-0.8198)</f>
        <v>5.0211304803348575</v>
      </c>
      <c r="C3402" s="1">
        <v>8.0709999999999997</v>
      </c>
    </row>
    <row r="3403" spans="1:3" x14ac:dyDescent="0.3">
      <c r="A3403" t="s">
        <v>3402</v>
      </c>
      <c r="B3403">
        <f>16.4416351071429*(1-0.8198)</f>
        <v>2.9627826463071436</v>
      </c>
      <c r="C3403" s="1">
        <v>9.9339999999999993</v>
      </c>
    </row>
    <row r="3404" spans="1:3" x14ac:dyDescent="0.3">
      <c r="A3404" t="s">
        <v>3403</v>
      </c>
      <c r="B3404">
        <f>4.78999679428571*(1-0.8198)</f>
        <v>0.86315742233028581</v>
      </c>
      <c r="C3404" s="1">
        <v>9.9339999999999993</v>
      </c>
    </row>
    <row r="3405" spans="1:3" x14ac:dyDescent="0.3">
      <c r="A3405" t="s">
        <v>3404</v>
      </c>
      <c r="B3405">
        <f>0*(1-0.8198)</f>
        <v>0</v>
      </c>
      <c r="C3405" s="1">
        <v>9.9339999999999993</v>
      </c>
    </row>
    <row r="3406" spans="1:3" x14ac:dyDescent="0.3">
      <c r="A3406" t="s">
        <v>3405</v>
      </c>
      <c r="B3406">
        <f>0*(1-0.8198)</f>
        <v>0</v>
      </c>
      <c r="C3406" s="1">
        <v>9.9339999999999993</v>
      </c>
    </row>
    <row r="3407" spans="1:3" x14ac:dyDescent="0.3">
      <c r="A3407" t="s">
        <v>3406</v>
      </c>
      <c r="B3407">
        <f>0*(1-0.8198)</f>
        <v>0</v>
      </c>
      <c r="C3407" s="1">
        <v>8.0709999999999997</v>
      </c>
    </row>
    <row r="3408" spans="1:3" x14ac:dyDescent="0.3">
      <c r="A3408" t="s">
        <v>3407</v>
      </c>
      <c r="B3408">
        <f>0*(1-0.8198)</f>
        <v>0</v>
      </c>
      <c r="C3408" s="1">
        <v>8.0709999999999997</v>
      </c>
    </row>
    <row r="3409" spans="1:3" x14ac:dyDescent="0.3">
      <c r="A3409" t="s">
        <v>3408</v>
      </c>
      <c r="B3409">
        <f>0*(1-0.8198)</f>
        <v>0</v>
      </c>
      <c r="C3409" s="1">
        <v>2.819</v>
      </c>
    </row>
    <row r="3410" spans="1:3" x14ac:dyDescent="0.3">
      <c r="A3410" t="s">
        <v>3409</v>
      </c>
      <c r="B3410">
        <f>0*(1-0.8198)</f>
        <v>0</v>
      </c>
      <c r="C3410" s="1">
        <v>2.819</v>
      </c>
    </row>
    <row r="3411" spans="1:3" x14ac:dyDescent="0.3">
      <c r="A3411" t="s">
        <v>3410</v>
      </c>
      <c r="B3411">
        <f>0*(1-0.8198)</f>
        <v>0</v>
      </c>
      <c r="C3411" s="1">
        <v>2.819</v>
      </c>
    </row>
    <row r="3412" spans="1:3" x14ac:dyDescent="0.3">
      <c r="A3412" t="s">
        <v>3411</v>
      </c>
      <c r="B3412">
        <f>0*(1-0.8198)</f>
        <v>0</v>
      </c>
      <c r="C3412" s="1">
        <v>2.819</v>
      </c>
    </row>
    <row r="3413" spans="1:3" x14ac:dyDescent="0.3">
      <c r="A3413" t="s">
        <v>3412</v>
      </c>
      <c r="B3413">
        <f>0*(1-0.8198)</f>
        <v>0</v>
      </c>
      <c r="C3413" s="1">
        <v>2.819</v>
      </c>
    </row>
    <row r="3414" spans="1:3" x14ac:dyDescent="0.3">
      <c r="A3414" t="s">
        <v>3413</v>
      </c>
      <c r="B3414">
        <f>0*(1-0.8198)</f>
        <v>0</v>
      </c>
      <c r="C3414" s="1">
        <v>2.819</v>
      </c>
    </row>
    <row r="3415" spans="1:3" x14ac:dyDescent="0.3">
      <c r="A3415" t="s">
        <v>3414</v>
      </c>
      <c r="B3415">
        <f>3.65338596428571*(1-0.8198)</f>
        <v>0.65834015076428598</v>
      </c>
      <c r="C3415" s="1">
        <v>2.819</v>
      </c>
    </row>
    <row r="3416" spans="1:3" x14ac:dyDescent="0.3">
      <c r="A3416" t="s">
        <v>3415</v>
      </c>
      <c r="B3416">
        <f>7.94413746285714*(1-0.8198)</f>
        <v>1.4315335708068575</v>
      </c>
      <c r="C3416" s="1">
        <v>2.819</v>
      </c>
    </row>
    <row r="3417" spans="1:3" x14ac:dyDescent="0.3">
      <c r="A3417" t="s">
        <v>3416</v>
      </c>
      <c r="B3417">
        <f>10.3607787428571*(1-0.8198)</f>
        <v>1.867012329462858</v>
      </c>
      <c r="C3417" s="1">
        <v>8.0709999999999997</v>
      </c>
    </row>
    <row r="3418" spans="1:3" x14ac:dyDescent="0.3">
      <c r="A3418" t="s">
        <v>3417</v>
      </c>
      <c r="B3418">
        <f>14.5601516171429*(1-0.8198)</f>
        <v>2.6237393214091433</v>
      </c>
      <c r="C3418" s="1">
        <v>9.9339999999999993</v>
      </c>
    </row>
    <row r="3419" spans="1:3" x14ac:dyDescent="0.3">
      <c r="A3419" t="s">
        <v>3418</v>
      </c>
      <c r="B3419">
        <f>28.9730712957143*(1-0.8198)</f>
        <v>5.2209474474877151</v>
      </c>
      <c r="C3419" s="1">
        <v>9.9339999999999993</v>
      </c>
    </row>
    <row r="3420" spans="1:3" x14ac:dyDescent="0.3">
      <c r="A3420" t="s">
        <v>3419</v>
      </c>
      <c r="B3420">
        <f>60.2911789814286*(1-0.8198)</f>
        <v>10.864470452453434</v>
      </c>
      <c r="C3420" s="1">
        <v>9.9339999999999993</v>
      </c>
    </row>
    <row r="3421" spans="1:3" x14ac:dyDescent="0.3">
      <c r="A3421" t="s">
        <v>3420</v>
      </c>
      <c r="B3421">
        <f>61.4285714285714*(1-0.8198)</f>
        <v>11.069428571428574</v>
      </c>
      <c r="C3421" s="1">
        <v>9.9339999999999993</v>
      </c>
    </row>
    <row r="3422" spans="1:3" x14ac:dyDescent="0.3">
      <c r="A3422" t="s">
        <v>3421</v>
      </c>
      <c r="B3422">
        <f>61.4285714285714*(1-0.8198)</f>
        <v>11.069428571428574</v>
      </c>
      <c r="C3422" s="1">
        <v>9.9339999999999993</v>
      </c>
    </row>
    <row r="3423" spans="1:3" x14ac:dyDescent="0.3">
      <c r="A3423" t="s">
        <v>3422</v>
      </c>
      <c r="B3423">
        <f>61.4285714285714*(1-0.8198)</f>
        <v>11.069428571428574</v>
      </c>
      <c r="C3423" s="1">
        <v>8.0709999999999997</v>
      </c>
    </row>
    <row r="3424" spans="1:3" x14ac:dyDescent="0.3">
      <c r="A3424" t="s">
        <v>3423</v>
      </c>
      <c r="B3424">
        <f>54.2997538328571*(1-0.8198)</f>
        <v>9.7848156406808595</v>
      </c>
      <c r="C3424" s="1">
        <v>8.0709999999999997</v>
      </c>
    </row>
    <row r="3425" spans="1:3" x14ac:dyDescent="0.3">
      <c r="A3425" t="s">
        <v>3424</v>
      </c>
      <c r="B3425">
        <f>37.5170348628571*(1-0.8198)</f>
        <v>6.7605696822868584</v>
      </c>
      <c r="C3425" s="1">
        <v>8.0709999999999997</v>
      </c>
    </row>
    <row r="3426" spans="1:3" x14ac:dyDescent="0.3">
      <c r="A3426" t="s">
        <v>3425</v>
      </c>
      <c r="B3426">
        <f>30.3001411042857*(1-0.8198)</f>
        <v>5.4600854269922872</v>
      </c>
      <c r="C3426" s="1">
        <v>8.0709999999999997</v>
      </c>
    </row>
    <row r="3427" spans="1:3" x14ac:dyDescent="0.3">
      <c r="A3427" t="s">
        <v>3426</v>
      </c>
      <c r="B3427">
        <f>15.6736911657143*(1-0.8198)</f>
        <v>2.824399148061715</v>
      </c>
      <c r="C3427" s="1">
        <v>9.9339999999999993</v>
      </c>
    </row>
    <row r="3428" spans="1:3" x14ac:dyDescent="0.3">
      <c r="A3428" t="s">
        <v>3427</v>
      </c>
      <c r="B3428">
        <f>4.56106221428572*(1-0.8198)</f>
        <v>0.82190341101428599</v>
      </c>
      <c r="C3428" s="1">
        <v>9.9339999999999993</v>
      </c>
    </row>
    <row r="3429" spans="1:3" x14ac:dyDescent="0.3">
      <c r="A3429" t="s">
        <v>3428</v>
      </c>
      <c r="B3429">
        <f>0*(1-0.8198)</f>
        <v>0</v>
      </c>
      <c r="C3429" s="1">
        <v>9.9339999999999993</v>
      </c>
    </row>
    <row r="3430" spans="1:3" x14ac:dyDescent="0.3">
      <c r="A3430" t="s">
        <v>3429</v>
      </c>
      <c r="B3430">
        <f>0*(1-0.8198)</f>
        <v>0</v>
      </c>
      <c r="C3430" s="1">
        <v>9.9339999999999993</v>
      </c>
    </row>
    <row r="3431" spans="1:3" x14ac:dyDescent="0.3">
      <c r="A3431" t="s">
        <v>3430</v>
      </c>
      <c r="B3431">
        <f>0*(1-0.8198)</f>
        <v>0</v>
      </c>
      <c r="C3431" s="1">
        <v>8.0709999999999997</v>
      </c>
    </row>
    <row r="3432" spans="1:3" x14ac:dyDescent="0.3">
      <c r="A3432" t="s">
        <v>3431</v>
      </c>
      <c r="B3432">
        <f>0*(1-0.8198)</f>
        <v>0</v>
      </c>
      <c r="C3432" s="1">
        <v>8.0709999999999997</v>
      </c>
    </row>
    <row r="3433" spans="1:3" x14ac:dyDescent="0.3">
      <c r="A3433" t="s">
        <v>3432</v>
      </c>
      <c r="B3433">
        <f>0*(1-0.8198)</f>
        <v>0</v>
      </c>
      <c r="C3433" s="1">
        <v>2.819</v>
      </c>
    </row>
    <row r="3434" spans="1:3" x14ac:dyDescent="0.3">
      <c r="A3434" t="s">
        <v>3433</v>
      </c>
      <c r="B3434">
        <f>0*(1-0.8198)</f>
        <v>0</v>
      </c>
      <c r="C3434" s="1">
        <v>2.819</v>
      </c>
    </row>
    <row r="3435" spans="1:3" x14ac:dyDescent="0.3">
      <c r="A3435" t="s">
        <v>3434</v>
      </c>
      <c r="B3435">
        <f>0*(1-0.8198)</f>
        <v>0</v>
      </c>
      <c r="C3435" s="1">
        <v>2.819</v>
      </c>
    </row>
    <row r="3436" spans="1:3" x14ac:dyDescent="0.3">
      <c r="A3436" t="s">
        <v>3435</v>
      </c>
      <c r="B3436">
        <f>0*(1-0.8198)</f>
        <v>0</v>
      </c>
      <c r="C3436" s="1">
        <v>2.819</v>
      </c>
    </row>
    <row r="3437" spans="1:3" x14ac:dyDescent="0.3">
      <c r="A3437" t="s">
        <v>3436</v>
      </c>
      <c r="B3437">
        <f>0*(1-0.8198)</f>
        <v>0</v>
      </c>
      <c r="C3437" s="1">
        <v>2.819</v>
      </c>
    </row>
    <row r="3438" spans="1:3" x14ac:dyDescent="0.3">
      <c r="A3438" t="s">
        <v>3437</v>
      </c>
      <c r="B3438">
        <f>0*(1-0.8198)</f>
        <v>0</v>
      </c>
      <c r="C3438" s="1">
        <v>2.819</v>
      </c>
    </row>
    <row r="3439" spans="1:3" x14ac:dyDescent="0.3">
      <c r="A3439" t="s">
        <v>3438</v>
      </c>
      <c r="B3439">
        <f>2.80106662428572*(1-0.8198)</f>
        <v>0.50475220569628598</v>
      </c>
      <c r="C3439" s="1">
        <v>2.819</v>
      </c>
    </row>
    <row r="3440" spans="1:3" x14ac:dyDescent="0.3">
      <c r="A3440" t="s">
        <v>3439</v>
      </c>
      <c r="B3440">
        <f>14.9830122657143*(1-0.8198)</f>
        <v>2.699938810281715</v>
      </c>
      <c r="C3440" s="1">
        <v>2.819</v>
      </c>
    </row>
    <row r="3441" spans="1:3" x14ac:dyDescent="0.3">
      <c r="A3441" t="s">
        <v>3440</v>
      </c>
      <c r="B3441">
        <f>29.2348007471429*(1-0.8198)</f>
        <v>5.2681110946351444</v>
      </c>
      <c r="C3441" s="1">
        <v>8.0709999999999997</v>
      </c>
    </row>
    <row r="3442" spans="1:3" x14ac:dyDescent="0.3">
      <c r="A3442" t="s">
        <v>3441</v>
      </c>
      <c r="B3442">
        <f>40.9992071742857*(1-0.8198)</f>
        <v>7.3880571328062867</v>
      </c>
      <c r="C3442" s="1">
        <v>9.9339999999999993</v>
      </c>
    </row>
    <row r="3443" spans="1:3" x14ac:dyDescent="0.3">
      <c r="A3443" t="s">
        <v>3442</v>
      </c>
      <c r="B3443">
        <f>51.4926726142857*(1-0.8198)</f>
        <v>9.2789796050942872</v>
      </c>
      <c r="C3443" s="1">
        <v>9.9339999999999993</v>
      </c>
    </row>
    <row r="3444" spans="1:3" x14ac:dyDescent="0.3">
      <c r="A3444" t="s">
        <v>3443</v>
      </c>
      <c r="B3444">
        <f>56.1071439*(1-0.8198)</f>
        <v>10.110507330780001</v>
      </c>
      <c r="C3444" s="1">
        <v>9.9339999999999993</v>
      </c>
    </row>
    <row r="3445" spans="1:3" x14ac:dyDescent="0.3">
      <c r="A3445" t="s">
        <v>3444</v>
      </c>
      <c r="B3445">
        <f>61.4285714285714*(1-0.8198)</f>
        <v>11.069428571428574</v>
      </c>
      <c r="C3445" s="1">
        <v>9.9339999999999993</v>
      </c>
    </row>
    <row r="3446" spans="1:3" x14ac:dyDescent="0.3">
      <c r="A3446" t="s">
        <v>3445</v>
      </c>
      <c r="B3446">
        <f>61.4285714285714*(1-0.8198)</f>
        <v>11.069428571428574</v>
      </c>
      <c r="C3446" s="1">
        <v>9.9339999999999993</v>
      </c>
    </row>
    <row r="3447" spans="1:3" x14ac:dyDescent="0.3">
      <c r="A3447" t="s">
        <v>3446</v>
      </c>
      <c r="B3447">
        <f>59.2787437971429*(1-0.8198)</f>
        <v>10.682029632245147</v>
      </c>
      <c r="C3447" s="1">
        <v>8.0709999999999997</v>
      </c>
    </row>
    <row r="3448" spans="1:3" x14ac:dyDescent="0.3">
      <c r="A3448" t="s">
        <v>3447</v>
      </c>
      <c r="B3448">
        <f>29.6395019428571*(1-0.8198)</f>
        <v>5.3410382501028586</v>
      </c>
      <c r="C3448" s="1">
        <v>8.0709999999999997</v>
      </c>
    </row>
    <row r="3449" spans="1:3" x14ac:dyDescent="0.3">
      <c r="A3449" t="s">
        <v>3448</v>
      </c>
      <c r="B3449">
        <f>22.3226353957143*(1-0.8198)</f>
        <v>4.0225388983077153</v>
      </c>
      <c r="C3449" s="1">
        <v>8.0709999999999997</v>
      </c>
    </row>
    <row r="3450" spans="1:3" x14ac:dyDescent="0.3">
      <c r="A3450" t="s">
        <v>3449</v>
      </c>
      <c r="B3450">
        <f>15.2904149042857*(1-0.8198)</f>
        <v>2.7553327657522861</v>
      </c>
      <c r="C3450" s="1">
        <v>8.0709999999999997</v>
      </c>
    </row>
    <row r="3451" spans="1:3" x14ac:dyDescent="0.3">
      <c r="A3451" t="s">
        <v>3450</v>
      </c>
      <c r="B3451">
        <f>7.13298183857143*(1-0.8198)</f>
        <v>1.2853633273105718</v>
      </c>
      <c r="C3451" s="1">
        <v>9.9339999999999993</v>
      </c>
    </row>
    <row r="3452" spans="1:3" x14ac:dyDescent="0.3">
      <c r="A3452" t="s">
        <v>3451</v>
      </c>
      <c r="B3452">
        <f>3.49103805142857*(1-0.8198)</f>
        <v>0.62908505686742866</v>
      </c>
      <c r="C3452" s="1">
        <v>9.9339999999999993</v>
      </c>
    </row>
    <row r="3453" spans="1:3" x14ac:dyDescent="0.3">
      <c r="A3453" t="s">
        <v>3452</v>
      </c>
      <c r="B3453">
        <f>0*(1-0.8198)</f>
        <v>0</v>
      </c>
      <c r="C3453" s="1">
        <v>9.9339999999999993</v>
      </c>
    </row>
    <row r="3454" spans="1:3" x14ac:dyDescent="0.3">
      <c r="A3454" t="s">
        <v>3453</v>
      </c>
      <c r="B3454">
        <f>0*(1-0.8198)</f>
        <v>0</v>
      </c>
      <c r="C3454" s="1">
        <v>9.9339999999999993</v>
      </c>
    </row>
    <row r="3455" spans="1:3" x14ac:dyDescent="0.3">
      <c r="A3455" t="s">
        <v>3454</v>
      </c>
      <c r="B3455">
        <f>0*(1-0.8198)</f>
        <v>0</v>
      </c>
      <c r="C3455" s="1">
        <v>8.0709999999999997</v>
      </c>
    </row>
    <row r="3456" spans="1:3" x14ac:dyDescent="0.3">
      <c r="A3456" t="s">
        <v>3455</v>
      </c>
      <c r="B3456">
        <f>0*(1-0.8198)</f>
        <v>0</v>
      </c>
      <c r="C3456" s="1">
        <v>8.0709999999999997</v>
      </c>
    </row>
    <row r="3457" spans="1:3" x14ac:dyDescent="0.3">
      <c r="A3457" t="s">
        <v>3456</v>
      </c>
      <c r="B3457">
        <f>0*(1-0.8198)</f>
        <v>0</v>
      </c>
      <c r="C3457" s="1">
        <v>2.819</v>
      </c>
    </row>
    <row r="3458" spans="1:3" x14ac:dyDescent="0.3">
      <c r="A3458" t="s">
        <v>3457</v>
      </c>
      <c r="B3458">
        <f>0*(1-0.8198)</f>
        <v>0</v>
      </c>
      <c r="C3458" s="1">
        <v>2.819</v>
      </c>
    </row>
    <row r="3459" spans="1:3" x14ac:dyDescent="0.3">
      <c r="A3459" t="s">
        <v>3458</v>
      </c>
      <c r="B3459">
        <f>0*(1-0.8198)</f>
        <v>0</v>
      </c>
      <c r="C3459" s="1">
        <v>2.819</v>
      </c>
    </row>
    <row r="3460" spans="1:3" x14ac:dyDescent="0.3">
      <c r="A3460" t="s">
        <v>3459</v>
      </c>
      <c r="B3460">
        <f>0*(1-0.8198)</f>
        <v>0</v>
      </c>
      <c r="C3460" s="1">
        <v>2.819</v>
      </c>
    </row>
    <row r="3461" spans="1:3" x14ac:dyDescent="0.3">
      <c r="A3461" t="s">
        <v>3460</v>
      </c>
      <c r="B3461">
        <f>0*(1-0.8198)</f>
        <v>0</v>
      </c>
      <c r="C3461" s="1">
        <v>2.819</v>
      </c>
    </row>
    <row r="3462" spans="1:3" x14ac:dyDescent="0.3">
      <c r="A3462" t="s">
        <v>3461</v>
      </c>
      <c r="B3462">
        <f>0*(1-0.8198)</f>
        <v>0</v>
      </c>
      <c r="C3462" s="1">
        <v>2.819</v>
      </c>
    </row>
    <row r="3463" spans="1:3" x14ac:dyDescent="0.3">
      <c r="A3463" t="s">
        <v>3462</v>
      </c>
      <c r="B3463">
        <f>1.27217987857143*(1-0.8198)</f>
        <v>0.22924681411857148</v>
      </c>
      <c r="C3463" s="1">
        <v>2.819</v>
      </c>
    </row>
    <row r="3464" spans="1:3" x14ac:dyDescent="0.3">
      <c r="A3464" t="s">
        <v>3463</v>
      </c>
      <c r="B3464">
        <f>2.34436*(1-0.8198)</f>
        <v>0.42245367200000017</v>
      </c>
      <c r="C3464" s="1">
        <v>2.819</v>
      </c>
    </row>
    <row r="3465" spans="1:3" x14ac:dyDescent="0.3">
      <c r="A3465" t="s">
        <v>3464</v>
      </c>
      <c r="B3465">
        <f>6.89462*(1-0.8198)</f>
        <v>1.2424105240000003</v>
      </c>
      <c r="C3465" s="1">
        <v>2.819</v>
      </c>
    </row>
    <row r="3466" spans="1:3" x14ac:dyDescent="0.3">
      <c r="A3466" t="s">
        <v>3465</v>
      </c>
      <c r="B3466">
        <f>12.16298*(1-0.8198)</f>
        <v>2.191768996</v>
      </c>
      <c r="C3466" s="1">
        <v>2.819</v>
      </c>
    </row>
    <row r="3467" spans="1:3" x14ac:dyDescent="0.3">
      <c r="A3467" t="s">
        <v>3466</v>
      </c>
      <c r="B3467">
        <f>6.0587*(1-0.8198)</f>
        <v>1.0917777400000002</v>
      </c>
      <c r="C3467" s="1">
        <v>2.819</v>
      </c>
    </row>
    <row r="3468" spans="1:3" x14ac:dyDescent="0.3">
      <c r="A3468" t="s">
        <v>3467</v>
      </c>
      <c r="B3468">
        <f>12.74262*(1-0.8198)</f>
        <v>2.2962201240000004</v>
      </c>
      <c r="C3468" s="1">
        <v>2.819</v>
      </c>
    </row>
    <row r="3469" spans="1:3" x14ac:dyDescent="0.3">
      <c r="A3469" t="s">
        <v>3468</v>
      </c>
      <c r="B3469">
        <f>8.94916*(1-0.8198)</f>
        <v>1.6126386320000001</v>
      </c>
      <c r="C3469" s="1">
        <v>2.819</v>
      </c>
    </row>
    <row r="3470" spans="1:3" x14ac:dyDescent="0.3">
      <c r="A3470" t="s">
        <v>3469</v>
      </c>
      <c r="B3470">
        <f>9.96052*(1-0.8198)</f>
        <v>1.7948857040000004</v>
      </c>
      <c r="C3470" s="1">
        <v>2.819</v>
      </c>
    </row>
    <row r="3471" spans="1:3" x14ac:dyDescent="0.3">
      <c r="A3471" t="s">
        <v>3470</v>
      </c>
      <c r="B3471">
        <f>13.42632*(1-0.8198)</f>
        <v>2.4194228640000013</v>
      </c>
      <c r="C3471" s="1">
        <v>2.819</v>
      </c>
    </row>
    <row r="3472" spans="1:3" x14ac:dyDescent="0.3">
      <c r="A3472" t="s">
        <v>3471</v>
      </c>
      <c r="B3472">
        <f>9.34218*(1-0.8198)</f>
        <v>1.6834608360000003</v>
      </c>
      <c r="C3472" s="1">
        <v>2.819</v>
      </c>
    </row>
    <row r="3473" spans="1:3" x14ac:dyDescent="0.3">
      <c r="A3473" t="s">
        <v>3472</v>
      </c>
      <c r="B3473">
        <f>8.84768*(1-0.8198)</f>
        <v>1.5943519360000002</v>
      </c>
      <c r="C3473" s="1">
        <v>2.819</v>
      </c>
    </row>
    <row r="3474" spans="1:3" x14ac:dyDescent="0.3">
      <c r="A3474" t="s">
        <v>3473</v>
      </c>
      <c r="B3474">
        <f>4.21916*(1-0.8198)</f>
        <v>0.76029263200000019</v>
      </c>
      <c r="C3474" s="1">
        <v>2.819</v>
      </c>
    </row>
    <row r="3475" spans="1:3" x14ac:dyDescent="0.3">
      <c r="A3475" t="s">
        <v>3474</v>
      </c>
      <c r="B3475">
        <f>4.22088*(1-0.8198)</f>
        <v>0.76060257600000014</v>
      </c>
      <c r="C3475" s="1">
        <v>2.819</v>
      </c>
    </row>
    <row r="3476" spans="1:3" x14ac:dyDescent="0.3">
      <c r="A3476" t="s">
        <v>3475</v>
      </c>
      <c r="B3476">
        <f>0.53062*(1-0.8198)</f>
        <v>9.5617724000000029E-2</v>
      </c>
      <c r="C3476" s="1">
        <v>2.819</v>
      </c>
    </row>
    <row r="3477" spans="1:3" x14ac:dyDescent="0.3">
      <c r="A3477" t="s">
        <v>3476</v>
      </c>
      <c r="B3477">
        <f>0*(1-0.8198)</f>
        <v>0</v>
      </c>
      <c r="C3477" s="1">
        <v>2.819</v>
      </c>
    </row>
    <row r="3478" spans="1:3" x14ac:dyDescent="0.3">
      <c r="A3478" t="s">
        <v>3477</v>
      </c>
      <c r="B3478">
        <f>0*(1-0.8198)</f>
        <v>0</v>
      </c>
      <c r="C3478" s="1">
        <v>2.819</v>
      </c>
    </row>
    <row r="3479" spans="1:3" x14ac:dyDescent="0.3">
      <c r="A3479" t="s">
        <v>3478</v>
      </c>
      <c r="B3479">
        <f>0*(1-0.8198)</f>
        <v>0</v>
      </c>
      <c r="C3479" s="1">
        <v>2.819</v>
      </c>
    </row>
    <row r="3480" spans="1:3" x14ac:dyDescent="0.3">
      <c r="A3480" t="s">
        <v>3479</v>
      </c>
      <c r="B3480">
        <f>0*(1-0.8198)</f>
        <v>0</v>
      </c>
      <c r="C3480" s="1">
        <v>2.819</v>
      </c>
    </row>
    <row r="3481" spans="1:3" x14ac:dyDescent="0.3">
      <c r="A3481" t="s">
        <v>3480</v>
      </c>
      <c r="B3481">
        <f>0*(1-0.8198)</f>
        <v>0</v>
      </c>
      <c r="C3481" s="1">
        <v>2.819</v>
      </c>
    </row>
    <row r="3482" spans="1:3" x14ac:dyDescent="0.3">
      <c r="A3482" t="s">
        <v>3481</v>
      </c>
      <c r="B3482">
        <f>0*(1-0.8198)</f>
        <v>0</v>
      </c>
      <c r="C3482" s="1">
        <v>2.819</v>
      </c>
    </row>
    <row r="3483" spans="1:3" x14ac:dyDescent="0.3">
      <c r="A3483" t="s">
        <v>3482</v>
      </c>
      <c r="B3483">
        <f>0*(1-0.8198)</f>
        <v>0</v>
      </c>
      <c r="C3483" s="1">
        <v>2.819</v>
      </c>
    </row>
    <row r="3484" spans="1:3" x14ac:dyDescent="0.3">
      <c r="A3484" t="s">
        <v>3483</v>
      </c>
      <c r="B3484">
        <f>0*(1-0.8198)</f>
        <v>0</v>
      </c>
      <c r="C3484" s="1">
        <v>2.819</v>
      </c>
    </row>
    <row r="3485" spans="1:3" x14ac:dyDescent="0.3">
      <c r="A3485" t="s">
        <v>3484</v>
      </c>
      <c r="B3485">
        <f>0*(1-0.8198)</f>
        <v>0</v>
      </c>
      <c r="C3485" s="1">
        <v>2.819</v>
      </c>
    </row>
    <row r="3486" spans="1:3" x14ac:dyDescent="0.3">
      <c r="A3486" t="s">
        <v>3485</v>
      </c>
      <c r="B3486">
        <f>0*(1-0.8198)</f>
        <v>0</v>
      </c>
      <c r="C3486" s="1">
        <v>2.819</v>
      </c>
    </row>
    <row r="3487" spans="1:3" x14ac:dyDescent="0.3">
      <c r="A3487" t="s">
        <v>3486</v>
      </c>
      <c r="B3487">
        <f>3.00823503428571*(1-0.8198)</f>
        <v>0.54208395317828584</v>
      </c>
      <c r="C3487" s="1">
        <v>2.819</v>
      </c>
    </row>
    <row r="3488" spans="1:3" x14ac:dyDescent="0.3">
      <c r="A3488" t="s">
        <v>3487</v>
      </c>
      <c r="B3488">
        <f>15.33020907*(1-0.8198)</f>
        <v>2.7625036744140004</v>
      </c>
      <c r="C3488" s="1">
        <v>2.819</v>
      </c>
    </row>
    <row r="3489" spans="1:3" x14ac:dyDescent="0.3">
      <c r="A3489" t="s">
        <v>3488</v>
      </c>
      <c r="B3489">
        <f>29.2210053642857*(1-0.8198)</f>
        <v>5.2656251666442859</v>
      </c>
      <c r="C3489" s="1">
        <v>2.819</v>
      </c>
    </row>
    <row r="3490" spans="1:3" x14ac:dyDescent="0.3">
      <c r="A3490" t="s">
        <v>3489</v>
      </c>
      <c r="B3490">
        <f>42.5462750571429*(1-0.8198)</f>
        <v>7.6668387652971441</v>
      </c>
      <c r="C3490" s="1">
        <v>2.819</v>
      </c>
    </row>
    <row r="3491" spans="1:3" x14ac:dyDescent="0.3">
      <c r="A3491" t="s">
        <v>3490</v>
      </c>
      <c r="B3491">
        <f>52.3721263671429*(1-0.8198)</f>
        <v>9.4374571713591457</v>
      </c>
      <c r="C3491" s="1">
        <v>2.819</v>
      </c>
    </row>
    <row r="3492" spans="1:3" x14ac:dyDescent="0.3">
      <c r="A3492" t="s">
        <v>3491</v>
      </c>
      <c r="B3492">
        <f>60.4653712442857*(1-0.8198)</f>
        <v>10.895859898220289</v>
      </c>
      <c r="C3492" s="1">
        <v>2.819</v>
      </c>
    </row>
    <row r="3493" spans="1:3" x14ac:dyDescent="0.3">
      <c r="A3493" t="s">
        <v>3492</v>
      </c>
      <c r="B3493">
        <f>61.4285714285714*(1-0.8198)</f>
        <v>11.069428571428574</v>
      </c>
      <c r="C3493" s="1">
        <v>2.819</v>
      </c>
    </row>
    <row r="3494" spans="1:3" x14ac:dyDescent="0.3">
      <c r="A3494" t="s">
        <v>3493</v>
      </c>
      <c r="B3494">
        <f>61.4285714285714*(1-0.8198)</f>
        <v>11.069428571428574</v>
      </c>
      <c r="C3494" s="1">
        <v>2.819</v>
      </c>
    </row>
    <row r="3495" spans="1:3" x14ac:dyDescent="0.3">
      <c r="A3495" t="s">
        <v>3494</v>
      </c>
      <c r="B3495">
        <f>61.0480510985714*(1-0.8198)</f>
        <v>11.000858807962572</v>
      </c>
      <c r="C3495" s="1">
        <v>2.819</v>
      </c>
    </row>
    <row r="3496" spans="1:3" x14ac:dyDescent="0.3">
      <c r="A3496" t="s">
        <v>3495</v>
      </c>
      <c r="B3496">
        <f>53.6371785042857*(1-0.8198)</f>
        <v>9.6654195664722877</v>
      </c>
      <c r="C3496" s="1">
        <v>2.819</v>
      </c>
    </row>
    <row r="3497" spans="1:3" x14ac:dyDescent="0.3">
      <c r="A3497" t="s">
        <v>3496</v>
      </c>
      <c r="B3497">
        <f>43.1840702228572*(1-0.8198)</f>
        <v>7.7817694541588596</v>
      </c>
      <c r="C3497" s="1">
        <v>2.819</v>
      </c>
    </row>
    <row r="3498" spans="1:3" x14ac:dyDescent="0.3">
      <c r="A3498" t="s">
        <v>3497</v>
      </c>
      <c r="B3498">
        <f>30.4113878171429*(1-0.8198)</f>
        <v>5.4801320846491439</v>
      </c>
      <c r="C3498" s="1">
        <v>2.819</v>
      </c>
    </row>
    <row r="3499" spans="1:3" x14ac:dyDescent="0.3">
      <c r="A3499" t="s">
        <v>3498</v>
      </c>
      <c r="B3499">
        <f>16.0603096942857*(1-0.8198)</f>
        <v>2.8940678069102868</v>
      </c>
      <c r="C3499" s="1">
        <v>2.819</v>
      </c>
    </row>
    <row r="3500" spans="1:3" x14ac:dyDescent="0.3">
      <c r="A3500" t="s">
        <v>3499</v>
      </c>
      <c r="B3500">
        <f>4.90467435428572*(1-0.8198)</f>
        <v>0.883822318642286</v>
      </c>
      <c r="C3500" s="1">
        <v>2.819</v>
      </c>
    </row>
    <row r="3501" spans="1:3" x14ac:dyDescent="0.3">
      <c r="A3501" t="s">
        <v>3500</v>
      </c>
      <c r="B3501">
        <f>0*(1-0.8198)</f>
        <v>0</v>
      </c>
      <c r="C3501" s="1">
        <v>2.819</v>
      </c>
    </row>
    <row r="3502" spans="1:3" x14ac:dyDescent="0.3">
      <c r="A3502" t="s">
        <v>3501</v>
      </c>
      <c r="B3502">
        <f>0*(1-0.8198)</f>
        <v>0</v>
      </c>
      <c r="C3502" s="1">
        <v>2.819</v>
      </c>
    </row>
    <row r="3503" spans="1:3" x14ac:dyDescent="0.3">
      <c r="A3503" t="s">
        <v>3502</v>
      </c>
      <c r="B3503">
        <f>0*(1-0.8198)</f>
        <v>0</v>
      </c>
      <c r="C3503" s="1">
        <v>2.819</v>
      </c>
    </row>
    <row r="3504" spans="1:3" x14ac:dyDescent="0.3">
      <c r="A3504" t="s">
        <v>3503</v>
      </c>
      <c r="B3504">
        <f>0*(1-0.8198)</f>
        <v>0</v>
      </c>
      <c r="C3504" s="1">
        <v>2.819</v>
      </c>
    </row>
    <row r="3505" spans="1:3" x14ac:dyDescent="0.3">
      <c r="A3505" t="s">
        <v>3504</v>
      </c>
      <c r="B3505">
        <f>0*(1-0.8198)</f>
        <v>0</v>
      </c>
      <c r="C3505" s="1">
        <v>2.819</v>
      </c>
    </row>
    <row r="3506" spans="1:3" x14ac:dyDescent="0.3">
      <c r="A3506" t="s">
        <v>3505</v>
      </c>
      <c r="B3506">
        <f>0*(1-0.8198)</f>
        <v>0</v>
      </c>
      <c r="C3506" s="1">
        <v>2.819</v>
      </c>
    </row>
    <row r="3507" spans="1:3" x14ac:dyDescent="0.3">
      <c r="A3507" t="s">
        <v>3506</v>
      </c>
      <c r="B3507">
        <f>0*(1-0.8198)</f>
        <v>0</v>
      </c>
      <c r="C3507" s="1">
        <v>2.819</v>
      </c>
    </row>
    <row r="3508" spans="1:3" x14ac:dyDescent="0.3">
      <c r="A3508" t="s">
        <v>3507</v>
      </c>
      <c r="B3508">
        <f>0*(1-0.8198)</f>
        <v>0</v>
      </c>
      <c r="C3508" s="1">
        <v>2.819</v>
      </c>
    </row>
    <row r="3509" spans="1:3" x14ac:dyDescent="0.3">
      <c r="A3509" t="s">
        <v>3508</v>
      </c>
      <c r="B3509">
        <f>0*(1-0.8198)</f>
        <v>0</v>
      </c>
      <c r="C3509" s="1">
        <v>2.819</v>
      </c>
    </row>
    <row r="3510" spans="1:3" x14ac:dyDescent="0.3">
      <c r="A3510" t="s">
        <v>3509</v>
      </c>
      <c r="B3510">
        <f>0*(1-0.8198)</f>
        <v>0</v>
      </c>
      <c r="C3510" s="1">
        <v>2.819</v>
      </c>
    </row>
    <row r="3511" spans="1:3" x14ac:dyDescent="0.3">
      <c r="A3511" t="s">
        <v>3510</v>
      </c>
      <c r="B3511">
        <f>3.45316457285714*(1-0.8198)</f>
        <v>0.62226025602885726</v>
      </c>
      <c r="C3511" s="1">
        <v>2.819</v>
      </c>
    </row>
    <row r="3512" spans="1:3" x14ac:dyDescent="0.3">
      <c r="A3512" t="s">
        <v>3511</v>
      </c>
      <c r="B3512">
        <f>15.4081387071429*(1-0.8198)</f>
        <v>2.7765465950271437</v>
      </c>
      <c r="C3512" s="1">
        <v>2.819</v>
      </c>
    </row>
    <row r="3513" spans="1:3" x14ac:dyDescent="0.3">
      <c r="A3513" t="s">
        <v>3512</v>
      </c>
      <c r="B3513">
        <f>29.38017484*(1-0.8198)</f>
        <v>5.2943075061680007</v>
      </c>
      <c r="C3513" s="1">
        <v>8.0709999999999997</v>
      </c>
    </row>
    <row r="3514" spans="1:3" x14ac:dyDescent="0.3">
      <c r="A3514" t="s">
        <v>3513</v>
      </c>
      <c r="B3514">
        <f>41.9454964414286*(1-0.8198)</f>
        <v>7.558578458745429</v>
      </c>
      <c r="C3514" s="1">
        <v>9.9339999999999993</v>
      </c>
    </row>
    <row r="3515" spans="1:3" x14ac:dyDescent="0.3">
      <c r="A3515" t="s">
        <v>3514</v>
      </c>
      <c r="B3515">
        <f>51.75141762*(1-0.8198)</f>
        <v>9.3256054551240037</v>
      </c>
      <c r="C3515" s="1">
        <v>9.9339999999999993</v>
      </c>
    </row>
    <row r="3516" spans="1:3" x14ac:dyDescent="0.3">
      <c r="A3516" t="s">
        <v>3515</v>
      </c>
      <c r="B3516">
        <f>59.13033716*(1-0.8198)</f>
        <v>10.655286756232003</v>
      </c>
      <c r="C3516" s="1">
        <v>9.9339999999999993</v>
      </c>
    </row>
    <row r="3517" spans="1:3" x14ac:dyDescent="0.3">
      <c r="A3517" t="s">
        <v>3516</v>
      </c>
      <c r="B3517">
        <f>61.4285714285714*(1-0.8198)</f>
        <v>11.069428571428574</v>
      </c>
      <c r="C3517" s="1">
        <v>9.9339999999999993</v>
      </c>
    </row>
    <row r="3518" spans="1:3" x14ac:dyDescent="0.3">
      <c r="A3518" t="s">
        <v>3517</v>
      </c>
      <c r="B3518">
        <f>61.4285714285714*(1-0.8198)</f>
        <v>11.069428571428574</v>
      </c>
      <c r="C3518" s="1">
        <v>9.9339999999999993</v>
      </c>
    </row>
    <row r="3519" spans="1:3" x14ac:dyDescent="0.3">
      <c r="A3519" t="s">
        <v>3518</v>
      </c>
      <c r="B3519">
        <f>58.9706187585714*(1-0.8198)</f>
        <v>10.626505500294572</v>
      </c>
      <c r="C3519" s="1">
        <v>8.0709999999999997</v>
      </c>
    </row>
    <row r="3520" spans="1:3" x14ac:dyDescent="0.3">
      <c r="A3520" t="s">
        <v>3519</v>
      </c>
      <c r="B3520">
        <f>51.6837583485714*(1-0.8198)</f>
        <v>9.3134132544125734</v>
      </c>
      <c r="C3520" s="1">
        <v>8.0709999999999997</v>
      </c>
    </row>
    <row r="3521" spans="1:3" x14ac:dyDescent="0.3">
      <c r="A3521" t="s">
        <v>3520</v>
      </c>
      <c r="B3521">
        <f>40.9650461928571*(1-0.8198)</f>
        <v>7.3819013239528584</v>
      </c>
      <c r="C3521" s="1">
        <v>8.0709999999999997</v>
      </c>
    </row>
    <row r="3522" spans="1:3" x14ac:dyDescent="0.3">
      <c r="A3522" t="s">
        <v>3521</v>
      </c>
      <c r="B3522">
        <f>27.6357216614286*(1-0.8198)</f>
        <v>4.9799570433894287</v>
      </c>
      <c r="C3522" s="1">
        <v>8.0709999999999997</v>
      </c>
    </row>
    <row r="3523" spans="1:3" x14ac:dyDescent="0.3">
      <c r="A3523" t="s">
        <v>3522</v>
      </c>
      <c r="B3523">
        <f>16.1044206914286*(1-0.8198)</f>
        <v>2.9020166085954293</v>
      </c>
      <c r="C3523" s="1">
        <v>9.9339999999999993</v>
      </c>
    </row>
    <row r="3524" spans="1:3" x14ac:dyDescent="0.3">
      <c r="A3524" t="s">
        <v>3523</v>
      </c>
      <c r="B3524">
        <f>4.50068069285714*(1-0.8198)</f>
        <v>0.81102266085285735</v>
      </c>
      <c r="C3524" s="1">
        <v>9.9339999999999993</v>
      </c>
    </row>
    <row r="3525" spans="1:3" x14ac:dyDescent="0.3">
      <c r="A3525" t="s">
        <v>3524</v>
      </c>
      <c r="B3525">
        <f>0*(1-0.8198)</f>
        <v>0</v>
      </c>
      <c r="C3525" s="1">
        <v>9.9339999999999993</v>
      </c>
    </row>
    <row r="3526" spans="1:3" x14ac:dyDescent="0.3">
      <c r="A3526" t="s">
        <v>3525</v>
      </c>
      <c r="B3526">
        <f>0*(1-0.8198)</f>
        <v>0</v>
      </c>
      <c r="C3526" s="1">
        <v>9.9339999999999993</v>
      </c>
    </row>
    <row r="3527" spans="1:3" x14ac:dyDescent="0.3">
      <c r="A3527" t="s">
        <v>3526</v>
      </c>
      <c r="B3527">
        <f>0*(1-0.8198)</f>
        <v>0</v>
      </c>
      <c r="C3527" s="1">
        <v>8.0709999999999997</v>
      </c>
    </row>
    <row r="3528" spans="1:3" x14ac:dyDescent="0.3">
      <c r="A3528" t="s">
        <v>3527</v>
      </c>
      <c r="B3528">
        <f>0*(1-0.8198)</f>
        <v>0</v>
      </c>
      <c r="C3528" s="1">
        <v>8.0709999999999997</v>
      </c>
    </row>
    <row r="3529" spans="1:3" x14ac:dyDescent="0.3">
      <c r="A3529" t="s">
        <v>3528</v>
      </c>
      <c r="B3529">
        <f>0*(1-0.8198)</f>
        <v>0</v>
      </c>
      <c r="C3529" s="1">
        <v>2.819</v>
      </c>
    </row>
    <row r="3530" spans="1:3" x14ac:dyDescent="0.3">
      <c r="A3530" t="s">
        <v>3529</v>
      </c>
      <c r="B3530">
        <f>0*(1-0.8198)</f>
        <v>0</v>
      </c>
      <c r="C3530" s="1">
        <v>2.819</v>
      </c>
    </row>
    <row r="3531" spans="1:3" x14ac:dyDescent="0.3">
      <c r="A3531" t="s">
        <v>3530</v>
      </c>
      <c r="B3531">
        <f>0*(1-0.8198)</f>
        <v>0</v>
      </c>
      <c r="C3531" s="1">
        <v>2.819</v>
      </c>
    </row>
    <row r="3532" spans="1:3" x14ac:dyDescent="0.3">
      <c r="A3532" t="s">
        <v>3531</v>
      </c>
      <c r="B3532">
        <f>0*(1-0.8198)</f>
        <v>0</v>
      </c>
      <c r="C3532" s="1">
        <v>2.819</v>
      </c>
    </row>
    <row r="3533" spans="1:3" x14ac:dyDescent="0.3">
      <c r="A3533" t="s">
        <v>3532</v>
      </c>
      <c r="B3533">
        <f>0*(1-0.8198)</f>
        <v>0</v>
      </c>
      <c r="C3533" s="1">
        <v>2.819</v>
      </c>
    </row>
    <row r="3534" spans="1:3" x14ac:dyDescent="0.3">
      <c r="A3534" t="s">
        <v>3533</v>
      </c>
      <c r="B3534">
        <f>0*(1-0.8198)</f>
        <v>0</v>
      </c>
      <c r="C3534" s="1">
        <v>2.819</v>
      </c>
    </row>
    <row r="3535" spans="1:3" x14ac:dyDescent="0.3">
      <c r="A3535" t="s">
        <v>3534</v>
      </c>
      <c r="B3535">
        <f>1.39535933714286*(1-0.8198)</f>
        <v>0.251443752553143</v>
      </c>
      <c r="C3535" s="1">
        <v>2.819</v>
      </c>
    </row>
    <row r="3536" spans="1:3" x14ac:dyDescent="0.3">
      <c r="A3536" t="s">
        <v>3535</v>
      </c>
      <c r="B3536">
        <f>9.63477552714286*(1-0.8198)</f>
        <v>1.7361865499911431</v>
      </c>
      <c r="C3536" s="1">
        <v>2.819</v>
      </c>
    </row>
    <row r="3537" spans="1:3" x14ac:dyDescent="0.3">
      <c r="A3537" t="s">
        <v>3536</v>
      </c>
      <c r="B3537">
        <f>26.7482001871429*(1-0.8198)</f>
        <v>4.8200256737231442</v>
      </c>
      <c r="C3537" s="1">
        <v>8.0709999999999997</v>
      </c>
    </row>
    <row r="3538" spans="1:3" x14ac:dyDescent="0.3">
      <c r="A3538" t="s">
        <v>3537</v>
      </c>
      <c r="B3538">
        <f>40.3777996157143*(1-0.8198)</f>
        <v>7.2760794907517168</v>
      </c>
      <c r="C3538" s="1">
        <v>9.9339999999999993</v>
      </c>
    </row>
    <row r="3539" spans="1:3" x14ac:dyDescent="0.3">
      <c r="A3539" t="s">
        <v>3538</v>
      </c>
      <c r="B3539">
        <f>51.3899305642857*(1-0.8198)</f>
        <v>9.2604654876842876</v>
      </c>
      <c r="C3539" s="1">
        <v>9.9339999999999993</v>
      </c>
    </row>
    <row r="3540" spans="1:3" x14ac:dyDescent="0.3">
      <c r="A3540" t="s">
        <v>3539</v>
      </c>
      <c r="B3540">
        <f>50.6451281785714*(1-0.8198)</f>
        <v>9.1262520977785755</v>
      </c>
      <c r="C3540" s="1">
        <v>9.9339999999999993</v>
      </c>
    </row>
    <row r="3541" spans="1:3" x14ac:dyDescent="0.3">
      <c r="A3541" t="s">
        <v>3540</v>
      </c>
      <c r="B3541">
        <f>60.2775709557143*(1-0.8198)</f>
        <v>10.862018286219717</v>
      </c>
      <c r="C3541" s="1">
        <v>9.9339999999999993</v>
      </c>
    </row>
    <row r="3542" spans="1:3" x14ac:dyDescent="0.3">
      <c r="A3542" t="s">
        <v>3541</v>
      </c>
      <c r="B3542">
        <f>61.4285714285714*(1-0.8198)</f>
        <v>11.069428571428574</v>
      </c>
      <c r="C3542" s="1">
        <v>9.9339999999999993</v>
      </c>
    </row>
    <row r="3543" spans="1:3" x14ac:dyDescent="0.3">
      <c r="A3543" t="s">
        <v>3542</v>
      </c>
      <c r="B3543">
        <f>61.4285714285714*(1-0.8198)</f>
        <v>11.069428571428574</v>
      </c>
      <c r="C3543" s="1">
        <v>8.0709999999999997</v>
      </c>
    </row>
    <row r="3544" spans="1:3" x14ac:dyDescent="0.3">
      <c r="A3544" t="s">
        <v>3543</v>
      </c>
      <c r="B3544">
        <f>53.7174112828571*(1-0.8198)</f>
        <v>9.6798775131708599</v>
      </c>
      <c r="C3544" s="1">
        <v>8.0709999999999997</v>
      </c>
    </row>
    <row r="3545" spans="1:3" x14ac:dyDescent="0.3">
      <c r="A3545" t="s">
        <v>3544</v>
      </c>
      <c r="B3545">
        <f>40.7483161185714*(1-0.8198)</f>
        <v>7.3428465645665746</v>
      </c>
      <c r="C3545" s="1">
        <v>8.0709999999999997</v>
      </c>
    </row>
    <row r="3546" spans="1:3" x14ac:dyDescent="0.3">
      <c r="A3546" t="s">
        <v>3545</v>
      </c>
      <c r="B3546">
        <f>29.5912834014286*(1-0.8198)</f>
        <v>5.3323492689374303</v>
      </c>
      <c r="C3546" s="1">
        <v>8.0709999999999997</v>
      </c>
    </row>
    <row r="3547" spans="1:3" x14ac:dyDescent="0.3">
      <c r="A3547" t="s">
        <v>3546</v>
      </c>
      <c r="B3547">
        <f>16.5726859614286*(1-0.8198)</f>
        <v>2.9863980102494292</v>
      </c>
      <c r="C3547" s="1">
        <v>9.9339999999999993</v>
      </c>
    </row>
    <row r="3548" spans="1:3" x14ac:dyDescent="0.3">
      <c r="A3548" t="s">
        <v>3547</v>
      </c>
      <c r="B3548">
        <f>5.22547315142857*(1-0.8198)</f>
        <v>0.94163026188742882</v>
      </c>
      <c r="C3548" s="1">
        <v>9.9339999999999993</v>
      </c>
    </row>
    <row r="3549" spans="1:3" x14ac:dyDescent="0.3">
      <c r="A3549" t="s">
        <v>3548</v>
      </c>
      <c r="B3549">
        <f>0*(1-0.8198)</f>
        <v>0</v>
      </c>
      <c r="C3549" s="1">
        <v>9.9339999999999993</v>
      </c>
    </row>
    <row r="3550" spans="1:3" x14ac:dyDescent="0.3">
      <c r="A3550" t="s">
        <v>3549</v>
      </c>
      <c r="B3550">
        <f>0*(1-0.8198)</f>
        <v>0</v>
      </c>
      <c r="C3550" s="1">
        <v>9.9339999999999993</v>
      </c>
    </row>
    <row r="3551" spans="1:3" x14ac:dyDescent="0.3">
      <c r="A3551" t="s">
        <v>3550</v>
      </c>
      <c r="B3551">
        <f>0*(1-0.8198)</f>
        <v>0</v>
      </c>
      <c r="C3551" s="1">
        <v>8.0709999999999997</v>
      </c>
    </row>
    <row r="3552" spans="1:3" x14ac:dyDescent="0.3">
      <c r="A3552" t="s">
        <v>3551</v>
      </c>
      <c r="B3552">
        <f>0*(1-0.8198)</f>
        <v>0</v>
      </c>
      <c r="C3552" s="1">
        <v>8.0709999999999997</v>
      </c>
    </row>
    <row r="3553" spans="1:3" x14ac:dyDescent="0.3">
      <c r="A3553" t="s">
        <v>3552</v>
      </c>
      <c r="B3553">
        <f>0*(1-0.8198)</f>
        <v>0</v>
      </c>
      <c r="C3553" s="1">
        <v>2.819</v>
      </c>
    </row>
    <row r="3554" spans="1:3" x14ac:dyDescent="0.3">
      <c r="A3554" t="s">
        <v>3553</v>
      </c>
      <c r="B3554">
        <f>0*(1-0.8198)</f>
        <v>0</v>
      </c>
      <c r="C3554" s="1">
        <v>2.819</v>
      </c>
    </row>
    <row r="3555" spans="1:3" x14ac:dyDescent="0.3">
      <c r="A3555" t="s">
        <v>3554</v>
      </c>
      <c r="B3555">
        <f>0*(1-0.8198)</f>
        <v>0</v>
      </c>
      <c r="C3555" s="1">
        <v>2.819</v>
      </c>
    </row>
    <row r="3556" spans="1:3" x14ac:dyDescent="0.3">
      <c r="A3556" t="s">
        <v>3555</v>
      </c>
      <c r="B3556">
        <f>0*(1-0.8198)</f>
        <v>0</v>
      </c>
      <c r="C3556" s="1">
        <v>2.819</v>
      </c>
    </row>
    <row r="3557" spans="1:3" x14ac:dyDescent="0.3">
      <c r="A3557" t="s">
        <v>3556</v>
      </c>
      <c r="B3557">
        <f>0*(1-0.8198)</f>
        <v>0</v>
      </c>
      <c r="C3557" s="1">
        <v>2.819</v>
      </c>
    </row>
    <row r="3558" spans="1:3" x14ac:dyDescent="0.3">
      <c r="A3558" t="s">
        <v>3557</v>
      </c>
      <c r="B3558">
        <f>0*(1-0.8198)</f>
        <v>0</v>
      </c>
      <c r="C3558" s="1">
        <v>2.819</v>
      </c>
    </row>
    <row r="3559" spans="1:3" x14ac:dyDescent="0.3">
      <c r="A3559" t="s">
        <v>3558</v>
      </c>
      <c r="B3559">
        <f>3.29115322714286*(1-0.8198)</f>
        <v>0.59306581153114302</v>
      </c>
      <c r="C3559" s="1">
        <v>2.819</v>
      </c>
    </row>
    <row r="3560" spans="1:3" x14ac:dyDescent="0.3">
      <c r="A3560" t="s">
        <v>3559</v>
      </c>
      <c r="B3560">
        <f>15.6576217585714*(1-0.8198)</f>
        <v>2.8215034408945718</v>
      </c>
      <c r="C3560" s="1">
        <v>2.819</v>
      </c>
    </row>
    <row r="3561" spans="1:3" x14ac:dyDescent="0.3">
      <c r="A3561" t="s">
        <v>3560</v>
      </c>
      <c r="B3561">
        <f>30.2121744071429*(1-0.8198)</f>
        <v>5.4442338281671434</v>
      </c>
      <c r="C3561" s="1">
        <v>8.0709999999999997</v>
      </c>
    </row>
    <row r="3562" spans="1:3" x14ac:dyDescent="0.3">
      <c r="A3562" t="s">
        <v>3561</v>
      </c>
      <c r="B3562">
        <f>40.3595693971429*(1-0.8198)</f>
        <v>7.2727944053651434</v>
      </c>
      <c r="C3562" s="1">
        <v>9.9339999999999993</v>
      </c>
    </row>
    <row r="3563" spans="1:3" x14ac:dyDescent="0.3">
      <c r="A3563" t="s">
        <v>3562</v>
      </c>
      <c r="B3563">
        <f>52.5970122514286*(1-0.8198)</f>
        <v>9.4779816077074308</v>
      </c>
      <c r="C3563" s="1">
        <v>9.9339999999999993</v>
      </c>
    </row>
    <row r="3564" spans="1:3" x14ac:dyDescent="0.3">
      <c r="A3564" t="s">
        <v>3563</v>
      </c>
      <c r="B3564">
        <f>55.7295902628571*(1-0.8198)</f>
        <v>10.042472165366858</v>
      </c>
      <c r="C3564" s="1">
        <v>9.9339999999999993</v>
      </c>
    </row>
    <row r="3565" spans="1:3" x14ac:dyDescent="0.3">
      <c r="A3565" t="s">
        <v>3564</v>
      </c>
      <c r="B3565">
        <f>59.52926837*(1-0.8198)</f>
        <v>10.727174160274002</v>
      </c>
      <c r="C3565" s="1">
        <v>9.9339999999999993</v>
      </c>
    </row>
    <row r="3566" spans="1:3" x14ac:dyDescent="0.3">
      <c r="A3566" t="s">
        <v>3565</v>
      </c>
      <c r="B3566">
        <f>60.11950744*(1-0.8198)</f>
        <v>10.833535240688002</v>
      </c>
      <c r="C3566" s="1">
        <v>9.9339999999999993</v>
      </c>
    </row>
    <row r="3567" spans="1:3" x14ac:dyDescent="0.3">
      <c r="A3567" t="s">
        <v>3566</v>
      </c>
      <c r="B3567">
        <f>61.4285714285714*(1-0.8198)</f>
        <v>11.069428571428574</v>
      </c>
      <c r="C3567" s="1">
        <v>8.0709999999999997</v>
      </c>
    </row>
    <row r="3568" spans="1:3" x14ac:dyDescent="0.3">
      <c r="A3568" t="s">
        <v>3567</v>
      </c>
      <c r="B3568">
        <f>54.1195728371429*(1-0.8198)</f>
        <v>9.7523470252531439</v>
      </c>
      <c r="C3568" s="1">
        <v>8.0709999999999997</v>
      </c>
    </row>
    <row r="3569" spans="1:3" x14ac:dyDescent="0.3">
      <c r="A3569" t="s">
        <v>3568</v>
      </c>
      <c r="B3569">
        <f>42.1916093985714*(1-0.8198)</f>
        <v>7.6029280136225728</v>
      </c>
      <c r="C3569" s="1">
        <v>8.0709999999999997</v>
      </c>
    </row>
    <row r="3570" spans="1:3" x14ac:dyDescent="0.3">
      <c r="A3570" t="s">
        <v>3569</v>
      </c>
      <c r="B3570">
        <f>26.9078977642857*(1-0.8198)</f>
        <v>4.848803177124287</v>
      </c>
      <c r="C3570" s="1">
        <v>8.0709999999999997</v>
      </c>
    </row>
    <row r="3571" spans="1:3" x14ac:dyDescent="0.3">
      <c r="A3571" t="s">
        <v>3570</v>
      </c>
      <c r="B3571">
        <f>16.9000104385714*(1-0.8198)</f>
        <v>3.0453818810305724</v>
      </c>
      <c r="C3571" s="1">
        <v>9.9339999999999993</v>
      </c>
    </row>
    <row r="3572" spans="1:3" x14ac:dyDescent="0.3">
      <c r="A3572" t="s">
        <v>3571</v>
      </c>
      <c r="B3572">
        <f>4.83624575142857*(1-0.8198)</f>
        <v>0.87149148440742896</v>
      </c>
      <c r="C3572" s="1">
        <v>9.9339999999999993</v>
      </c>
    </row>
    <row r="3573" spans="1:3" x14ac:dyDescent="0.3">
      <c r="A3573" t="s">
        <v>3572</v>
      </c>
      <c r="B3573">
        <f>0*(1-0.8198)</f>
        <v>0</v>
      </c>
      <c r="C3573" s="1">
        <v>9.9339999999999993</v>
      </c>
    </row>
    <row r="3574" spans="1:3" x14ac:dyDescent="0.3">
      <c r="A3574" t="s">
        <v>3573</v>
      </c>
      <c r="B3574">
        <f>0*(1-0.8198)</f>
        <v>0</v>
      </c>
      <c r="C3574" s="1">
        <v>9.9339999999999993</v>
      </c>
    </row>
    <row r="3575" spans="1:3" x14ac:dyDescent="0.3">
      <c r="A3575" t="s">
        <v>3574</v>
      </c>
      <c r="B3575">
        <f>0*(1-0.8198)</f>
        <v>0</v>
      </c>
      <c r="C3575" s="1">
        <v>8.0709999999999997</v>
      </c>
    </row>
    <row r="3576" spans="1:3" x14ac:dyDescent="0.3">
      <c r="A3576" t="s">
        <v>3575</v>
      </c>
      <c r="B3576">
        <f>0*(1-0.8198)</f>
        <v>0</v>
      </c>
      <c r="C3576" s="1">
        <v>8.0709999999999997</v>
      </c>
    </row>
    <row r="3577" spans="1:3" x14ac:dyDescent="0.3">
      <c r="A3577" t="s">
        <v>3576</v>
      </c>
      <c r="B3577">
        <f>0*(1-0.8198)</f>
        <v>0</v>
      </c>
      <c r="C3577" s="1">
        <v>2.819</v>
      </c>
    </row>
    <row r="3578" spans="1:3" x14ac:dyDescent="0.3">
      <c r="A3578" t="s">
        <v>3577</v>
      </c>
      <c r="B3578">
        <f>0*(1-0.8198)</f>
        <v>0</v>
      </c>
      <c r="C3578" s="1">
        <v>2.819</v>
      </c>
    </row>
    <row r="3579" spans="1:3" x14ac:dyDescent="0.3">
      <c r="A3579" t="s">
        <v>3578</v>
      </c>
      <c r="B3579">
        <f>0*(1-0.8198)</f>
        <v>0</v>
      </c>
      <c r="C3579" s="1">
        <v>2.819</v>
      </c>
    </row>
    <row r="3580" spans="1:3" x14ac:dyDescent="0.3">
      <c r="A3580" t="s">
        <v>3579</v>
      </c>
      <c r="B3580">
        <f>0*(1-0.8198)</f>
        <v>0</v>
      </c>
      <c r="C3580" s="1">
        <v>2.819</v>
      </c>
    </row>
    <row r="3581" spans="1:3" x14ac:dyDescent="0.3">
      <c r="A3581" t="s">
        <v>3580</v>
      </c>
      <c r="B3581">
        <f>0*(1-0.8198)</f>
        <v>0</v>
      </c>
      <c r="C3581" s="1">
        <v>2.819</v>
      </c>
    </row>
    <row r="3582" spans="1:3" x14ac:dyDescent="0.3">
      <c r="A3582" t="s">
        <v>3581</v>
      </c>
      <c r="B3582">
        <f>0*(1-0.8198)</f>
        <v>0</v>
      </c>
      <c r="C3582" s="1">
        <v>2.819</v>
      </c>
    </row>
    <row r="3583" spans="1:3" x14ac:dyDescent="0.3">
      <c r="A3583" t="s">
        <v>3582</v>
      </c>
      <c r="B3583">
        <f>2.26675538142857*(1-0.8198)</f>
        <v>0.4084693197334287</v>
      </c>
      <c r="C3583" s="1">
        <v>2.819</v>
      </c>
    </row>
    <row r="3584" spans="1:3" x14ac:dyDescent="0.3">
      <c r="A3584" t="s">
        <v>3583</v>
      </c>
      <c r="B3584">
        <f>8.78712396*(1-0.8198)</f>
        <v>1.583439737592</v>
      </c>
      <c r="C3584" s="1">
        <v>2.819</v>
      </c>
    </row>
    <row r="3585" spans="1:3" x14ac:dyDescent="0.3">
      <c r="A3585" t="s">
        <v>3584</v>
      </c>
      <c r="B3585">
        <f>17.2416982671429*(1-0.8198)</f>
        <v>3.106954027739143</v>
      </c>
      <c r="C3585" s="1">
        <v>8.0709999999999997</v>
      </c>
    </row>
    <row r="3586" spans="1:3" x14ac:dyDescent="0.3">
      <c r="A3586" t="s">
        <v>3585</v>
      </c>
      <c r="B3586">
        <f>16.3204956914286*(1-0.8198)</f>
        <v>2.940953323595429</v>
      </c>
      <c r="C3586" s="1">
        <v>9.9339999999999993</v>
      </c>
    </row>
    <row r="3587" spans="1:3" x14ac:dyDescent="0.3">
      <c r="A3587" t="s">
        <v>3586</v>
      </c>
      <c r="B3587">
        <f>33.4223179685714*(1-0.8198)</f>
        <v>6.0227016979365722</v>
      </c>
      <c r="C3587" s="1">
        <v>9.9339999999999993</v>
      </c>
    </row>
    <row r="3588" spans="1:3" x14ac:dyDescent="0.3">
      <c r="A3588" t="s">
        <v>3587</v>
      </c>
      <c r="B3588">
        <f>59.6389745157143*(1-0.8198)</f>
        <v>10.74694320773172</v>
      </c>
      <c r="C3588" s="1">
        <v>9.9339999999999993</v>
      </c>
    </row>
    <row r="3589" spans="1:3" x14ac:dyDescent="0.3">
      <c r="A3589" t="s">
        <v>3588</v>
      </c>
      <c r="B3589">
        <f>61.4285714285714*(1-0.8198)</f>
        <v>11.069428571428574</v>
      </c>
      <c r="C3589" s="1">
        <v>9.9339999999999993</v>
      </c>
    </row>
    <row r="3590" spans="1:3" x14ac:dyDescent="0.3">
      <c r="A3590" t="s">
        <v>3589</v>
      </c>
      <c r="B3590">
        <f>61.4285714285714*(1-0.8198)</f>
        <v>11.069428571428574</v>
      </c>
      <c r="C3590" s="1">
        <v>9.9339999999999993</v>
      </c>
    </row>
    <row r="3591" spans="1:3" x14ac:dyDescent="0.3">
      <c r="A3591" t="s">
        <v>3590</v>
      </c>
      <c r="B3591">
        <f>60.2868390528572*(1-0.8198)</f>
        <v>10.863688397324861</v>
      </c>
      <c r="C3591" s="1">
        <v>8.0709999999999997</v>
      </c>
    </row>
    <row r="3592" spans="1:3" x14ac:dyDescent="0.3">
      <c r="A3592" t="s">
        <v>3591</v>
      </c>
      <c r="B3592">
        <f>52.6845596985714*(1-0.8198)</f>
        <v>9.493757657682572</v>
      </c>
      <c r="C3592" s="1">
        <v>8.0709999999999997</v>
      </c>
    </row>
    <row r="3593" spans="1:3" x14ac:dyDescent="0.3">
      <c r="A3593" t="s">
        <v>3592</v>
      </c>
      <c r="B3593">
        <f>41.3122361785714*(1-0.8198)</f>
        <v>7.444464959378573</v>
      </c>
      <c r="C3593" s="1">
        <v>8.0709999999999997</v>
      </c>
    </row>
    <row r="3594" spans="1:3" x14ac:dyDescent="0.3">
      <c r="A3594" t="s">
        <v>3593</v>
      </c>
      <c r="B3594">
        <f>23.9767538671429*(1-0.8198)</f>
        <v>4.3206110468591428</v>
      </c>
      <c r="C3594" s="1">
        <v>8.0709999999999997</v>
      </c>
    </row>
    <row r="3595" spans="1:3" x14ac:dyDescent="0.3">
      <c r="A3595" t="s">
        <v>3594</v>
      </c>
      <c r="B3595">
        <f>5.42918*(1-0.8198)</f>
        <v>0.97833823600000036</v>
      </c>
      <c r="C3595" s="1">
        <v>9.9339999999999993</v>
      </c>
    </row>
    <row r="3596" spans="1:3" x14ac:dyDescent="0.3">
      <c r="A3596" t="s">
        <v>3595</v>
      </c>
      <c r="B3596">
        <f>2.71278387714286*(1-0.8198)</f>
        <v>0.48884365466114299</v>
      </c>
      <c r="C3596" s="1">
        <v>9.9339999999999993</v>
      </c>
    </row>
    <row r="3597" spans="1:3" x14ac:dyDescent="0.3">
      <c r="A3597" t="s">
        <v>3596</v>
      </c>
      <c r="B3597">
        <f>0*(1-0.8198)</f>
        <v>0</v>
      </c>
      <c r="C3597" s="1">
        <v>9.9339999999999993</v>
      </c>
    </row>
    <row r="3598" spans="1:3" x14ac:dyDescent="0.3">
      <c r="A3598" t="s">
        <v>3597</v>
      </c>
      <c r="B3598">
        <f>0*(1-0.8198)</f>
        <v>0</v>
      </c>
      <c r="C3598" s="1">
        <v>9.9339999999999993</v>
      </c>
    </row>
    <row r="3599" spans="1:3" x14ac:dyDescent="0.3">
      <c r="A3599" t="s">
        <v>3598</v>
      </c>
      <c r="B3599">
        <f>0*(1-0.8198)</f>
        <v>0</v>
      </c>
      <c r="C3599" s="1">
        <v>8.0709999999999997</v>
      </c>
    </row>
    <row r="3600" spans="1:3" x14ac:dyDescent="0.3">
      <c r="A3600" t="s">
        <v>3599</v>
      </c>
      <c r="B3600">
        <f>0*(1-0.8198)</f>
        <v>0</v>
      </c>
      <c r="C3600" s="1">
        <v>8.0709999999999997</v>
      </c>
    </row>
    <row r="3601" spans="1:3" x14ac:dyDescent="0.3">
      <c r="A3601" t="s">
        <v>3600</v>
      </c>
      <c r="B3601">
        <f>0*(1-0.8198)</f>
        <v>0</v>
      </c>
      <c r="C3601" s="1">
        <v>2.819</v>
      </c>
    </row>
    <row r="3602" spans="1:3" x14ac:dyDescent="0.3">
      <c r="A3602" t="s">
        <v>3601</v>
      </c>
      <c r="B3602">
        <f>0*(1-0.8198)</f>
        <v>0</v>
      </c>
      <c r="C3602" s="1">
        <v>2.819</v>
      </c>
    </row>
    <row r="3603" spans="1:3" x14ac:dyDescent="0.3">
      <c r="A3603" t="s">
        <v>3602</v>
      </c>
      <c r="B3603">
        <f>0*(1-0.8198)</f>
        <v>0</v>
      </c>
      <c r="C3603" s="1">
        <v>2.819</v>
      </c>
    </row>
    <row r="3604" spans="1:3" x14ac:dyDescent="0.3">
      <c r="A3604" t="s">
        <v>3603</v>
      </c>
      <c r="B3604">
        <f>0*(1-0.8198)</f>
        <v>0</v>
      </c>
      <c r="C3604" s="1">
        <v>2.819</v>
      </c>
    </row>
    <row r="3605" spans="1:3" x14ac:dyDescent="0.3">
      <c r="A3605" t="s">
        <v>3604</v>
      </c>
      <c r="B3605">
        <f>0*(1-0.8198)</f>
        <v>0</v>
      </c>
      <c r="C3605" s="1">
        <v>2.819</v>
      </c>
    </row>
    <row r="3606" spans="1:3" x14ac:dyDescent="0.3">
      <c r="A3606" t="s">
        <v>3605</v>
      </c>
      <c r="B3606">
        <f>0*(1-0.8198)</f>
        <v>0</v>
      </c>
      <c r="C3606" s="1">
        <v>2.819</v>
      </c>
    </row>
    <row r="3607" spans="1:3" x14ac:dyDescent="0.3">
      <c r="A3607" t="s">
        <v>3606</v>
      </c>
      <c r="B3607">
        <f>2.63535881428571*(1-0.8198)</f>
        <v>0.47489165833428576</v>
      </c>
      <c r="C3607" s="1">
        <v>2.819</v>
      </c>
    </row>
    <row r="3608" spans="1:3" x14ac:dyDescent="0.3">
      <c r="A3608" t="s">
        <v>3607</v>
      </c>
      <c r="B3608">
        <f>4.5494*(1-0.8198)</f>
        <v>0.8198018800000002</v>
      </c>
      <c r="C3608" s="1">
        <v>2.819</v>
      </c>
    </row>
    <row r="3609" spans="1:3" x14ac:dyDescent="0.3">
      <c r="A3609" t="s">
        <v>3608</v>
      </c>
      <c r="B3609">
        <f>23.5629932471429*(1-0.8198)</f>
        <v>4.2460513831351445</v>
      </c>
      <c r="C3609" s="1">
        <v>8.0709999999999997</v>
      </c>
    </row>
    <row r="3610" spans="1:3" x14ac:dyDescent="0.3">
      <c r="A3610" t="s">
        <v>3609</v>
      </c>
      <c r="B3610">
        <f>38.0226748114286*(1-0.8198)</f>
        <v>6.8516860010194307</v>
      </c>
      <c r="C3610" s="1">
        <v>9.9339999999999993</v>
      </c>
    </row>
    <row r="3611" spans="1:3" x14ac:dyDescent="0.3">
      <c r="A3611" t="s">
        <v>3610</v>
      </c>
      <c r="B3611">
        <f>46.4972314642857*(1-0.8198)</f>
        <v>8.3788011098642858</v>
      </c>
      <c r="C3611" s="1">
        <v>9.9339999999999993</v>
      </c>
    </row>
    <row r="3612" spans="1:3" x14ac:dyDescent="0.3">
      <c r="A3612" t="s">
        <v>3611</v>
      </c>
      <c r="B3612">
        <f>38.2018676671429*(1-0.8198)</f>
        <v>6.883976553619144</v>
      </c>
      <c r="C3612" s="1">
        <v>9.9339999999999993</v>
      </c>
    </row>
    <row r="3613" spans="1:3" x14ac:dyDescent="0.3">
      <c r="A3613" t="s">
        <v>3612</v>
      </c>
      <c r="B3613">
        <f>40.38498897*(1-0.8198)</f>
        <v>7.2773750123940024</v>
      </c>
      <c r="C3613" s="1">
        <v>9.9339999999999993</v>
      </c>
    </row>
    <row r="3614" spans="1:3" x14ac:dyDescent="0.3">
      <c r="A3614" t="s">
        <v>3613</v>
      </c>
      <c r="B3614">
        <f>30.7185092357143*(1-0.8198)</f>
        <v>5.5354753642757162</v>
      </c>
      <c r="C3614" s="1">
        <v>9.9339999999999993</v>
      </c>
    </row>
    <row r="3615" spans="1:3" x14ac:dyDescent="0.3">
      <c r="A3615" t="s">
        <v>3614</v>
      </c>
      <c r="B3615">
        <f>24.0526993*(1-0.8198)</f>
        <v>4.3342964138600015</v>
      </c>
      <c r="C3615" s="1">
        <v>8.0709999999999997</v>
      </c>
    </row>
    <row r="3616" spans="1:3" x14ac:dyDescent="0.3">
      <c r="A3616" t="s">
        <v>3615</v>
      </c>
      <c r="B3616">
        <f>17.3389180728571*(1-0.8198)</f>
        <v>3.1244730367288582</v>
      </c>
      <c r="C3616" s="1">
        <v>8.0709999999999997</v>
      </c>
    </row>
    <row r="3617" spans="1:3" x14ac:dyDescent="0.3">
      <c r="A3617" t="s">
        <v>3616</v>
      </c>
      <c r="B3617">
        <f>34.9011138914286*(1-0.8198)</f>
        <v>6.2891807232354298</v>
      </c>
      <c r="C3617" s="1">
        <v>8.0709999999999997</v>
      </c>
    </row>
    <row r="3618" spans="1:3" x14ac:dyDescent="0.3">
      <c r="A3618" t="s">
        <v>3617</v>
      </c>
      <c r="B3618">
        <f>13.5141210242857*(1-0.8198)</f>
        <v>2.4352446085762862</v>
      </c>
      <c r="C3618" s="1">
        <v>8.0709999999999997</v>
      </c>
    </row>
    <row r="3619" spans="1:3" x14ac:dyDescent="0.3">
      <c r="A3619" t="s">
        <v>3618</v>
      </c>
      <c r="B3619">
        <f>5.332*(1-0.8198)</f>
        <v>0.96082640000000008</v>
      </c>
      <c r="C3619" s="1">
        <v>9.9339999999999993</v>
      </c>
    </row>
    <row r="3620" spans="1:3" x14ac:dyDescent="0.3">
      <c r="A3620" t="s">
        <v>3619</v>
      </c>
      <c r="B3620">
        <f>4.91329904857143*(1-0.8198)</f>
        <v>0.88537648855257167</v>
      </c>
      <c r="C3620" s="1">
        <v>9.9339999999999993</v>
      </c>
    </row>
    <row r="3621" spans="1:3" x14ac:dyDescent="0.3">
      <c r="A3621" t="s">
        <v>3620</v>
      </c>
      <c r="B3621">
        <f>0*(1-0.8198)</f>
        <v>0</v>
      </c>
      <c r="C3621" s="1">
        <v>9.9339999999999993</v>
      </c>
    </row>
    <row r="3622" spans="1:3" x14ac:dyDescent="0.3">
      <c r="A3622" t="s">
        <v>3621</v>
      </c>
      <c r="B3622">
        <f>0*(1-0.8198)</f>
        <v>0</v>
      </c>
      <c r="C3622" s="1">
        <v>9.9339999999999993</v>
      </c>
    </row>
    <row r="3623" spans="1:3" x14ac:dyDescent="0.3">
      <c r="A3623" t="s">
        <v>3622</v>
      </c>
      <c r="B3623">
        <f>0*(1-0.8198)</f>
        <v>0</v>
      </c>
      <c r="C3623" s="1">
        <v>8.0709999999999997</v>
      </c>
    </row>
    <row r="3624" spans="1:3" x14ac:dyDescent="0.3">
      <c r="A3624" t="s">
        <v>3623</v>
      </c>
      <c r="B3624">
        <f>0*(1-0.8198)</f>
        <v>0</v>
      </c>
      <c r="C3624" s="1">
        <v>8.0709999999999997</v>
      </c>
    </row>
    <row r="3625" spans="1:3" x14ac:dyDescent="0.3">
      <c r="A3625" t="s">
        <v>3624</v>
      </c>
      <c r="B3625">
        <f>0*(1-0.8198)</f>
        <v>0</v>
      </c>
      <c r="C3625" s="1">
        <v>2</v>
      </c>
    </row>
    <row r="3626" spans="1:3" x14ac:dyDescent="0.3">
      <c r="A3626" t="s">
        <v>3625</v>
      </c>
      <c r="B3626">
        <f>0*(1-0.8198)</f>
        <v>0</v>
      </c>
      <c r="C3626" s="1">
        <v>3</v>
      </c>
    </row>
    <row r="3627" spans="1:3" x14ac:dyDescent="0.3">
      <c r="A3627" t="s">
        <v>3626</v>
      </c>
      <c r="B3627">
        <f>0*(1-0.8198)</f>
        <v>0</v>
      </c>
      <c r="C3627" s="1">
        <v>3</v>
      </c>
    </row>
    <row r="3628" spans="1:3" x14ac:dyDescent="0.3">
      <c r="A3628" t="s">
        <v>3627</v>
      </c>
      <c r="B3628">
        <f>0*(1-0.8198)</f>
        <v>0</v>
      </c>
      <c r="C3628" s="1">
        <v>3</v>
      </c>
    </row>
    <row r="3629" spans="1:3" x14ac:dyDescent="0.3">
      <c r="A3629" t="s">
        <v>3628</v>
      </c>
      <c r="B3629">
        <f>0*(1-0.8198)</f>
        <v>0</v>
      </c>
      <c r="C3629" s="1">
        <v>3</v>
      </c>
    </row>
    <row r="3630" spans="1:3" x14ac:dyDescent="0.3">
      <c r="A3630" t="s">
        <v>3629</v>
      </c>
      <c r="B3630">
        <f>0*(1-0.8198)</f>
        <v>0</v>
      </c>
      <c r="C3630" s="1">
        <v>2</v>
      </c>
    </row>
    <row r="3631" spans="1:3" x14ac:dyDescent="0.3">
      <c r="A3631" t="s">
        <v>3630</v>
      </c>
      <c r="B3631">
        <f>2.43185437285714*(1-0.8198)</f>
        <v>0.43822015798885722</v>
      </c>
      <c r="C3631" s="1">
        <v>3</v>
      </c>
    </row>
    <row r="3632" spans="1:3" x14ac:dyDescent="0.3">
      <c r="A3632" t="s">
        <v>3631</v>
      </c>
      <c r="B3632">
        <f>4.96233753857143*(1-0.8198)</f>
        <v>0.8942132244505715</v>
      </c>
      <c r="C3632" s="1">
        <v>3</v>
      </c>
    </row>
    <row r="3633" spans="1:3" x14ac:dyDescent="0.3">
      <c r="A3633" t="s">
        <v>3632</v>
      </c>
      <c r="B3633">
        <f>17.6815211257143*(1-0.8198)</f>
        <v>3.1862101068537152</v>
      </c>
      <c r="C3633" s="1">
        <v>3</v>
      </c>
    </row>
    <row r="3634" spans="1:3" x14ac:dyDescent="0.3">
      <c r="A3634" t="s">
        <v>3633</v>
      </c>
      <c r="B3634">
        <f>34.4703530985714*(1-0.8198)</f>
        <v>6.2115576283625735</v>
      </c>
      <c r="C3634" s="1">
        <v>2</v>
      </c>
    </row>
    <row r="3635" spans="1:3" x14ac:dyDescent="0.3">
      <c r="A3635" t="s">
        <v>3634</v>
      </c>
      <c r="B3635">
        <f>34.3930281028571*(1-0.8198)</f>
        <v>6.1976236641348583</v>
      </c>
      <c r="C3635" s="1">
        <v>3</v>
      </c>
    </row>
    <row r="3636" spans="1:3" x14ac:dyDescent="0.3">
      <c r="A3636" t="s">
        <v>3635</v>
      </c>
      <c r="B3636">
        <f>42.6417849371429*(1-0.8198)</f>
        <v>7.6840496456731442</v>
      </c>
      <c r="C3636" s="1">
        <v>3</v>
      </c>
    </row>
    <row r="3637" spans="1:3" x14ac:dyDescent="0.3">
      <c r="A3637" t="s">
        <v>3636</v>
      </c>
      <c r="B3637">
        <f>46.8779535871429*(1-0.8198)</f>
        <v>8.4474072364031443</v>
      </c>
      <c r="C3637" s="1">
        <v>2</v>
      </c>
    </row>
    <row r="3638" spans="1:3" x14ac:dyDescent="0.3">
      <c r="A3638" t="s">
        <v>3637</v>
      </c>
      <c r="B3638">
        <f>55.33850901*(1-0.8198)</f>
        <v>9.9719993236020024</v>
      </c>
      <c r="C3638" s="1">
        <v>3</v>
      </c>
    </row>
    <row r="3639" spans="1:3" x14ac:dyDescent="0.3">
      <c r="A3639" t="s">
        <v>3638</v>
      </c>
      <c r="B3639">
        <f>53.7435943514286*(1-0.8198)</f>
        <v>9.6845957021274298</v>
      </c>
      <c r="C3639" s="1">
        <v>3</v>
      </c>
    </row>
    <row r="3640" spans="1:3" x14ac:dyDescent="0.3">
      <c r="A3640" t="s">
        <v>3639</v>
      </c>
      <c r="B3640">
        <f>36.8000280457143*(1-0.8198)</f>
        <v>6.6313650538377162</v>
      </c>
      <c r="C3640" s="1">
        <v>3</v>
      </c>
    </row>
    <row r="3641" spans="1:3" x14ac:dyDescent="0.3">
      <c r="A3641" t="s">
        <v>3640</v>
      </c>
      <c r="B3641">
        <f>32.7063775514286*(1-0.8198)</f>
        <v>5.8936892347674297</v>
      </c>
      <c r="C3641" s="1">
        <v>3</v>
      </c>
    </row>
    <row r="3642" spans="1:3" x14ac:dyDescent="0.3">
      <c r="A3642" t="s">
        <v>3641</v>
      </c>
      <c r="B3642">
        <f>30.52698011*(1-0.8198)</f>
        <v>5.5009618158220013</v>
      </c>
      <c r="C3642" s="1">
        <v>2</v>
      </c>
    </row>
    <row r="3643" spans="1:3" x14ac:dyDescent="0.3">
      <c r="A3643" t="s">
        <v>3642</v>
      </c>
      <c r="B3643">
        <f>16.9039327142857*(1-0.8198)</f>
        <v>3.0460886751142864</v>
      </c>
      <c r="C3643" s="1">
        <v>3</v>
      </c>
    </row>
    <row r="3644" spans="1:3" x14ac:dyDescent="0.3">
      <c r="A3644" t="s">
        <v>3643</v>
      </c>
      <c r="B3644">
        <f>5.50309521857143*(1-0.8198)</f>
        <v>0.99165775838657177</v>
      </c>
      <c r="C3644" s="1">
        <v>3</v>
      </c>
    </row>
    <row r="3645" spans="1:3" x14ac:dyDescent="0.3">
      <c r="A3645" t="s">
        <v>3644</v>
      </c>
      <c r="B3645">
        <f>0*(1-0.8198)</f>
        <v>0</v>
      </c>
      <c r="C3645" s="1">
        <v>3</v>
      </c>
    </row>
    <row r="3646" spans="1:3" x14ac:dyDescent="0.3">
      <c r="A3646" t="s">
        <v>3645</v>
      </c>
      <c r="B3646">
        <f>0*(1-0.8198)</f>
        <v>0</v>
      </c>
      <c r="C3646" s="1">
        <v>2</v>
      </c>
    </row>
    <row r="3647" spans="1:3" x14ac:dyDescent="0.3">
      <c r="A3647" t="s">
        <v>3646</v>
      </c>
      <c r="B3647">
        <f>0*(1-0.8198)</f>
        <v>0</v>
      </c>
      <c r="C3647" s="1">
        <v>3</v>
      </c>
    </row>
    <row r="3648" spans="1:3" x14ac:dyDescent="0.3">
      <c r="A3648" t="s">
        <v>3647</v>
      </c>
      <c r="B3648">
        <f>0*(1-0.8198)</f>
        <v>0</v>
      </c>
      <c r="C3648" s="1">
        <v>3</v>
      </c>
    </row>
    <row r="3649" spans="1:3" x14ac:dyDescent="0.3">
      <c r="A3649" t="s">
        <v>3648</v>
      </c>
      <c r="B3649">
        <f>0*(1-0.8198)</f>
        <v>0</v>
      </c>
      <c r="C3649" s="1">
        <v>3</v>
      </c>
    </row>
    <row r="3650" spans="1:3" x14ac:dyDescent="0.3">
      <c r="A3650" t="s">
        <v>3649</v>
      </c>
      <c r="B3650">
        <f>0*(1-0.8198)</f>
        <v>0</v>
      </c>
      <c r="C3650" s="1">
        <v>2</v>
      </c>
    </row>
    <row r="3651" spans="1:3" x14ac:dyDescent="0.3">
      <c r="A3651" t="s">
        <v>3650</v>
      </c>
      <c r="B3651">
        <f>0*(1-0.8198)</f>
        <v>0</v>
      </c>
      <c r="C3651" s="1">
        <v>3</v>
      </c>
    </row>
    <row r="3652" spans="1:3" x14ac:dyDescent="0.3">
      <c r="A3652" t="s">
        <v>3651</v>
      </c>
      <c r="B3652">
        <f>0*(1-0.8198)</f>
        <v>0</v>
      </c>
      <c r="C3652" s="1">
        <v>3</v>
      </c>
    </row>
    <row r="3653" spans="1:3" x14ac:dyDescent="0.3">
      <c r="A3653" t="s">
        <v>3652</v>
      </c>
      <c r="B3653">
        <f>0*(1-0.8198)</f>
        <v>0</v>
      </c>
      <c r="C3653" s="1">
        <v>2</v>
      </c>
    </row>
    <row r="3654" spans="1:3" x14ac:dyDescent="0.3">
      <c r="A3654" t="s">
        <v>3653</v>
      </c>
      <c r="B3654">
        <f>0*(1-0.8198)</f>
        <v>0</v>
      </c>
      <c r="C3654" s="1">
        <v>3</v>
      </c>
    </row>
    <row r="3655" spans="1:3" x14ac:dyDescent="0.3">
      <c r="A3655" t="s">
        <v>3654</v>
      </c>
      <c r="B3655">
        <f>3.76231577571429*(1-0.8198)</f>
        <v>0.67796930278371437</v>
      </c>
      <c r="C3655" s="1">
        <v>3</v>
      </c>
    </row>
    <row r="3656" spans="1:3" x14ac:dyDescent="0.3">
      <c r="A3656" t="s">
        <v>3655</v>
      </c>
      <c r="B3656">
        <f>16.4442112985714*(1-0.8198)</f>
        <v>2.9632468760025716</v>
      </c>
      <c r="C3656" s="1">
        <v>3</v>
      </c>
    </row>
    <row r="3657" spans="1:3" x14ac:dyDescent="0.3">
      <c r="A3657" t="s">
        <v>3656</v>
      </c>
      <c r="B3657">
        <f>30.54492057*(1-0.8198)</f>
        <v>5.5041946867140021</v>
      </c>
      <c r="C3657" s="1">
        <v>3</v>
      </c>
    </row>
    <row r="3658" spans="1:3" x14ac:dyDescent="0.3">
      <c r="A3658" t="s">
        <v>3657</v>
      </c>
      <c r="B3658">
        <f>42.7066011714286*(1-0.8198)</f>
        <v>7.6957295310914304</v>
      </c>
      <c r="C3658" s="1">
        <v>3</v>
      </c>
    </row>
    <row r="3659" spans="1:3" x14ac:dyDescent="0.3">
      <c r="A3659" t="s">
        <v>3658</v>
      </c>
      <c r="B3659">
        <f>50.7851310185714*(1-0.8198)</f>
        <v>9.1514806095465744</v>
      </c>
      <c r="C3659" s="1">
        <v>2</v>
      </c>
    </row>
    <row r="3660" spans="1:3" x14ac:dyDescent="0.3">
      <c r="A3660" t="s">
        <v>3659</v>
      </c>
      <c r="B3660">
        <f>51.2177621885714*(1-0.8198)</f>
        <v>9.2294407463805737</v>
      </c>
      <c r="C3660" s="1">
        <v>3</v>
      </c>
    </row>
    <row r="3661" spans="1:3" x14ac:dyDescent="0.3">
      <c r="A3661" t="s">
        <v>3660</v>
      </c>
      <c r="B3661">
        <f>61.4285714285714*(1-0.8198)</f>
        <v>11.069428571428574</v>
      </c>
      <c r="C3661" s="1">
        <v>3</v>
      </c>
    </row>
    <row r="3662" spans="1:3" x14ac:dyDescent="0.3">
      <c r="A3662" t="s">
        <v>3661</v>
      </c>
      <c r="B3662">
        <f>59.9657197828571*(1-0.8198)</f>
        <v>10.805822704870859</v>
      </c>
      <c r="C3662" s="1">
        <v>2</v>
      </c>
    </row>
    <row r="3663" spans="1:3" x14ac:dyDescent="0.3">
      <c r="A3663" t="s">
        <v>3662</v>
      </c>
      <c r="B3663">
        <f>61.3821325342857*(1-0.8198)</f>
        <v>11.061060282678289</v>
      </c>
      <c r="C3663" s="1">
        <v>3</v>
      </c>
    </row>
    <row r="3664" spans="1:3" x14ac:dyDescent="0.3">
      <c r="A3664" t="s">
        <v>3663</v>
      </c>
      <c r="B3664">
        <f>28.7096787885714*(1-0.8198)</f>
        <v>5.1734841177005721</v>
      </c>
      <c r="C3664" s="1">
        <v>3</v>
      </c>
    </row>
    <row r="3665" spans="1:3" x14ac:dyDescent="0.3">
      <c r="A3665" t="s">
        <v>3664</v>
      </c>
      <c r="B3665">
        <f>44.2609720514286*(1-0.8198)</f>
        <v>7.9758271636674305</v>
      </c>
      <c r="C3665" s="1">
        <v>3</v>
      </c>
    </row>
    <row r="3666" spans="1:3" x14ac:dyDescent="0.3">
      <c r="A3666" t="s">
        <v>3665</v>
      </c>
      <c r="B3666">
        <f>30.3507817128571*(1-0.8198)</f>
        <v>5.4692108646568576</v>
      </c>
      <c r="C3666" s="1">
        <v>2</v>
      </c>
    </row>
    <row r="3667" spans="1:3" x14ac:dyDescent="0.3">
      <c r="A3667" t="s">
        <v>3666</v>
      </c>
      <c r="B3667">
        <f>7.78198280428572*(1-0.8198)</f>
        <v>1.4023133013322862</v>
      </c>
      <c r="C3667" s="1">
        <v>3</v>
      </c>
    </row>
    <row r="3668" spans="1:3" x14ac:dyDescent="0.3">
      <c r="A3668" t="s">
        <v>3667</v>
      </c>
      <c r="B3668">
        <f>1.7802*(1-0.8198)</f>
        <v>0.32079204000000011</v>
      </c>
      <c r="C3668" s="1">
        <v>3</v>
      </c>
    </row>
    <row r="3669" spans="1:3" x14ac:dyDescent="0.3">
      <c r="A3669" t="s">
        <v>3668</v>
      </c>
      <c r="B3669">
        <f>0*(1-0.8198)</f>
        <v>0</v>
      </c>
      <c r="C3669" s="1">
        <v>3</v>
      </c>
    </row>
    <row r="3670" spans="1:3" x14ac:dyDescent="0.3">
      <c r="A3670" t="s">
        <v>3669</v>
      </c>
      <c r="B3670">
        <f>0*(1-0.8198)</f>
        <v>0</v>
      </c>
      <c r="C3670" s="1">
        <v>2</v>
      </c>
    </row>
    <row r="3671" spans="1:3" x14ac:dyDescent="0.3">
      <c r="A3671" t="s">
        <v>3670</v>
      </c>
      <c r="B3671">
        <f>0*(1-0.8198)</f>
        <v>0</v>
      </c>
      <c r="C3671" s="1">
        <v>3</v>
      </c>
    </row>
    <row r="3672" spans="1:3" x14ac:dyDescent="0.3">
      <c r="A3672" t="s">
        <v>3671</v>
      </c>
      <c r="B3672">
        <f>0*(1-0.8198)</f>
        <v>0</v>
      </c>
      <c r="C3672" s="1">
        <v>3</v>
      </c>
    </row>
    <row r="3673" spans="1:3" x14ac:dyDescent="0.3">
      <c r="A3673" t="s">
        <v>3672</v>
      </c>
      <c r="B3673">
        <f>0*(1-0.8198)</f>
        <v>0</v>
      </c>
      <c r="C3673" s="1">
        <v>3</v>
      </c>
    </row>
    <row r="3674" spans="1:3" x14ac:dyDescent="0.3">
      <c r="A3674" t="s">
        <v>3673</v>
      </c>
      <c r="B3674">
        <f>0*(1-0.8198)</f>
        <v>0</v>
      </c>
      <c r="C3674" s="1">
        <v>3</v>
      </c>
    </row>
    <row r="3675" spans="1:3" x14ac:dyDescent="0.3">
      <c r="A3675" t="s">
        <v>3674</v>
      </c>
      <c r="B3675">
        <f>0*(1-0.8198)</f>
        <v>0</v>
      </c>
      <c r="C3675" s="1">
        <v>3</v>
      </c>
    </row>
    <row r="3676" spans="1:3" x14ac:dyDescent="0.3">
      <c r="A3676" t="s">
        <v>3675</v>
      </c>
      <c r="B3676">
        <f>0*(1-0.8198)</f>
        <v>0</v>
      </c>
      <c r="C3676" s="1">
        <v>2</v>
      </c>
    </row>
    <row r="3677" spans="1:3" x14ac:dyDescent="0.3">
      <c r="A3677" t="s">
        <v>3676</v>
      </c>
      <c r="B3677">
        <f>0*(1-0.8198)</f>
        <v>0</v>
      </c>
      <c r="C3677" s="1">
        <v>3</v>
      </c>
    </row>
    <row r="3678" spans="1:3" x14ac:dyDescent="0.3">
      <c r="A3678" t="s">
        <v>3677</v>
      </c>
      <c r="B3678">
        <f>0*(1-0.8198)</f>
        <v>0</v>
      </c>
      <c r="C3678" s="1">
        <v>3</v>
      </c>
    </row>
    <row r="3679" spans="1:3" x14ac:dyDescent="0.3">
      <c r="A3679" t="s">
        <v>3678</v>
      </c>
      <c r="B3679">
        <f>3.75987816714286*(1-0.8198)</f>
        <v>0.67753004571914288</v>
      </c>
      <c r="C3679" s="1">
        <v>3</v>
      </c>
    </row>
    <row r="3680" spans="1:3" x14ac:dyDescent="0.3">
      <c r="A3680" t="s">
        <v>3679</v>
      </c>
      <c r="B3680">
        <f>15.99287476*(1-0.8198)</f>
        <v>2.881916031752001</v>
      </c>
      <c r="C3680" s="1">
        <v>11</v>
      </c>
    </row>
    <row r="3681" spans="1:3" x14ac:dyDescent="0.3">
      <c r="A3681" t="s">
        <v>3680</v>
      </c>
      <c r="B3681">
        <f>30.01432637*(1-0.8198)</f>
        <v>5.408581611874002</v>
      </c>
      <c r="C3681" s="1">
        <v>13</v>
      </c>
    </row>
    <row r="3682" spans="1:3" x14ac:dyDescent="0.3">
      <c r="A3682" t="s">
        <v>3681</v>
      </c>
      <c r="B3682">
        <f>42.1461854271429*(1-0.8198)</f>
        <v>7.5947426139711443</v>
      </c>
      <c r="C3682" s="1">
        <v>15</v>
      </c>
    </row>
    <row r="3683" spans="1:3" x14ac:dyDescent="0.3">
      <c r="A3683" t="s">
        <v>3682</v>
      </c>
      <c r="B3683">
        <f>42.9987821171429*(1-0.8198)</f>
        <v>7.748380537509143</v>
      </c>
      <c r="C3683" s="1">
        <v>17</v>
      </c>
    </row>
    <row r="3684" spans="1:3" x14ac:dyDescent="0.3">
      <c r="A3684" t="s">
        <v>3683</v>
      </c>
      <c r="B3684">
        <f>46.6604103214286*(1-0.8198)</f>
        <v>8.4082059399214319</v>
      </c>
      <c r="C3684" s="1">
        <v>13</v>
      </c>
    </row>
    <row r="3685" spans="1:3" x14ac:dyDescent="0.3">
      <c r="A3685" t="s">
        <v>3684</v>
      </c>
      <c r="B3685">
        <f>13.64304*(1-0.8198)</f>
        <v>2.4584758079999998</v>
      </c>
      <c r="C3685" s="1">
        <v>12</v>
      </c>
    </row>
    <row r="3686" spans="1:3" x14ac:dyDescent="0.3">
      <c r="A3686" t="s">
        <v>3685</v>
      </c>
      <c r="B3686">
        <f>6.70284*(1-0.8198)</f>
        <v>1.207851768</v>
      </c>
      <c r="C3686" s="1">
        <v>14</v>
      </c>
    </row>
    <row r="3687" spans="1:3" x14ac:dyDescent="0.3">
      <c r="A3687" t="s">
        <v>3686</v>
      </c>
      <c r="B3687">
        <f>46.3487508057143*(1-0.8198)</f>
        <v>8.3520448951897155</v>
      </c>
      <c r="C3687" s="1">
        <v>13</v>
      </c>
    </row>
    <row r="3688" spans="1:3" x14ac:dyDescent="0.3">
      <c r="A3688" t="s">
        <v>3687</v>
      </c>
      <c r="B3688">
        <f>26.8758473457143*(1-0.8198)</f>
        <v>4.8430276916977153</v>
      </c>
      <c r="C3688" s="1">
        <v>10</v>
      </c>
    </row>
    <row r="3689" spans="1:3" x14ac:dyDescent="0.3">
      <c r="A3689" t="s">
        <v>3688</v>
      </c>
      <c r="B3689">
        <f>4.88652*(1-0.8198)</f>
        <v>0.88055090400000013</v>
      </c>
      <c r="C3689" s="1">
        <v>9</v>
      </c>
    </row>
    <row r="3690" spans="1:3" x14ac:dyDescent="0.3">
      <c r="A3690" t="s">
        <v>3689</v>
      </c>
      <c r="B3690">
        <f>16.9833755214286*(1-0.8198)</f>
        <v>3.0604042689614284</v>
      </c>
      <c r="C3690" s="1">
        <v>7</v>
      </c>
    </row>
    <row r="3691" spans="1:3" x14ac:dyDescent="0.3">
      <c r="A3691" t="s">
        <v>3690</v>
      </c>
      <c r="B3691">
        <f>6.24890681428572*(1-0.8198)</f>
        <v>1.1260530079342861</v>
      </c>
      <c r="C3691" s="1">
        <v>7</v>
      </c>
    </row>
    <row r="3692" spans="1:3" x14ac:dyDescent="0.3">
      <c r="A3692" t="s">
        <v>3691</v>
      </c>
      <c r="B3692">
        <f>1.18336*(1-0.8198)</f>
        <v>0.21324147200000007</v>
      </c>
      <c r="C3692" s="1">
        <v>7</v>
      </c>
    </row>
    <row r="3693" spans="1:3" x14ac:dyDescent="0.3">
      <c r="A3693" t="s">
        <v>3692</v>
      </c>
      <c r="B3693">
        <f>0*(1-0.8198)</f>
        <v>0</v>
      </c>
      <c r="C3693" s="1">
        <v>6</v>
      </c>
    </row>
    <row r="3694" spans="1:3" x14ac:dyDescent="0.3">
      <c r="A3694" t="s">
        <v>3693</v>
      </c>
      <c r="B3694">
        <f>0*(1-0.8198)</f>
        <v>0</v>
      </c>
      <c r="C3694" s="1">
        <v>6</v>
      </c>
    </row>
    <row r="3695" spans="1:3" x14ac:dyDescent="0.3">
      <c r="A3695" t="s">
        <v>3694</v>
      </c>
      <c r="B3695">
        <f>0*(1-0.8198)</f>
        <v>0</v>
      </c>
      <c r="C3695" s="1">
        <v>5</v>
      </c>
    </row>
    <row r="3696" spans="1:3" x14ac:dyDescent="0.3">
      <c r="A3696" t="s">
        <v>3695</v>
      </c>
      <c r="B3696">
        <f>0*(1-0.8198)</f>
        <v>0</v>
      </c>
      <c r="C3696" s="1">
        <v>5</v>
      </c>
    </row>
    <row r="3697" spans="1:3" x14ac:dyDescent="0.3">
      <c r="A3697" t="s">
        <v>3696</v>
      </c>
      <c r="B3697">
        <f>0*(1-0.8198)</f>
        <v>0</v>
      </c>
      <c r="C3697" s="1">
        <v>2</v>
      </c>
    </row>
    <row r="3698" spans="1:3" x14ac:dyDescent="0.3">
      <c r="A3698" t="s">
        <v>3697</v>
      </c>
      <c r="B3698">
        <f>0*(1-0.8198)</f>
        <v>0</v>
      </c>
      <c r="C3698" s="1">
        <v>3</v>
      </c>
    </row>
    <row r="3699" spans="1:3" x14ac:dyDescent="0.3">
      <c r="A3699" t="s">
        <v>3698</v>
      </c>
      <c r="B3699">
        <f>0*(1-0.8198)</f>
        <v>0</v>
      </c>
      <c r="C3699" s="1">
        <v>3</v>
      </c>
    </row>
    <row r="3700" spans="1:3" x14ac:dyDescent="0.3">
      <c r="A3700" t="s">
        <v>3699</v>
      </c>
      <c r="B3700">
        <f>0*(1-0.8198)</f>
        <v>0</v>
      </c>
      <c r="C3700" s="1">
        <v>3</v>
      </c>
    </row>
    <row r="3701" spans="1:3" x14ac:dyDescent="0.3">
      <c r="A3701" t="s">
        <v>3700</v>
      </c>
      <c r="B3701">
        <f>0*(1-0.8198)</f>
        <v>0</v>
      </c>
      <c r="C3701" s="1">
        <v>2</v>
      </c>
    </row>
    <row r="3702" spans="1:3" x14ac:dyDescent="0.3">
      <c r="A3702" t="s">
        <v>3701</v>
      </c>
      <c r="B3702">
        <f>0*(1-0.8198)</f>
        <v>0</v>
      </c>
      <c r="C3702" s="1">
        <v>3</v>
      </c>
    </row>
    <row r="3703" spans="1:3" x14ac:dyDescent="0.3">
      <c r="A3703" t="s">
        <v>3702</v>
      </c>
      <c r="B3703">
        <f>3.61006635142857*(1-0.8198)</f>
        <v>0.65053395652742863</v>
      </c>
      <c r="C3703" s="1">
        <v>4</v>
      </c>
    </row>
    <row r="3704" spans="1:3" x14ac:dyDescent="0.3">
      <c r="A3704" t="s">
        <v>3703</v>
      </c>
      <c r="B3704">
        <f>16.8315753242857*(1-0.8198)</f>
        <v>3.0330498734362865</v>
      </c>
      <c r="C3704" s="1">
        <v>10</v>
      </c>
    </row>
    <row r="3705" spans="1:3" x14ac:dyDescent="0.3">
      <c r="A3705" t="s">
        <v>3704</v>
      </c>
      <c r="B3705">
        <f>31.0855413871429*(1-0.8198)</f>
        <v>5.6016145579631429</v>
      </c>
      <c r="C3705" s="1">
        <v>13</v>
      </c>
    </row>
    <row r="3706" spans="1:3" x14ac:dyDescent="0.3">
      <c r="A3706" t="s">
        <v>3705</v>
      </c>
      <c r="B3706">
        <f>39.8185070314286*(1-0.8198)</f>
        <v>7.1752949670634303</v>
      </c>
      <c r="C3706" s="1">
        <v>13</v>
      </c>
    </row>
    <row r="3707" spans="1:3" x14ac:dyDescent="0.3">
      <c r="A3707" t="s">
        <v>3706</v>
      </c>
      <c r="B3707">
        <f>38.3471795942857*(1-0.8198)</f>
        <v>6.9101617628902874</v>
      </c>
      <c r="C3707" s="1">
        <v>13</v>
      </c>
    </row>
    <row r="3708" spans="1:3" x14ac:dyDescent="0.3">
      <c r="A3708" t="s">
        <v>3707</v>
      </c>
      <c r="B3708">
        <f>53.1270975157143*(1-0.8198)</f>
        <v>9.5735029723317169</v>
      </c>
      <c r="C3708" s="1">
        <v>13</v>
      </c>
    </row>
    <row r="3709" spans="1:3" x14ac:dyDescent="0.3">
      <c r="A3709" t="s">
        <v>3708</v>
      </c>
      <c r="B3709">
        <f>61.0509743*(1-0.8198)</f>
        <v>11.001385568860004</v>
      </c>
      <c r="C3709" s="1">
        <v>13</v>
      </c>
    </row>
    <row r="3710" spans="1:3" x14ac:dyDescent="0.3">
      <c r="A3710" t="s">
        <v>3709</v>
      </c>
      <c r="B3710">
        <f>61.4285714285714*(1-0.8198)</f>
        <v>11.069428571428574</v>
      </c>
      <c r="C3710" s="1">
        <v>12</v>
      </c>
    </row>
    <row r="3711" spans="1:3" x14ac:dyDescent="0.3">
      <c r="A3711" t="s">
        <v>3710</v>
      </c>
      <c r="B3711">
        <f>30.7883641485714*(1-0.8198)</f>
        <v>5.5480632195725725</v>
      </c>
      <c r="C3711" s="1">
        <v>12</v>
      </c>
    </row>
    <row r="3712" spans="1:3" x14ac:dyDescent="0.3">
      <c r="A3712" t="s">
        <v>3711</v>
      </c>
      <c r="B3712">
        <f>20.1821117971429*(1-0.8198)</f>
        <v>3.6368165458451429</v>
      </c>
      <c r="C3712" s="1">
        <v>9</v>
      </c>
    </row>
    <row r="3713" spans="1:3" x14ac:dyDescent="0.3">
      <c r="A3713" t="s">
        <v>3712</v>
      </c>
      <c r="B3713">
        <f>9.83496*(1-0.8198)</f>
        <v>1.7722597920000003</v>
      </c>
      <c r="C3713" s="1">
        <v>9</v>
      </c>
    </row>
    <row r="3714" spans="1:3" x14ac:dyDescent="0.3">
      <c r="A3714" t="s">
        <v>3713</v>
      </c>
      <c r="B3714">
        <f>32.5932650071429*(1-0.8198)</f>
        <v>5.8733063542871431</v>
      </c>
      <c r="C3714" s="1">
        <v>7</v>
      </c>
    </row>
    <row r="3715" spans="1:3" x14ac:dyDescent="0.3">
      <c r="A3715" t="s">
        <v>3714</v>
      </c>
      <c r="B3715">
        <f>17.86847671*(1-0.8198)</f>
        <v>3.2198995031420012</v>
      </c>
      <c r="C3715" s="1">
        <v>8</v>
      </c>
    </row>
    <row r="3716" spans="1:3" x14ac:dyDescent="0.3">
      <c r="A3716" t="s">
        <v>3715</v>
      </c>
      <c r="B3716">
        <f>5.48480553714286*(1-0.8198)</f>
        <v>0.98836195779314284</v>
      </c>
      <c r="C3716" s="1">
        <v>7</v>
      </c>
    </row>
    <row r="3717" spans="1:3" x14ac:dyDescent="0.3">
      <c r="A3717" t="s">
        <v>3716</v>
      </c>
      <c r="B3717">
        <f>0*(1-0.8198)</f>
        <v>0</v>
      </c>
      <c r="C3717" s="1">
        <v>7</v>
      </c>
    </row>
    <row r="3718" spans="1:3" x14ac:dyDescent="0.3">
      <c r="A3718" t="s">
        <v>3717</v>
      </c>
      <c r="B3718">
        <f>0*(1-0.8198)</f>
        <v>0</v>
      </c>
      <c r="C3718" s="1">
        <v>7</v>
      </c>
    </row>
    <row r="3719" spans="1:3" x14ac:dyDescent="0.3">
      <c r="A3719" t="s">
        <v>3718</v>
      </c>
      <c r="B3719">
        <f>0*(1-0.8198)</f>
        <v>0</v>
      </c>
      <c r="C3719" s="1">
        <v>6</v>
      </c>
    </row>
    <row r="3720" spans="1:3" x14ac:dyDescent="0.3">
      <c r="A3720" t="s">
        <v>3719</v>
      </c>
      <c r="B3720">
        <f>0*(1-0.8198)</f>
        <v>0</v>
      </c>
      <c r="C3720" s="1">
        <v>5</v>
      </c>
    </row>
    <row r="3721" spans="1:3" x14ac:dyDescent="0.3">
      <c r="A3721" t="s">
        <v>3720</v>
      </c>
      <c r="B3721">
        <f>0*(1-0.8198)</f>
        <v>0</v>
      </c>
      <c r="C3721" s="1">
        <v>3</v>
      </c>
    </row>
    <row r="3722" spans="1:3" x14ac:dyDescent="0.3">
      <c r="A3722" t="s">
        <v>3721</v>
      </c>
      <c r="B3722">
        <f>0*(1-0.8198)</f>
        <v>0</v>
      </c>
      <c r="C3722" s="1">
        <v>3</v>
      </c>
    </row>
    <row r="3723" spans="1:3" x14ac:dyDescent="0.3">
      <c r="A3723" t="s">
        <v>3722</v>
      </c>
      <c r="B3723">
        <f>0*(1-0.8198)</f>
        <v>0</v>
      </c>
      <c r="C3723" s="1">
        <v>4</v>
      </c>
    </row>
    <row r="3724" spans="1:3" x14ac:dyDescent="0.3">
      <c r="A3724" t="s">
        <v>3723</v>
      </c>
      <c r="B3724">
        <f>0*(1-0.8198)</f>
        <v>0</v>
      </c>
      <c r="C3724" s="1">
        <v>3</v>
      </c>
    </row>
    <row r="3725" spans="1:3" x14ac:dyDescent="0.3">
      <c r="A3725" t="s">
        <v>3724</v>
      </c>
      <c r="B3725">
        <f>0*(1-0.8198)</f>
        <v>0</v>
      </c>
      <c r="C3725" s="1">
        <v>2</v>
      </c>
    </row>
    <row r="3726" spans="1:3" x14ac:dyDescent="0.3">
      <c r="A3726" t="s">
        <v>3725</v>
      </c>
      <c r="B3726">
        <f>0*(1-0.8198)</f>
        <v>0</v>
      </c>
      <c r="C3726" s="1">
        <v>3</v>
      </c>
    </row>
    <row r="3727" spans="1:3" x14ac:dyDescent="0.3">
      <c r="A3727" t="s">
        <v>3726</v>
      </c>
      <c r="B3727">
        <f>3.13986737142857*(1-0.8198)</f>
        <v>0.56580410033142869</v>
      </c>
      <c r="C3727" s="1">
        <v>3</v>
      </c>
    </row>
    <row r="3728" spans="1:3" x14ac:dyDescent="0.3">
      <c r="A3728" t="s">
        <v>3727</v>
      </c>
      <c r="B3728">
        <f>15.4011282328571*(1-0.8198)</f>
        <v>2.7752833075608581</v>
      </c>
      <c r="C3728" s="1">
        <v>8</v>
      </c>
    </row>
    <row r="3729" spans="1:3" x14ac:dyDescent="0.3">
      <c r="A3729" t="s">
        <v>3728</v>
      </c>
      <c r="B3729">
        <f>30.4794598271429*(1-0.8198)</f>
        <v>5.4923986608511441</v>
      </c>
      <c r="C3729" s="1">
        <v>13</v>
      </c>
    </row>
    <row r="3730" spans="1:3" x14ac:dyDescent="0.3">
      <c r="A3730" t="s">
        <v>3729</v>
      </c>
      <c r="B3730">
        <f>41.96229734*(1-0.8198)</f>
        <v>7.5616059806680012</v>
      </c>
      <c r="C3730" s="1">
        <v>21</v>
      </c>
    </row>
    <row r="3731" spans="1:3" x14ac:dyDescent="0.3">
      <c r="A3731" t="s">
        <v>3730</v>
      </c>
      <c r="B3731">
        <f>50.4438917414286*(1-0.8198)</f>
        <v>9.0899892918054306</v>
      </c>
      <c r="C3731" s="1">
        <v>13</v>
      </c>
    </row>
    <row r="3732" spans="1:3" x14ac:dyDescent="0.3">
      <c r="A3732" t="s">
        <v>3731</v>
      </c>
      <c r="B3732">
        <f>56.49442469*(1-0.8198)</f>
        <v>10.180295329138005</v>
      </c>
      <c r="C3732" s="1">
        <v>18</v>
      </c>
    </row>
    <row r="3733" spans="1:3" x14ac:dyDescent="0.3">
      <c r="A3733" t="s">
        <v>3732</v>
      </c>
      <c r="B3733">
        <f>61.4285714285714*(1-0.8198)</f>
        <v>11.069428571428574</v>
      </c>
      <c r="C3733" s="1">
        <v>17</v>
      </c>
    </row>
    <row r="3734" spans="1:3" x14ac:dyDescent="0.3">
      <c r="A3734" t="s">
        <v>3733</v>
      </c>
      <c r="B3734">
        <f>61.4285714285714*(1-0.8198)</f>
        <v>11.069428571428574</v>
      </c>
      <c r="C3734" s="1">
        <v>18</v>
      </c>
    </row>
    <row r="3735" spans="1:3" x14ac:dyDescent="0.3">
      <c r="A3735" t="s">
        <v>3734</v>
      </c>
      <c r="B3735">
        <f>56.4582944314286*(1-0.8198)</f>
        <v>10.173784656543432</v>
      </c>
      <c r="C3735" s="1">
        <v>14</v>
      </c>
    </row>
    <row r="3736" spans="1:3" x14ac:dyDescent="0.3">
      <c r="A3736" t="s">
        <v>3735</v>
      </c>
      <c r="B3736">
        <f>53.3783818985714*(1-0.8198)</f>
        <v>9.618784418122571</v>
      </c>
      <c r="C3736" s="1">
        <v>8</v>
      </c>
    </row>
    <row r="3737" spans="1:3" x14ac:dyDescent="0.3">
      <c r="A3737" t="s">
        <v>3736</v>
      </c>
      <c r="B3737">
        <f>42.5826531185714*(1-0.8198)</f>
        <v>7.6733940919665722</v>
      </c>
      <c r="C3737" s="1">
        <v>8</v>
      </c>
    </row>
    <row r="3738" spans="1:3" x14ac:dyDescent="0.3">
      <c r="A3738" t="s">
        <v>3737</v>
      </c>
      <c r="B3738">
        <f>31.2496453585714*(1-0.8198)</f>
        <v>5.6311860936145717</v>
      </c>
      <c r="C3738" s="1">
        <v>7</v>
      </c>
    </row>
    <row r="3739" spans="1:3" x14ac:dyDescent="0.3">
      <c r="A3739" t="s">
        <v>3738</v>
      </c>
      <c r="B3739">
        <f>10.1299869928571*(1-0.8198)</f>
        <v>1.8254236561128578</v>
      </c>
      <c r="C3739" s="1">
        <v>8</v>
      </c>
    </row>
    <row r="3740" spans="1:3" x14ac:dyDescent="0.3">
      <c r="A3740" t="s">
        <v>3739</v>
      </c>
      <c r="B3740">
        <f>0.78002*(1-0.8198)</f>
        <v>0.14055960400000003</v>
      </c>
      <c r="C3740" s="1">
        <v>6</v>
      </c>
    </row>
    <row r="3741" spans="1:3" x14ac:dyDescent="0.3">
      <c r="A3741" t="s">
        <v>3740</v>
      </c>
      <c r="B3741">
        <f>0*(1-0.8198)</f>
        <v>0</v>
      </c>
      <c r="C3741" s="1">
        <v>7</v>
      </c>
    </row>
    <row r="3742" spans="1:3" x14ac:dyDescent="0.3">
      <c r="A3742" t="s">
        <v>3741</v>
      </c>
      <c r="B3742">
        <f>0*(1-0.8198)</f>
        <v>0</v>
      </c>
      <c r="C3742" s="1">
        <v>5</v>
      </c>
    </row>
    <row r="3743" spans="1:3" x14ac:dyDescent="0.3">
      <c r="A3743" t="s">
        <v>3742</v>
      </c>
      <c r="B3743">
        <f>0*(1-0.8198)</f>
        <v>0</v>
      </c>
      <c r="C3743" s="1">
        <v>5</v>
      </c>
    </row>
    <row r="3744" spans="1:3" x14ac:dyDescent="0.3">
      <c r="A3744" t="s">
        <v>3743</v>
      </c>
      <c r="B3744">
        <f>0*(1-0.8198)</f>
        <v>0</v>
      </c>
      <c r="C3744" s="1">
        <v>5</v>
      </c>
    </row>
    <row r="3745" spans="1:3" x14ac:dyDescent="0.3">
      <c r="A3745" t="s">
        <v>3744</v>
      </c>
      <c r="B3745">
        <f>0*(1-0.8198)</f>
        <v>0</v>
      </c>
      <c r="C3745" s="1">
        <v>2</v>
      </c>
    </row>
    <row r="3746" spans="1:3" x14ac:dyDescent="0.3">
      <c r="A3746" t="s">
        <v>3745</v>
      </c>
      <c r="B3746">
        <f>0*(1-0.8198)</f>
        <v>0</v>
      </c>
      <c r="C3746" s="1">
        <v>3</v>
      </c>
    </row>
    <row r="3747" spans="1:3" x14ac:dyDescent="0.3">
      <c r="A3747" t="s">
        <v>3746</v>
      </c>
      <c r="B3747">
        <f>0*(1-0.8198)</f>
        <v>0</v>
      </c>
      <c r="C3747" s="1">
        <v>3</v>
      </c>
    </row>
    <row r="3748" spans="1:3" x14ac:dyDescent="0.3">
      <c r="A3748" t="s">
        <v>3747</v>
      </c>
      <c r="B3748">
        <f>0*(1-0.8198)</f>
        <v>0</v>
      </c>
      <c r="C3748" s="1">
        <v>3</v>
      </c>
    </row>
    <row r="3749" spans="1:3" x14ac:dyDescent="0.3">
      <c r="A3749" t="s">
        <v>3748</v>
      </c>
      <c r="B3749">
        <f>0*(1-0.8198)</f>
        <v>0</v>
      </c>
      <c r="C3749" s="1">
        <v>3</v>
      </c>
    </row>
    <row r="3750" spans="1:3" x14ac:dyDescent="0.3">
      <c r="A3750" t="s">
        <v>3749</v>
      </c>
      <c r="B3750">
        <f>0*(1-0.8198)</f>
        <v>0</v>
      </c>
      <c r="C3750" s="1">
        <v>2</v>
      </c>
    </row>
    <row r="3751" spans="1:3" x14ac:dyDescent="0.3">
      <c r="A3751" t="s">
        <v>3750</v>
      </c>
      <c r="B3751">
        <f>4.22044213714286*(1-0.8198)</f>
        <v>0.76052367311314295</v>
      </c>
      <c r="C3751" s="1">
        <v>3</v>
      </c>
    </row>
    <row r="3752" spans="1:3" x14ac:dyDescent="0.3">
      <c r="A3752" t="s">
        <v>3751</v>
      </c>
      <c r="B3752">
        <f>15.96207558*(1-0.8198)</f>
        <v>2.8763660195160003</v>
      </c>
      <c r="C3752" s="1">
        <v>11</v>
      </c>
    </row>
    <row r="3753" spans="1:3" x14ac:dyDescent="0.3">
      <c r="A3753" t="s">
        <v>3752</v>
      </c>
      <c r="B3753">
        <f>0*(1-0.8198)</f>
        <v>0</v>
      </c>
      <c r="C3753" s="1">
        <v>15</v>
      </c>
    </row>
    <row r="3754" spans="1:3" x14ac:dyDescent="0.3">
      <c r="A3754" t="s">
        <v>3753</v>
      </c>
      <c r="B3754">
        <f>42.0399611142857*(1-0.8198)</f>
        <v>7.5756009927942882</v>
      </c>
      <c r="C3754" s="1">
        <v>16</v>
      </c>
    </row>
    <row r="3755" spans="1:3" x14ac:dyDescent="0.3">
      <c r="A3755" t="s">
        <v>3754</v>
      </c>
      <c r="B3755">
        <f>52.8772631542857*(1-0.8198)</f>
        <v>9.5284828204022887</v>
      </c>
      <c r="C3755" s="1">
        <v>16</v>
      </c>
    </row>
    <row r="3756" spans="1:3" x14ac:dyDescent="0.3">
      <c r="A3756" t="s">
        <v>3755</v>
      </c>
      <c r="B3756">
        <f>59.88070995*(1-0.8198)</f>
        <v>10.790503932990003</v>
      </c>
      <c r="C3756" s="1">
        <v>12</v>
      </c>
    </row>
    <row r="3757" spans="1:3" x14ac:dyDescent="0.3">
      <c r="A3757" t="s">
        <v>3756</v>
      </c>
      <c r="B3757">
        <f>61.4285714285714*(1-0.8198)</f>
        <v>11.069428571428574</v>
      </c>
      <c r="C3757" s="1">
        <v>12</v>
      </c>
    </row>
    <row r="3758" spans="1:3" x14ac:dyDescent="0.3">
      <c r="A3758" t="s">
        <v>3757</v>
      </c>
      <c r="B3758">
        <f>61.4285714285714*(1-0.8198)</f>
        <v>11.069428571428574</v>
      </c>
      <c r="C3758" s="1">
        <v>13</v>
      </c>
    </row>
    <row r="3759" spans="1:3" x14ac:dyDescent="0.3">
      <c r="A3759" t="s">
        <v>3758</v>
      </c>
      <c r="B3759">
        <f>60.5556311314286*(1-0.8198)</f>
        <v>10.912124729883431</v>
      </c>
      <c r="C3759" s="1">
        <v>12</v>
      </c>
    </row>
    <row r="3760" spans="1:3" x14ac:dyDescent="0.3">
      <c r="A3760" t="s">
        <v>3759</v>
      </c>
      <c r="B3760">
        <f>54.6934055028571*(1-0.8198)</f>
        <v>9.8557516716148594</v>
      </c>
      <c r="C3760" s="1">
        <v>6</v>
      </c>
    </row>
    <row r="3761" spans="1:3" x14ac:dyDescent="0.3">
      <c r="A3761" t="s">
        <v>3760</v>
      </c>
      <c r="B3761">
        <f>43.83177781*(1-0.8198)</f>
        <v>7.8984863613620009</v>
      </c>
      <c r="C3761" s="1">
        <v>5</v>
      </c>
    </row>
    <row r="3762" spans="1:3" x14ac:dyDescent="0.3">
      <c r="A3762" t="s">
        <v>3761</v>
      </c>
      <c r="B3762">
        <f>31.7600320157143*(1-0.8198)</f>
        <v>5.7231577692317144</v>
      </c>
      <c r="C3762" s="1">
        <v>5</v>
      </c>
    </row>
    <row r="3763" spans="1:3" x14ac:dyDescent="0.3">
      <c r="A3763" t="s">
        <v>3762</v>
      </c>
      <c r="B3763">
        <f>17.8640900957143*(1-0.8198)</f>
        <v>3.2191090352477145</v>
      </c>
      <c r="C3763" s="1">
        <v>6</v>
      </c>
    </row>
    <row r="3764" spans="1:3" x14ac:dyDescent="0.3">
      <c r="A3764" t="s">
        <v>3763</v>
      </c>
      <c r="B3764">
        <f>5.65198007714286*(1-0.8198)</f>
        <v>1.018486809901143</v>
      </c>
      <c r="C3764" s="1">
        <v>6</v>
      </c>
    </row>
    <row r="3765" spans="1:3" x14ac:dyDescent="0.3">
      <c r="A3765" t="s">
        <v>3764</v>
      </c>
      <c r="B3765">
        <f>0*(1-0.8198)</f>
        <v>0</v>
      </c>
      <c r="C3765" s="1">
        <v>5</v>
      </c>
    </row>
    <row r="3766" spans="1:3" x14ac:dyDescent="0.3">
      <c r="A3766" t="s">
        <v>3765</v>
      </c>
      <c r="B3766">
        <f>0*(1-0.8198)</f>
        <v>0</v>
      </c>
      <c r="C3766" s="1">
        <v>6</v>
      </c>
    </row>
    <row r="3767" spans="1:3" x14ac:dyDescent="0.3">
      <c r="A3767" t="s">
        <v>3766</v>
      </c>
      <c r="B3767">
        <f>0*(1-0.8198)</f>
        <v>0</v>
      </c>
      <c r="C3767" s="1">
        <v>5</v>
      </c>
    </row>
    <row r="3768" spans="1:3" x14ac:dyDescent="0.3">
      <c r="A3768" t="s">
        <v>3767</v>
      </c>
      <c r="B3768">
        <f>0*(1-0.8198)</f>
        <v>0</v>
      </c>
      <c r="C3768" s="1">
        <v>4</v>
      </c>
    </row>
    <row r="3769" spans="1:3" x14ac:dyDescent="0.3">
      <c r="A3769" t="s">
        <v>3768</v>
      </c>
      <c r="B3769">
        <f>0*(1-0.8198)</f>
        <v>0</v>
      </c>
      <c r="C3769" s="1">
        <v>3</v>
      </c>
    </row>
    <row r="3770" spans="1:3" x14ac:dyDescent="0.3">
      <c r="A3770" t="s">
        <v>3769</v>
      </c>
      <c r="B3770">
        <f>0*(1-0.8198)</f>
        <v>0</v>
      </c>
      <c r="C3770" s="1">
        <v>3</v>
      </c>
    </row>
    <row r="3771" spans="1:3" x14ac:dyDescent="0.3">
      <c r="A3771" t="s">
        <v>3770</v>
      </c>
      <c r="B3771">
        <f>0*(1-0.8198)</f>
        <v>0</v>
      </c>
      <c r="C3771" s="1">
        <v>3</v>
      </c>
    </row>
    <row r="3772" spans="1:3" x14ac:dyDescent="0.3">
      <c r="A3772" t="s">
        <v>3771</v>
      </c>
      <c r="B3772">
        <f>0*(1-0.8198)</f>
        <v>0</v>
      </c>
      <c r="C3772" s="1">
        <v>2</v>
      </c>
    </row>
    <row r="3773" spans="1:3" x14ac:dyDescent="0.3">
      <c r="A3773" t="s">
        <v>3772</v>
      </c>
      <c r="B3773">
        <f>0*(1-0.8198)</f>
        <v>0</v>
      </c>
      <c r="C3773" s="1">
        <v>3</v>
      </c>
    </row>
    <row r="3774" spans="1:3" x14ac:dyDescent="0.3">
      <c r="A3774" t="s">
        <v>3773</v>
      </c>
      <c r="B3774">
        <f>0*(1-0.8198)</f>
        <v>0</v>
      </c>
      <c r="C3774" s="1">
        <v>3</v>
      </c>
    </row>
    <row r="3775" spans="1:3" x14ac:dyDescent="0.3">
      <c r="A3775" t="s">
        <v>3774</v>
      </c>
      <c r="B3775">
        <f>0.194786375714286*(1-0.8198)</f>
        <v>3.5100504903714289E-2</v>
      </c>
      <c r="C3775" s="1">
        <v>3</v>
      </c>
    </row>
    <row r="3776" spans="1:3" x14ac:dyDescent="0.3">
      <c r="A3776" t="s">
        <v>3775</v>
      </c>
      <c r="B3776">
        <f>8.35771146285714*(1-0.8198)</f>
        <v>1.5060596056068578</v>
      </c>
      <c r="C3776" s="1">
        <v>15</v>
      </c>
    </row>
    <row r="3777" spans="1:3" x14ac:dyDescent="0.3">
      <c r="A3777" t="s">
        <v>3776</v>
      </c>
      <c r="B3777">
        <f>24.4604101885714*(1-0.8198)</f>
        <v>4.4077659159805727</v>
      </c>
      <c r="C3777" s="1">
        <v>14</v>
      </c>
    </row>
    <row r="3778" spans="1:3" x14ac:dyDescent="0.3">
      <c r="A3778" t="s">
        <v>3777</v>
      </c>
      <c r="B3778">
        <f>24.31675843*(1-0.8198)</f>
        <v>4.381879869086001</v>
      </c>
      <c r="C3778" s="1">
        <v>17</v>
      </c>
    </row>
    <row r="3779" spans="1:3" x14ac:dyDescent="0.3">
      <c r="A3779" t="s">
        <v>3778</v>
      </c>
      <c r="B3779">
        <f>33.55837777*(1-0.8198)</f>
        <v>6.0472196741540012</v>
      </c>
      <c r="C3779" s="1">
        <v>11</v>
      </c>
    </row>
    <row r="3780" spans="1:3" x14ac:dyDescent="0.3">
      <c r="A3780" t="s">
        <v>3779</v>
      </c>
      <c r="B3780">
        <f>35.9178795442857*(1-0.8198)</f>
        <v>6.4724018938802876</v>
      </c>
      <c r="C3780" s="1">
        <v>12</v>
      </c>
    </row>
    <row r="3781" spans="1:3" x14ac:dyDescent="0.3">
      <c r="A3781" t="s">
        <v>3780</v>
      </c>
      <c r="B3781">
        <f>52.57886748*(1-0.8198)</f>
        <v>9.4747119198960021</v>
      </c>
      <c r="C3781" s="1">
        <v>13</v>
      </c>
    </row>
    <row r="3782" spans="1:3" x14ac:dyDescent="0.3">
      <c r="A3782" t="s">
        <v>3781</v>
      </c>
      <c r="B3782">
        <f>45.0371442271429*(1-0.8198)</f>
        <v>8.1156933897311436</v>
      </c>
      <c r="C3782" s="1">
        <v>16</v>
      </c>
    </row>
    <row r="3783" spans="1:3" x14ac:dyDescent="0.3">
      <c r="A3783" t="s">
        <v>3782</v>
      </c>
      <c r="B3783">
        <f>38.33850631*(1-0.8198)</f>
        <v>6.9085988370620024</v>
      </c>
      <c r="C3783" s="1">
        <v>14</v>
      </c>
    </row>
    <row r="3784" spans="1:3" x14ac:dyDescent="0.3">
      <c r="A3784" t="s">
        <v>3783</v>
      </c>
      <c r="B3784">
        <f>24.8617458971429*(1-0.8198)</f>
        <v>4.4800866106651442</v>
      </c>
      <c r="C3784" s="1">
        <v>9</v>
      </c>
    </row>
    <row r="3785" spans="1:3" x14ac:dyDescent="0.3">
      <c r="A3785" t="s">
        <v>3784</v>
      </c>
      <c r="B3785">
        <f>11.43456*(1-0.8198)</f>
        <v>2.0605077120000006</v>
      </c>
      <c r="C3785" s="1">
        <v>8</v>
      </c>
    </row>
    <row r="3786" spans="1:3" x14ac:dyDescent="0.3">
      <c r="A3786" t="s">
        <v>3785</v>
      </c>
      <c r="B3786">
        <f>13.1071689628571*(1-0.8198)</f>
        <v>2.3619118471068572</v>
      </c>
      <c r="C3786" s="1">
        <v>8</v>
      </c>
    </row>
    <row r="3787" spans="1:3" x14ac:dyDescent="0.3">
      <c r="A3787" t="s">
        <v>3786</v>
      </c>
      <c r="B3787">
        <f>5.82908*(1-0.8198)</f>
        <v>1.0504002160000006</v>
      </c>
      <c r="C3787" s="1">
        <v>8</v>
      </c>
    </row>
    <row r="3788" spans="1:3" x14ac:dyDescent="0.3">
      <c r="A3788" t="s">
        <v>3787</v>
      </c>
      <c r="B3788">
        <f>2.09152*(1-0.8198)</f>
        <v>0.37689190400000006</v>
      </c>
      <c r="C3788" s="1">
        <v>7</v>
      </c>
    </row>
    <row r="3789" spans="1:3" x14ac:dyDescent="0.3">
      <c r="A3789" t="s">
        <v>3788</v>
      </c>
      <c r="B3789">
        <f>0*(1-0.8198)</f>
        <v>0</v>
      </c>
      <c r="C3789" s="1">
        <v>8</v>
      </c>
    </row>
    <row r="3790" spans="1:3" x14ac:dyDescent="0.3">
      <c r="A3790" t="s">
        <v>3789</v>
      </c>
      <c r="B3790">
        <f>0*(1-0.8198)</f>
        <v>0</v>
      </c>
      <c r="C3790" s="1">
        <v>8</v>
      </c>
    </row>
    <row r="3791" spans="1:3" x14ac:dyDescent="0.3">
      <c r="A3791" t="s">
        <v>3790</v>
      </c>
      <c r="B3791">
        <f>0*(1-0.8198)</f>
        <v>0</v>
      </c>
      <c r="C3791" s="1">
        <v>6</v>
      </c>
    </row>
    <row r="3792" spans="1:3" x14ac:dyDescent="0.3">
      <c r="A3792" t="s">
        <v>3791</v>
      </c>
      <c r="B3792">
        <f>0*(1-0.8198)</f>
        <v>0</v>
      </c>
      <c r="C3792" s="1">
        <v>5</v>
      </c>
    </row>
    <row r="3793" spans="1:3" x14ac:dyDescent="0.3">
      <c r="A3793" t="s">
        <v>3792</v>
      </c>
      <c r="B3793">
        <f>0*(1-0.8198)</f>
        <v>0</v>
      </c>
      <c r="C3793" s="1">
        <v>4</v>
      </c>
    </row>
    <row r="3794" spans="1:3" x14ac:dyDescent="0.3">
      <c r="A3794" t="s">
        <v>3793</v>
      </c>
      <c r="B3794">
        <f>0*(1-0.8198)</f>
        <v>0</v>
      </c>
      <c r="C3794" s="1">
        <v>4</v>
      </c>
    </row>
    <row r="3795" spans="1:3" x14ac:dyDescent="0.3">
      <c r="A3795" t="s">
        <v>3794</v>
      </c>
      <c r="B3795">
        <f>0*(1-0.8198)</f>
        <v>0</v>
      </c>
      <c r="C3795" s="1">
        <v>3</v>
      </c>
    </row>
    <row r="3796" spans="1:3" x14ac:dyDescent="0.3">
      <c r="A3796" t="s">
        <v>3795</v>
      </c>
      <c r="B3796">
        <f>0*(1-0.8198)</f>
        <v>0</v>
      </c>
      <c r="C3796" s="1">
        <v>3</v>
      </c>
    </row>
    <row r="3797" spans="1:3" x14ac:dyDescent="0.3">
      <c r="A3797" t="s">
        <v>3796</v>
      </c>
      <c r="B3797">
        <f>0*(1-0.8198)</f>
        <v>0</v>
      </c>
      <c r="C3797" s="1">
        <v>4</v>
      </c>
    </row>
    <row r="3798" spans="1:3" x14ac:dyDescent="0.3">
      <c r="A3798" t="s">
        <v>3797</v>
      </c>
      <c r="B3798">
        <f>0*(1-0.8198)</f>
        <v>0</v>
      </c>
      <c r="C3798" s="1">
        <v>3</v>
      </c>
    </row>
    <row r="3799" spans="1:3" x14ac:dyDescent="0.3">
      <c r="A3799" t="s">
        <v>3798</v>
      </c>
      <c r="B3799">
        <f>3.5757123*(1-0.8198)</f>
        <v>0.64434335646000007</v>
      </c>
      <c r="C3799" s="1">
        <v>3</v>
      </c>
    </row>
    <row r="3800" spans="1:3" x14ac:dyDescent="0.3">
      <c r="A3800" t="s">
        <v>3799</v>
      </c>
      <c r="B3800">
        <f>11.47512147*(1-0.8198)</f>
        <v>2.0678168888940007</v>
      </c>
      <c r="C3800" s="1">
        <v>4</v>
      </c>
    </row>
    <row r="3801" spans="1:3" x14ac:dyDescent="0.3">
      <c r="A3801" t="s">
        <v>3800</v>
      </c>
      <c r="B3801">
        <f>29.9649812285714*(1-0.8198)</f>
        <v>5.3996896173885718</v>
      </c>
      <c r="C3801" s="1">
        <v>3</v>
      </c>
    </row>
    <row r="3802" spans="1:3" x14ac:dyDescent="0.3">
      <c r="A3802" t="s">
        <v>3801</v>
      </c>
      <c r="B3802">
        <f>41.8606167757143*(1-0.8198)</f>
        <v>7.5432831429837162</v>
      </c>
      <c r="C3802" s="1">
        <v>3</v>
      </c>
    </row>
    <row r="3803" spans="1:3" x14ac:dyDescent="0.3">
      <c r="A3803" t="s">
        <v>3802</v>
      </c>
      <c r="B3803">
        <f>51.3157550114286*(1-0.8198)</f>
        <v>9.2470990530594293</v>
      </c>
      <c r="C3803" s="1">
        <v>4</v>
      </c>
    </row>
    <row r="3804" spans="1:3" x14ac:dyDescent="0.3">
      <c r="A3804" t="s">
        <v>3803</v>
      </c>
      <c r="B3804">
        <f>57.8620260528571*(1-0.8198)</f>
        <v>10.42673709472486</v>
      </c>
      <c r="C3804" s="1">
        <v>3</v>
      </c>
    </row>
    <row r="3805" spans="1:3" x14ac:dyDescent="0.3">
      <c r="A3805" t="s">
        <v>3804</v>
      </c>
      <c r="B3805">
        <f>55.1774206285714*(1-0.8198)</f>
        <v>9.942971197268573</v>
      </c>
      <c r="C3805" s="1">
        <v>3</v>
      </c>
    </row>
    <row r="3806" spans="1:3" x14ac:dyDescent="0.3">
      <c r="A3806" t="s">
        <v>3805</v>
      </c>
      <c r="B3806">
        <f>58.3142666971429*(1-0.8198)</f>
        <v>10.508230858825144</v>
      </c>
      <c r="C3806" s="1">
        <v>4</v>
      </c>
    </row>
    <row r="3807" spans="1:3" x14ac:dyDescent="0.3">
      <c r="A3807" t="s">
        <v>3806</v>
      </c>
      <c r="B3807">
        <f>36.9919775271429*(1-0.8198)</f>
        <v>6.6659543503911438</v>
      </c>
      <c r="C3807" s="1">
        <v>4</v>
      </c>
    </row>
    <row r="3808" spans="1:3" x14ac:dyDescent="0.3">
      <c r="A3808" t="s">
        <v>3807</v>
      </c>
      <c r="B3808">
        <f>46.9777339814286*(1-0.8198)</f>
        <v>8.4653876634534324</v>
      </c>
      <c r="C3808" s="1">
        <v>3</v>
      </c>
    </row>
    <row r="3809" spans="1:3" x14ac:dyDescent="0.3">
      <c r="A3809" t="s">
        <v>3808</v>
      </c>
      <c r="B3809">
        <f>38.1435437571429*(1-0.8198)</f>
        <v>6.8734665850371437</v>
      </c>
      <c r="C3809" s="1">
        <v>4</v>
      </c>
    </row>
    <row r="3810" spans="1:3" x14ac:dyDescent="0.3">
      <c r="A3810" t="s">
        <v>3809</v>
      </c>
      <c r="B3810">
        <f>21.7311531957143*(1-0.8198)</f>
        <v>3.9159538058677152</v>
      </c>
      <c r="C3810" s="1">
        <v>3</v>
      </c>
    </row>
    <row r="3811" spans="1:3" x14ac:dyDescent="0.3">
      <c r="A3811" t="s">
        <v>3810</v>
      </c>
      <c r="B3811">
        <f>16.3603695914286*(1-0.8198)</f>
        <v>2.9481386003754291</v>
      </c>
      <c r="C3811" s="1">
        <v>3</v>
      </c>
    </row>
    <row r="3812" spans="1:3" x14ac:dyDescent="0.3">
      <c r="A3812" t="s">
        <v>3811</v>
      </c>
      <c r="B3812">
        <f>5.47775519571429*(1-0.8198)</f>
        <v>0.98709148626771459</v>
      </c>
      <c r="C3812" s="1">
        <v>4</v>
      </c>
    </row>
    <row r="3813" spans="1:3" x14ac:dyDescent="0.3">
      <c r="A3813" t="s">
        <v>3812</v>
      </c>
      <c r="B3813">
        <f>0*(1-0.8198)</f>
        <v>0</v>
      </c>
      <c r="C3813" s="1">
        <v>3</v>
      </c>
    </row>
    <row r="3814" spans="1:3" x14ac:dyDescent="0.3">
      <c r="A3814" t="s">
        <v>3813</v>
      </c>
      <c r="B3814">
        <f>0*(1-0.8198)</f>
        <v>0</v>
      </c>
      <c r="C3814" s="1">
        <v>3</v>
      </c>
    </row>
    <row r="3815" spans="1:3" x14ac:dyDescent="0.3">
      <c r="A3815" t="s">
        <v>3814</v>
      </c>
      <c r="B3815">
        <f>0*(1-0.8198)</f>
        <v>0</v>
      </c>
      <c r="C3815" s="1">
        <v>3</v>
      </c>
    </row>
    <row r="3816" spans="1:3" x14ac:dyDescent="0.3">
      <c r="A3816" t="s">
        <v>3815</v>
      </c>
      <c r="B3816">
        <f>0*(1-0.8198)</f>
        <v>0</v>
      </c>
      <c r="C3816" s="1">
        <v>3</v>
      </c>
    </row>
    <row r="3817" spans="1:3" x14ac:dyDescent="0.3">
      <c r="A3817" t="s">
        <v>3816</v>
      </c>
      <c r="B3817">
        <f>0*(1-0.8198)</f>
        <v>0</v>
      </c>
      <c r="C3817" s="1">
        <v>4</v>
      </c>
    </row>
    <row r="3818" spans="1:3" x14ac:dyDescent="0.3">
      <c r="A3818" t="s">
        <v>3817</v>
      </c>
      <c r="B3818">
        <f>0*(1-0.8198)</f>
        <v>0</v>
      </c>
      <c r="C3818" s="1">
        <v>3</v>
      </c>
    </row>
    <row r="3819" spans="1:3" x14ac:dyDescent="0.3">
      <c r="A3819" t="s">
        <v>3818</v>
      </c>
      <c r="B3819">
        <f>0*(1-0.8198)</f>
        <v>0</v>
      </c>
      <c r="C3819" s="1">
        <v>3</v>
      </c>
    </row>
    <row r="3820" spans="1:3" x14ac:dyDescent="0.3">
      <c r="A3820" t="s">
        <v>3819</v>
      </c>
      <c r="B3820">
        <f>0*(1-0.8198)</f>
        <v>0</v>
      </c>
      <c r="C3820" s="1">
        <v>3</v>
      </c>
    </row>
    <row r="3821" spans="1:3" x14ac:dyDescent="0.3">
      <c r="A3821" t="s">
        <v>3820</v>
      </c>
      <c r="B3821">
        <f>0*(1-0.8198)</f>
        <v>0</v>
      </c>
      <c r="C3821" s="1">
        <v>3</v>
      </c>
    </row>
    <row r="3822" spans="1:3" x14ac:dyDescent="0.3">
      <c r="A3822" t="s">
        <v>3821</v>
      </c>
      <c r="B3822">
        <f>0*(1-0.8198)</f>
        <v>0</v>
      </c>
      <c r="C3822" s="1">
        <v>3</v>
      </c>
    </row>
    <row r="3823" spans="1:3" x14ac:dyDescent="0.3">
      <c r="A3823" t="s">
        <v>3822</v>
      </c>
      <c r="B3823">
        <f>2.21462844714286*(1-0.8198)</f>
        <v>0.39907604617514292</v>
      </c>
      <c r="C3823" s="1">
        <v>3</v>
      </c>
    </row>
    <row r="3824" spans="1:3" x14ac:dyDescent="0.3">
      <c r="A3824" t="s">
        <v>3823</v>
      </c>
      <c r="B3824">
        <f>9.55087964*(1-0.8198)</f>
        <v>1.7210685111280006</v>
      </c>
      <c r="C3824" s="1">
        <v>5</v>
      </c>
    </row>
    <row r="3825" spans="1:3" x14ac:dyDescent="0.3">
      <c r="A3825" t="s">
        <v>3824</v>
      </c>
      <c r="B3825">
        <f>2.2919*(1-0.8198)</f>
        <v>0.41300038000000006</v>
      </c>
      <c r="C3825" s="1">
        <v>6</v>
      </c>
    </row>
    <row r="3826" spans="1:3" x14ac:dyDescent="0.3">
      <c r="A3826" t="s">
        <v>3825</v>
      </c>
      <c r="B3826">
        <f>25.8138664557143*(1-0.8198)</f>
        <v>4.6516587353197147</v>
      </c>
      <c r="C3826" s="1">
        <v>6</v>
      </c>
    </row>
    <row r="3827" spans="1:3" x14ac:dyDescent="0.3">
      <c r="A3827" t="s">
        <v>3826</v>
      </c>
      <c r="B3827">
        <f>28.5174409614286*(1-0.8198)</f>
        <v>5.1388428612494295</v>
      </c>
      <c r="C3827" s="1">
        <v>6</v>
      </c>
    </row>
    <row r="3828" spans="1:3" x14ac:dyDescent="0.3">
      <c r="A3828" t="s">
        <v>3827</v>
      </c>
      <c r="B3828">
        <f>24.9302619742857*(1-0.8198)</f>
        <v>4.492433207766287</v>
      </c>
      <c r="C3828" s="1">
        <v>5</v>
      </c>
    </row>
    <row r="3829" spans="1:3" x14ac:dyDescent="0.3">
      <c r="A3829" t="s">
        <v>3828</v>
      </c>
      <c r="B3829">
        <f>61.4285714285714*(1-0.8198)</f>
        <v>11.069428571428574</v>
      </c>
      <c r="C3829" s="1">
        <v>6</v>
      </c>
    </row>
    <row r="3830" spans="1:3" x14ac:dyDescent="0.3">
      <c r="A3830" t="s">
        <v>3829</v>
      </c>
      <c r="B3830">
        <f>61.4285714285714*(1-0.8198)</f>
        <v>11.069428571428574</v>
      </c>
      <c r="C3830" s="1">
        <v>6</v>
      </c>
    </row>
    <row r="3831" spans="1:3" x14ac:dyDescent="0.3">
      <c r="A3831" t="s">
        <v>3830</v>
      </c>
      <c r="B3831">
        <f>46.0637390042857*(1-0.8198)</f>
        <v>8.3006857685722881</v>
      </c>
      <c r="C3831" s="1">
        <v>6</v>
      </c>
    </row>
    <row r="3832" spans="1:3" x14ac:dyDescent="0.3">
      <c r="A3832" t="s">
        <v>3831</v>
      </c>
      <c r="B3832">
        <f>36.2761247685714*(1-0.8198)</f>
        <v>6.5369576832965723</v>
      </c>
      <c r="C3832" s="1">
        <v>6</v>
      </c>
    </row>
    <row r="3833" spans="1:3" x14ac:dyDescent="0.3">
      <c r="A3833" t="s">
        <v>3832</v>
      </c>
      <c r="B3833">
        <f>44.6935117542857*(1-0.8198)</f>
        <v>8.0537708181222865</v>
      </c>
      <c r="C3833" s="1">
        <v>6</v>
      </c>
    </row>
    <row r="3834" spans="1:3" x14ac:dyDescent="0.3">
      <c r="A3834" t="s">
        <v>3833</v>
      </c>
      <c r="B3834">
        <f>32.0659351828571*(1-0.8198)</f>
        <v>5.7782815199508581</v>
      </c>
      <c r="C3834" s="1">
        <v>6</v>
      </c>
    </row>
    <row r="3835" spans="1:3" x14ac:dyDescent="0.3">
      <c r="A3835" t="s">
        <v>3834</v>
      </c>
      <c r="B3835">
        <f>17.6449439128571*(1-0.8198)</f>
        <v>3.1796188930968579</v>
      </c>
      <c r="C3835" s="1">
        <v>6</v>
      </c>
    </row>
    <row r="3836" spans="1:3" x14ac:dyDescent="0.3">
      <c r="A3836" t="s">
        <v>3835</v>
      </c>
      <c r="B3836">
        <f>6.03258020285714*(1-0.8198)</f>
        <v>1.0870709525548574</v>
      </c>
      <c r="C3836" s="1">
        <v>6</v>
      </c>
    </row>
    <row r="3837" spans="1:3" x14ac:dyDescent="0.3">
      <c r="A3837" t="s">
        <v>3836</v>
      </c>
      <c r="B3837">
        <f>0*(1-0.8198)</f>
        <v>0</v>
      </c>
      <c r="C3837" s="1">
        <v>6</v>
      </c>
    </row>
    <row r="3838" spans="1:3" x14ac:dyDescent="0.3">
      <c r="A3838" t="s">
        <v>3837</v>
      </c>
      <c r="B3838">
        <f>0*(1-0.8198)</f>
        <v>0</v>
      </c>
      <c r="C3838" s="1">
        <v>5</v>
      </c>
    </row>
    <row r="3839" spans="1:3" x14ac:dyDescent="0.3">
      <c r="A3839" t="s">
        <v>3838</v>
      </c>
      <c r="B3839">
        <f>0*(1-0.8198)</f>
        <v>0</v>
      </c>
      <c r="C3839" s="1">
        <v>5</v>
      </c>
    </row>
    <row r="3840" spans="1:3" x14ac:dyDescent="0.3">
      <c r="A3840" t="s">
        <v>3839</v>
      </c>
      <c r="B3840">
        <f>0*(1-0.8198)</f>
        <v>0</v>
      </c>
      <c r="C3840" s="1">
        <v>4</v>
      </c>
    </row>
    <row r="3841" spans="1:3" x14ac:dyDescent="0.3">
      <c r="A3841" t="s">
        <v>3840</v>
      </c>
      <c r="B3841">
        <f>0*(1-0.8198)</f>
        <v>0</v>
      </c>
      <c r="C3841" s="1">
        <v>3</v>
      </c>
    </row>
    <row r="3842" spans="1:3" x14ac:dyDescent="0.3">
      <c r="A3842" t="s">
        <v>3841</v>
      </c>
      <c r="B3842">
        <f>0*(1-0.8198)</f>
        <v>0</v>
      </c>
      <c r="C3842" s="1">
        <v>3</v>
      </c>
    </row>
    <row r="3843" spans="1:3" x14ac:dyDescent="0.3">
      <c r="A3843" t="s">
        <v>3842</v>
      </c>
      <c r="B3843">
        <f>0*(1-0.8198)</f>
        <v>0</v>
      </c>
      <c r="C3843" s="1">
        <v>3</v>
      </c>
    </row>
    <row r="3844" spans="1:3" x14ac:dyDescent="0.3">
      <c r="A3844" t="s">
        <v>3843</v>
      </c>
      <c r="B3844">
        <f>0*(1-0.8198)</f>
        <v>0</v>
      </c>
      <c r="C3844" s="1">
        <v>3</v>
      </c>
    </row>
    <row r="3845" spans="1:3" x14ac:dyDescent="0.3">
      <c r="A3845" t="s">
        <v>3844</v>
      </c>
      <c r="B3845">
        <f>0*(1-0.8198)</f>
        <v>0</v>
      </c>
      <c r="C3845" s="1">
        <v>3</v>
      </c>
    </row>
    <row r="3846" spans="1:3" x14ac:dyDescent="0.3">
      <c r="A3846" t="s">
        <v>3845</v>
      </c>
      <c r="B3846">
        <f>0*(1-0.8198)</f>
        <v>0</v>
      </c>
      <c r="C3846" s="1">
        <v>3</v>
      </c>
    </row>
    <row r="3847" spans="1:3" x14ac:dyDescent="0.3">
      <c r="A3847" t="s">
        <v>3846</v>
      </c>
      <c r="B3847">
        <f>4.38408459571429*(1-0.8198)</f>
        <v>0.79001204414771453</v>
      </c>
      <c r="C3847" s="1">
        <v>3</v>
      </c>
    </row>
    <row r="3848" spans="1:3" x14ac:dyDescent="0.3">
      <c r="A3848" t="s">
        <v>3847</v>
      </c>
      <c r="B3848">
        <f>16.7350018085714*(1-0.8198)</f>
        <v>3.0156473259045717</v>
      </c>
      <c r="C3848" s="1">
        <v>12</v>
      </c>
    </row>
    <row r="3849" spans="1:3" x14ac:dyDescent="0.3">
      <c r="A3849" t="s">
        <v>3848</v>
      </c>
      <c r="B3849">
        <f>29.0366750528571*(1-0.8198)</f>
        <v>5.2324088445248584</v>
      </c>
      <c r="C3849" s="1">
        <v>13</v>
      </c>
    </row>
    <row r="3850" spans="1:3" x14ac:dyDescent="0.3">
      <c r="A3850" t="s">
        <v>3849</v>
      </c>
      <c r="B3850">
        <f>40.2346112128571*(1-0.8198)</f>
        <v>7.2502769405568586</v>
      </c>
      <c r="C3850" s="1">
        <v>15</v>
      </c>
    </row>
    <row r="3851" spans="1:3" x14ac:dyDescent="0.3">
      <c r="A3851" t="s">
        <v>3850</v>
      </c>
      <c r="B3851">
        <f>51.8404365885714*(1-0.8198)</f>
        <v>9.3416466732605734</v>
      </c>
      <c r="C3851" s="1">
        <v>17</v>
      </c>
    </row>
    <row r="3852" spans="1:3" x14ac:dyDescent="0.3">
      <c r="A3852" t="s">
        <v>3851</v>
      </c>
      <c r="B3852">
        <f>55.3693870028572*(1-0.8198)</f>
        <v>9.9775635379148611</v>
      </c>
      <c r="C3852" s="1">
        <v>14</v>
      </c>
    </row>
    <row r="3853" spans="1:3" x14ac:dyDescent="0.3">
      <c r="A3853" t="s">
        <v>3852</v>
      </c>
      <c r="B3853">
        <f>60.1707240028572*(1-0.8198)</f>
        <v>10.842764465314861</v>
      </c>
      <c r="C3853" s="1">
        <v>14</v>
      </c>
    </row>
    <row r="3854" spans="1:3" x14ac:dyDescent="0.3">
      <c r="A3854" t="s">
        <v>3853</v>
      </c>
      <c r="B3854">
        <f>48.7283639257143*(1-0.8198)</f>
        <v>8.7808511794137161</v>
      </c>
      <c r="C3854" s="1">
        <v>16</v>
      </c>
    </row>
    <row r="3855" spans="1:3" x14ac:dyDescent="0.3">
      <c r="A3855" t="s">
        <v>3854</v>
      </c>
      <c r="B3855">
        <f>44.7869654971429*(1-0.8198)</f>
        <v>8.0706111825851448</v>
      </c>
      <c r="C3855" s="1">
        <v>15</v>
      </c>
    </row>
    <row r="3856" spans="1:3" x14ac:dyDescent="0.3">
      <c r="A3856" t="s">
        <v>3855</v>
      </c>
      <c r="B3856">
        <f>49.8451977657143*(1-0.8198)</f>
        <v>8.9821046373817168</v>
      </c>
      <c r="C3856" s="1">
        <v>10</v>
      </c>
    </row>
    <row r="3857" spans="1:3" x14ac:dyDescent="0.3">
      <c r="A3857" t="s">
        <v>3856</v>
      </c>
      <c r="B3857">
        <f>33.1959078571429*(1-0.8198)</f>
        <v>5.9819025958571448</v>
      </c>
      <c r="C3857" s="1">
        <v>8</v>
      </c>
    </row>
    <row r="3858" spans="1:3" x14ac:dyDescent="0.3">
      <c r="A3858" t="s">
        <v>3857</v>
      </c>
      <c r="B3858">
        <f>32.17456209*(1-0.8198)</f>
        <v>5.7978560886180013</v>
      </c>
      <c r="C3858" s="1">
        <v>8</v>
      </c>
    </row>
    <row r="3859" spans="1:3" x14ac:dyDescent="0.3">
      <c r="A3859" t="s">
        <v>3858</v>
      </c>
      <c r="B3859">
        <f>16.4834634185714*(1-0.8198)</f>
        <v>2.9703201080265726</v>
      </c>
      <c r="C3859" s="1">
        <v>7</v>
      </c>
    </row>
    <row r="3860" spans="1:3" x14ac:dyDescent="0.3">
      <c r="A3860" t="s">
        <v>3859</v>
      </c>
      <c r="B3860">
        <f>6.13078790285714*(1-0.8198)</f>
        <v>1.1047679800948573</v>
      </c>
      <c r="C3860" s="1">
        <v>7</v>
      </c>
    </row>
    <row r="3861" spans="1:3" x14ac:dyDescent="0.3">
      <c r="A3861" t="s">
        <v>3860</v>
      </c>
      <c r="B3861">
        <f>0*(1-0.8198)</f>
        <v>0</v>
      </c>
      <c r="C3861" s="1">
        <v>6</v>
      </c>
    </row>
    <row r="3862" spans="1:3" x14ac:dyDescent="0.3">
      <c r="A3862" t="s">
        <v>3861</v>
      </c>
      <c r="B3862">
        <f>0*(1-0.8198)</f>
        <v>0</v>
      </c>
      <c r="C3862" s="1">
        <v>7</v>
      </c>
    </row>
    <row r="3863" spans="1:3" x14ac:dyDescent="0.3">
      <c r="A3863" t="s">
        <v>3862</v>
      </c>
      <c r="B3863">
        <f>0*(1-0.8198)</f>
        <v>0</v>
      </c>
      <c r="C3863" s="1">
        <v>5</v>
      </c>
    </row>
    <row r="3864" spans="1:3" x14ac:dyDescent="0.3">
      <c r="A3864" t="s">
        <v>3863</v>
      </c>
      <c r="B3864">
        <f>0*(1-0.8198)</f>
        <v>0</v>
      </c>
      <c r="C3864" s="1">
        <v>5</v>
      </c>
    </row>
    <row r="3865" spans="1:3" x14ac:dyDescent="0.3">
      <c r="A3865" t="s">
        <v>3864</v>
      </c>
      <c r="B3865">
        <f>0*(1-0.8198)</f>
        <v>0</v>
      </c>
      <c r="C3865" s="1">
        <v>3</v>
      </c>
    </row>
    <row r="3866" spans="1:3" x14ac:dyDescent="0.3">
      <c r="A3866" t="s">
        <v>3865</v>
      </c>
      <c r="B3866">
        <f>0*(1-0.8198)</f>
        <v>0</v>
      </c>
      <c r="C3866" s="1">
        <v>3</v>
      </c>
    </row>
    <row r="3867" spans="1:3" x14ac:dyDescent="0.3">
      <c r="A3867" t="s">
        <v>3866</v>
      </c>
      <c r="B3867">
        <f>0*(1-0.8198)</f>
        <v>0</v>
      </c>
      <c r="C3867" s="1">
        <v>3</v>
      </c>
    </row>
    <row r="3868" spans="1:3" x14ac:dyDescent="0.3">
      <c r="A3868" t="s">
        <v>3867</v>
      </c>
      <c r="B3868">
        <f>0*(1-0.8198)</f>
        <v>0</v>
      </c>
      <c r="C3868" s="1">
        <v>3</v>
      </c>
    </row>
    <row r="3869" spans="1:3" x14ac:dyDescent="0.3">
      <c r="A3869" t="s">
        <v>3868</v>
      </c>
      <c r="B3869">
        <f>0*(1-0.8198)</f>
        <v>0</v>
      </c>
      <c r="C3869" s="1">
        <v>3</v>
      </c>
    </row>
    <row r="3870" spans="1:3" x14ac:dyDescent="0.3">
      <c r="A3870" t="s">
        <v>3869</v>
      </c>
      <c r="B3870">
        <f>0*(1-0.8198)</f>
        <v>0</v>
      </c>
      <c r="C3870" s="1">
        <v>2</v>
      </c>
    </row>
    <row r="3871" spans="1:3" x14ac:dyDescent="0.3">
      <c r="A3871" t="s">
        <v>3870</v>
      </c>
      <c r="B3871">
        <f>1.73685790428571*(1-0.8198)</f>
        <v>0.31298179435228585</v>
      </c>
      <c r="C3871" s="1">
        <v>3</v>
      </c>
    </row>
    <row r="3872" spans="1:3" x14ac:dyDescent="0.3">
      <c r="A3872" t="s">
        <v>3871</v>
      </c>
      <c r="B3872">
        <f>14.8385639628571*(1-0.8198)</f>
        <v>2.6739092261068573</v>
      </c>
      <c r="C3872" s="1">
        <v>10</v>
      </c>
    </row>
    <row r="3873" spans="1:3" x14ac:dyDescent="0.3">
      <c r="A3873" t="s">
        <v>3872</v>
      </c>
      <c r="B3873">
        <f>28.1143015257143*(1-0.8198)</f>
        <v>5.0661971349337147</v>
      </c>
      <c r="C3873" s="1">
        <v>16</v>
      </c>
    </row>
    <row r="3874" spans="1:3" x14ac:dyDescent="0.3">
      <c r="A3874" t="s">
        <v>3873</v>
      </c>
      <c r="B3874">
        <f>37.4255511342857*(1-0.8198)</f>
        <v>6.7440843143982878</v>
      </c>
      <c r="C3874" s="1">
        <v>16</v>
      </c>
    </row>
    <row r="3875" spans="1:3" x14ac:dyDescent="0.3">
      <c r="A3875" t="s">
        <v>3874</v>
      </c>
      <c r="B3875">
        <f>42.8473099485714*(1-0.8198)</f>
        <v>7.721085252732574</v>
      </c>
      <c r="C3875" s="1">
        <v>15</v>
      </c>
    </row>
    <row r="3876" spans="1:3" x14ac:dyDescent="0.3">
      <c r="A3876" t="s">
        <v>3875</v>
      </c>
      <c r="B3876">
        <f>35.9221762271429*(1-0.8198)</f>
        <v>6.4731761561311432</v>
      </c>
      <c r="C3876" s="1">
        <v>14</v>
      </c>
    </row>
    <row r="3877" spans="1:3" x14ac:dyDescent="0.3">
      <c r="A3877" t="s">
        <v>3876</v>
      </c>
      <c r="B3877">
        <f>42.84473259*(1-0.8198)</f>
        <v>7.7206208127180025</v>
      </c>
      <c r="C3877" s="1">
        <v>13</v>
      </c>
    </row>
    <row r="3878" spans="1:3" x14ac:dyDescent="0.3">
      <c r="A3878" t="s">
        <v>3877</v>
      </c>
      <c r="B3878">
        <f>55.1744624742857*(1-0.8198)</f>
        <v>9.9424381378662883</v>
      </c>
      <c r="C3878" s="1">
        <v>16</v>
      </c>
    </row>
    <row r="3879" spans="1:3" x14ac:dyDescent="0.3">
      <c r="A3879" t="s">
        <v>3878</v>
      </c>
      <c r="B3879">
        <f>58.7888554242857*(1-0.8198)</f>
        <v>10.593751747456288</v>
      </c>
      <c r="C3879" s="1">
        <v>15</v>
      </c>
    </row>
    <row r="3880" spans="1:3" x14ac:dyDescent="0.3">
      <c r="A3880" t="s">
        <v>3879</v>
      </c>
      <c r="B3880">
        <f>44.2699382271429*(1-0.8198)</f>
        <v>7.9774428685311447</v>
      </c>
      <c r="C3880" s="1">
        <v>8</v>
      </c>
    </row>
    <row r="3881" spans="1:3" x14ac:dyDescent="0.3">
      <c r="A3881" t="s">
        <v>3880</v>
      </c>
      <c r="B3881">
        <f>38.67672711*(1-0.8198)</f>
        <v>6.9695462252220013</v>
      </c>
      <c r="C3881" s="1">
        <v>7</v>
      </c>
    </row>
    <row r="3882" spans="1:3" x14ac:dyDescent="0.3">
      <c r="A3882" t="s">
        <v>3881</v>
      </c>
      <c r="B3882">
        <f>17.7451868642857*(1-0.8198)</f>
        <v>3.1976826729442869</v>
      </c>
      <c r="C3882" s="1">
        <v>7</v>
      </c>
    </row>
    <row r="3883" spans="1:3" x14ac:dyDescent="0.3">
      <c r="A3883" t="s">
        <v>3882</v>
      </c>
      <c r="B3883">
        <f>11.9482493028571*(1-0.8198)</f>
        <v>2.1530745243748575</v>
      </c>
      <c r="C3883" s="1">
        <v>7</v>
      </c>
    </row>
    <row r="3884" spans="1:3" x14ac:dyDescent="0.3">
      <c r="A3884" t="s">
        <v>3883</v>
      </c>
      <c r="B3884">
        <f>0.36034*(1-0.8198)</f>
        <v>6.4933268000000002E-2</v>
      </c>
      <c r="C3884" s="1">
        <v>7</v>
      </c>
    </row>
    <row r="3885" spans="1:3" x14ac:dyDescent="0.3">
      <c r="A3885" t="s">
        <v>3884</v>
      </c>
      <c r="B3885">
        <f>0*(1-0.8198)</f>
        <v>0</v>
      </c>
      <c r="C3885" s="1">
        <v>7</v>
      </c>
    </row>
    <row r="3886" spans="1:3" x14ac:dyDescent="0.3">
      <c r="A3886" t="s">
        <v>3885</v>
      </c>
      <c r="B3886">
        <f>0*(1-0.8198)</f>
        <v>0</v>
      </c>
      <c r="C3886" s="1">
        <v>6</v>
      </c>
    </row>
    <row r="3887" spans="1:3" x14ac:dyDescent="0.3">
      <c r="A3887" t="s">
        <v>3886</v>
      </c>
      <c r="B3887">
        <f>0*(1-0.8198)</f>
        <v>0</v>
      </c>
      <c r="C3887" s="1">
        <v>5</v>
      </c>
    </row>
    <row r="3888" spans="1:3" x14ac:dyDescent="0.3">
      <c r="A3888" t="s">
        <v>3887</v>
      </c>
      <c r="B3888">
        <f>0*(1-0.8198)</f>
        <v>0</v>
      </c>
      <c r="C3888" s="1">
        <v>4</v>
      </c>
    </row>
    <row r="3889" spans="1:3" x14ac:dyDescent="0.3">
      <c r="A3889" t="s">
        <v>3888</v>
      </c>
      <c r="B3889">
        <f>0*(1-0.8198)</f>
        <v>0</v>
      </c>
      <c r="C3889" s="1">
        <v>3</v>
      </c>
    </row>
    <row r="3890" spans="1:3" x14ac:dyDescent="0.3">
      <c r="A3890" t="s">
        <v>3889</v>
      </c>
      <c r="B3890">
        <f>0*(1-0.8198)</f>
        <v>0</v>
      </c>
      <c r="C3890" s="1">
        <v>2</v>
      </c>
    </row>
    <row r="3891" spans="1:3" x14ac:dyDescent="0.3">
      <c r="A3891" t="s">
        <v>3890</v>
      </c>
      <c r="B3891">
        <f>0*(1-0.8198)</f>
        <v>0</v>
      </c>
      <c r="C3891" s="1">
        <v>3</v>
      </c>
    </row>
    <row r="3892" spans="1:3" x14ac:dyDescent="0.3">
      <c r="A3892" t="s">
        <v>3891</v>
      </c>
      <c r="B3892">
        <f>0*(1-0.8198)</f>
        <v>0</v>
      </c>
      <c r="C3892" s="1">
        <v>2</v>
      </c>
    </row>
    <row r="3893" spans="1:3" x14ac:dyDescent="0.3">
      <c r="A3893" t="s">
        <v>3892</v>
      </c>
      <c r="B3893">
        <f>0*(1-0.8198)</f>
        <v>0</v>
      </c>
      <c r="C3893" s="1">
        <v>3</v>
      </c>
    </row>
    <row r="3894" spans="1:3" x14ac:dyDescent="0.3">
      <c r="A3894" t="s">
        <v>3893</v>
      </c>
      <c r="B3894">
        <f>0*(1-0.8198)</f>
        <v>0</v>
      </c>
      <c r="C3894" s="1">
        <v>2</v>
      </c>
    </row>
    <row r="3895" spans="1:3" x14ac:dyDescent="0.3">
      <c r="A3895" t="s">
        <v>3894</v>
      </c>
      <c r="B3895">
        <f>4.47494015571429*(1-0.8198)</f>
        <v>0.80638421605971444</v>
      </c>
      <c r="C3895" s="1">
        <v>3</v>
      </c>
    </row>
    <row r="3896" spans="1:3" x14ac:dyDescent="0.3">
      <c r="A3896" t="s">
        <v>3895</v>
      </c>
      <c r="B3896">
        <f>16.7991059628571*(1-0.8198)</f>
        <v>3.0271988945068578</v>
      </c>
      <c r="C3896" s="1">
        <v>9</v>
      </c>
    </row>
    <row r="3897" spans="1:3" x14ac:dyDescent="0.3">
      <c r="A3897" t="s">
        <v>3896</v>
      </c>
      <c r="B3897">
        <f>30.9970145228571*(1-0.8198)</f>
        <v>5.5856620170188584</v>
      </c>
      <c r="C3897" s="1">
        <v>14</v>
      </c>
    </row>
    <row r="3898" spans="1:3" x14ac:dyDescent="0.3">
      <c r="A3898" t="s">
        <v>3897</v>
      </c>
      <c r="B3898">
        <f>39.6641001128571*(1-0.8198)</f>
        <v>7.1474708403368581</v>
      </c>
      <c r="C3898" s="1">
        <v>19</v>
      </c>
    </row>
    <row r="3899" spans="1:3" x14ac:dyDescent="0.3">
      <c r="A3899" t="s">
        <v>3898</v>
      </c>
      <c r="B3899">
        <f>0*(1-0.8198)</f>
        <v>0</v>
      </c>
      <c r="C3899" s="1">
        <v>18</v>
      </c>
    </row>
    <row r="3900" spans="1:3" x14ac:dyDescent="0.3">
      <c r="A3900" t="s">
        <v>3899</v>
      </c>
      <c r="B3900">
        <f>56.5513676242857*(1-0.8198)</f>
        <v>10.190556445896286</v>
      </c>
      <c r="C3900" s="1">
        <v>15</v>
      </c>
    </row>
    <row r="3901" spans="1:3" x14ac:dyDescent="0.3">
      <c r="A3901" t="s">
        <v>3900</v>
      </c>
      <c r="B3901">
        <f>61.4285714285714*(1-0.8198)</f>
        <v>11.069428571428574</v>
      </c>
      <c r="C3901" s="1">
        <v>12</v>
      </c>
    </row>
    <row r="3902" spans="1:3" x14ac:dyDescent="0.3">
      <c r="A3902" t="s">
        <v>3901</v>
      </c>
      <c r="B3902">
        <f>61.4285714285714*(1-0.8198)</f>
        <v>11.069428571428574</v>
      </c>
      <c r="C3902" s="1">
        <v>15</v>
      </c>
    </row>
    <row r="3903" spans="1:3" x14ac:dyDescent="0.3">
      <c r="A3903" t="s">
        <v>3902</v>
      </c>
      <c r="B3903">
        <f>59.3110611842857*(1-0.8198)</f>
        <v>10.687853225408288</v>
      </c>
      <c r="C3903" s="1">
        <v>13</v>
      </c>
    </row>
    <row r="3904" spans="1:3" x14ac:dyDescent="0.3">
      <c r="A3904" t="s">
        <v>3903</v>
      </c>
      <c r="B3904">
        <f>36.5952649328571*(1-0.8198)</f>
        <v>6.5944667409008595</v>
      </c>
      <c r="C3904" s="1">
        <v>7</v>
      </c>
    </row>
    <row r="3905" spans="1:3" x14ac:dyDescent="0.3">
      <c r="A3905" t="s">
        <v>3904</v>
      </c>
      <c r="B3905">
        <f>25.6470372671429*(1-0.8198)</f>
        <v>4.6215961155391438</v>
      </c>
      <c r="C3905" s="1">
        <v>7</v>
      </c>
    </row>
    <row r="3906" spans="1:3" x14ac:dyDescent="0.3">
      <c r="A3906" t="s">
        <v>3905</v>
      </c>
      <c r="B3906">
        <f>22.10851321*(1-0.8198)</f>
        <v>3.9839540804420004</v>
      </c>
      <c r="C3906" s="1">
        <v>7</v>
      </c>
    </row>
    <row r="3907" spans="1:3" x14ac:dyDescent="0.3">
      <c r="A3907" t="s">
        <v>3906</v>
      </c>
      <c r="B3907">
        <f>10.6691142357143*(1-0.8198)</f>
        <v>1.9225743852757147</v>
      </c>
      <c r="C3907" s="1">
        <v>7</v>
      </c>
    </row>
    <row r="3908" spans="1:3" x14ac:dyDescent="0.3">
      <c r="A3908" t="s">
        <v>3907</v>
      </c>
      <c r="B3908">
        <f>4.69542523571429*(1-0.8198)</f>
        <v>0.84611562747571434</v>
      </c>
      <c r="C3908" s="1">
        <v>6</v>
      </c>
    </row>
    <row r="3909" spans="1:3" x14ac:dyDescent="0.3">
      <c r="A3909" t="s">
        <v>3908</v>
      </c>
      <c r="B3909">
        <f>0*(1-0.8198)</f>
        <v>0</v>
      </c>
      <c r="C3909" s="1">
        <v>7</v>
      </c>
    </row>
    <row r="3910" spans="1:3" x14ac:dyDescent="0.3">
      <c r="A3910" t="s">
        <v>3909</v>
      </c>
      <c r="B3910">
        <f>0*(1-0.8198)</f>
        <v>0</v>
      </c>
      <c r="C3910" s="1">
        <v>7</v>
      </c>
    </row>
    <row r="3911" spans="1:3" x14ac:dyDescent="0.3">
      <c r="A3911" t="s">
        <v>3910</v>
      </c>
      <c r="B3911">
        <f>0*(1-0.8198)</f>
        <v>0</v>
      </c>
      <c r="C3911" s="1">
        <v>5</v>
      </c>
    </row>
    <row r="3912" spans="1:3" x14ac:dyDescent="0.3">
      <c r="A3912" t="s">
        <v>3911</v>
      </c>
      <c r="B3912">
        <f>0*(1-0.8198)</f>
        <v>0</v>
      </c>
      <c r="C3912" s="1">
        <v>5</v>
      </c>
    </row>
    <row r="3913" spans="1:3" x14ac:dyDescent="0.3">
      <c r="A3913" t="s">
        <v>3912</v>
      </c>
      <c r="B3913">
        <f>0*(1-0.8198)</f>
        <v>0</v>
      </c>
      <c r="C3913" s="1">
        <v>2</v>
      </c>
    </row>
    <row r="3914" spans="1:3" x14ac:dyDescent="0.3">
      <c r="A3914" t="s">
        <v>3913</v>
      </c>
      <c r="B3914">
        <f>0*(1-0.8198)</f>
        <v>0</v>
      </c>
      <c r="C3914" s="1">
        <v>3</v>
      </c>
    </row>
    <row r="3915" spans="1:3" x14ac:dyDescent="0.3">
      <c r="A3915" t="s">
        <v>3914</v>
      </c>
      <c r="B3915">
        <f>0*(1-0.8198)</f>
        <v>0</v>
      </c>
      <c r="C3915" s="1">
        <v>3</v>
      </c>
    </row>
    <row r="3916" spans="1:3" x14ac:dyDescent="0.3">
      <c r="A3916" t="s">
        <v>3915</v>
      </c>
      <c r="B3916">
        <f>0*(1-0.8198)</f>
        <v>0</v>
      </c>
      <c r="C3916" s="1">
        <v>2</v>
      </c>
    </row>
    <row r="3917" spans="1:3" x14ac:dyDescent="0.3">
      <c r="A3917" t="s">
        <v>3916</v>
      </c>
      <c r="B3917">
        <f>0*(1-0.8198)</f>
        <v>0</v>
      </c>
      <c r="C3917" s="1">
        <v>2</v>
      </c>
    </row>
    <row r="3918" spans="1:3" x14ac:dyDescent="0.3">
      <c r="A3918" t="s">
        <v>3917</v>
      </c>
      <c r="B3918">
        <f>0*(1-0.8198)</f>
        <v>0</v>
      </c>
      <c r="C3918" s="1">
        <v>3</v>
      </c>
    </row>
    <row r="3919" spans="1:3" x14ac:dyDescent="0.3">
      <c r="A3919" t="s">
        <v>3918</v>
      </c>
      <c r="B3919">
        <f>1.18779004428571*(1-0.8198)</f>
        <v>0.21403976598028576</v>
      </c>
      <c r="C3919" s="1">
        <v>3</v>
      </c>
    </row>
    <row r="3920" spans="1:3" x14ac:dyDescent="0.3">
      <c r="A3920" t="s">
        <v>3919</v>
      </c>
      <c r="B3920">
        <f>4.48662*(1-0.8198)</f>
        <v>0.80848892400000016</v>
      </c>
      <c r="C3920" s="1">
        <v>6</v>
      </c>
    </row>
    <row r="3921" spans="1:3" x14ac:dyDescent="0.3">
      <c r="A3921" t="s">
        <v>3920</v>
      </c>
      <c r="B3921">
        <f>4.16756*(1-0.8198)</f>
        <v>0.75099431200000011</v>
      </c>
      <c r="C3921" s="1">
        <v>9</v>
      </c>
    </row>
    <row r="3922" spans="1:3" x14ac:dyDescent="0.3">
      <c r="A3922" t="s">
        <v>3921</v>
      </c>
      <c r="B3922">
        <f>20.8661674685714*(1-0.8198)</f>
        <v>3.760083377836573</v>
      </c>
      <c r="C3922" s="1">
        <v>18</v>
      </c>
    </row>
    <row r="3923" spans="1:3" x14ac:dyDescent="0.3">
      <c r="A3923" t="s">
        <v>3922</v>
      </c>
      <c r="B3923">
        <f>10.1652*(1-0.8198)</f>
        <v>1.8317690400000004</v>
      </c>
      <c r="C3923" s="1">
        <v>18</v>
      </c>
    </row>
    <row r="3924" spans="1:3" x14ac:dyDescent="0.3">
      <c r="A3924" t="s">
        <v>3923</v>
      </c>
      <c r="B3924">
        <f>53.2252413914286*(1-0.8198)</f>
        <v>9.5911884987354306</v>
      </c>
      <c r="C3924" s="1">
        <v>14</v>
      </c>
    </row>
    <row r="3925" spans="1:3" x14ac:dyDescent="0.3">
      <c r="A3925" t="s">
        <v>3924</v>
      </c>
      <c r="B3925">
        <f>48.4702436485714*(1-0.8198)</f>
        <v>8.7343379054725716</v>
      </c>
      <c r="C3925" s="1">
        <v>14</v>
      </c>
    </row>
    <row r="3926" spans="1:3" x14ac:dyDescent="0.3">
      <c r="A3926" t="s">
        <v>3925</v>
      </c>
      <c r="B3926">
        <f>50.07951914*(1-0.8198)</f>
        <v>9.024329349028001</v>
      </c>
      <c r="C3926" s="1">
        <v>15</v>
      </c>
    </row>
    <row r="3927" spans="1:3" x14ac:dyDescent="0.3">
      <c r="A3927" t="s">
        <v>3926</v>
      </c>
      <c r="B3927">
        <f>10.26582*(1-0.8198)</f>
        <v>1.8499007640000003</v>
      </c>
      <c r="C3927" s="1">
        <v>13</v>
      </c>
    </row>
    <row r="3928" spans="1:3" x14ac:dyDescent="0.3">
      <c r="A3928" t="s">
        <v>3927</v>
      </c>
      <c r="B3928">
        <f>5.23052*(1-0.8198)</f>
        <v>0.9425397040000002</v>
      </c>
      <c r="C3928" s="1">
        <v>7</v>
      </c>
    </row>
    <row r="3929" spans="1:3" x14ac:dyDescent="0.3">
      <c r="A3929" t="s">
        <v>3928</v>
      </c>
      <c r="B3929">
        <f>3.82012*(1-0.8198)</f>
        <v>0.68838562400000003</v>
      </c>
      <c r="C3929" s="1">
        <v>6</v>
      </c>
    </row>
    <row r="3930" spans="1:3" x14ac:dyDescent="0.3">
      <c r="A3930" t="s">
        <v>3929</v>
      </c>
      <c r="B3930">
        <f>11.3650563971429*(1-0.8198)</f>
        <v>2.0479831627651435</v>
      </c>
      <c r="C3930" s="1">
        <v>7</v>
      </c>
    </row>
    <row r="3931" spans="1:3" x14ac:dyDescent="0.3">
      <c r="A3931" t="s">
        <v>3930</v>
      </c>
      <c r="B3931">
        <f>11.9511992871429*(1-0.8198)</f>
        <v>2.1536061115431435</v>
      </c>
      <c r="C3931" s="1">
        <v>7</v>
      </c>
    </row>
    <row r="3932" spans="1:3" x14ac:dyDescent="0.3">
      <c r="A3932" t="s">
        <v>3931</v>
      </c>
      <c r="B3932">
        <f>3.70049768571429*(1-0.8198)</f>
        <v>0.66682968296571432</v>
      </c>
      <c r="C3932" s="1">
        <v>6</v>
      </c>
    </row>
    <row r="3933" spans="1:3" x14ac:dyDescent="0.3">
      <c r="A3933" t="s">
        <v>3932</v>
      </c>
      <c r="B3933">
        <f>0*(1-0.8198)</f>
        <v>0</v>
      </c>
      <c r="C3933" s="1">
        <v>7</v>
      </c>
    </row>
    <row r="3934" spans="1:3" x14ac:dyDescent="0.3">
      <c r="A3934" t="s">
        <v>3933</v>
      </c>
      <c r="B3934">
        <f>0*(1-0.8198)</f>
        <v>0</v>
      </c>
      <c r="C3934" s="1">
        <v>8</v>
      </c>
    </row>
    <row r="3935" spans="1:3" x14ac:dyDescent="0.3">
      <c r="A3935" t="s">
        <v>3934</v>
      </c>
      <c r="B3935">
        <f>0*(1-0.8198)</f>
        <v>0</v>
      </c>
      <c r="C3935" s="1">
        <v>5</v>
      </c>
    </row>
    <row r="3936" spans="1:3" x14ac:dyDescent="0.3">
      <c r="A3936" t="s">
        <v>3935</v>
      </c>
      <c r="B3936">
        <f>0*(1-0.8198)</f>
        <v>0</v>
      </c>
      <c r="C3936" s="1">
        <v>5</v>
      </c>
    </row>
    <row r="3937" spans="1:3" x14ac:dyDescent="0.3">
      <c r="A3937" t="s">
        <v>3936</v>
      </c>
      <c r="B3937">
        <f>0*(1-0.8198)</f>
        <v>0</v>
      </c>
      <c r="C3937" s="1">
        <v>3</v>
      </c>
    </row>
    <row r="3938" spans="1:3" x14ac:dyDescent="0.3">
      <c r="A3938" t="s">
        <v>3937</v>
      </c>
      <c r="B3938">
        <f>0*(1-0.8198)</f>
        <v>0</v>
      </c>
      <c r="C3938" s="1">
        <v>2</v>
      </c>
    </row>
    <row r="3939" spans="1:3" x14ac:dyDescent="0.3">
      <c r="A3939" t="s">
        <v>3938</v>
      </c>
      <c r="B3939">
        <f>0*(1-0.8198)</f>
        <v>0</v>
      </c>
      <c r="C3939" s="1">
        <v>3</v>
      </c>
    </row>
    <row r="3940" spans="1:3" x14ac:dyDescent="0.3">
      <c r="A3940" t="s">
        <v>3939</v>
      </c>
      <c r="B3940">
        <f>0*(1-0.8198)</f>
        <v>0</v>
      </c>
      <c r="C3940" s="1">
        <v>3</v>
      </c>
    </row>
    <row r="3941" spans="1:3" x14ac:dyDescent="0.3">
      <c r="A3941" t="s">
        <v>3940</v>
      </c>
      <c r="B3941">
        <f>0*(1-0.8198)</f>
        <v>0</v>
      </c>
      <c r="C3941" s="1">
        <v>2</v>
      </c>
    </row>
    <row r="3942" spans="1:3" x14ac:dyDescent="0.3">
      <c r="A3942" t="s">
        <v>3941</v>
      </c>
      <c r="B3942">
        <f>0*(1-0.8198)</f>
        <v>0</v>
      </c>
      <c r="C3942" s="1">
        <v>3</v>
      </c>
    </row>
    <row r="3943" spans="1:3" x14ac:dyDescent="0.3">
      <c r="A3943" t="s">
        <v>3942</v>
      </c>
      <c r="B3943">
        <f>3.81299152142857*(1-0.8198)</f>
        <v>0.68710107216142879</v>
      </c>
      <c r="C3943" s="1">
        <v>3</v>
      </c>
    </row>
    <row r="3944" spans="1:3" x14ac:dyDescent="0.3">
      <c r="A3944" t="s">
        <v>3943</v>
      </c>
      <c r="B3944">
        <f>6.08539618142857*(1-0.8198)</f>
        <v>1.0965883918934289</v>
      </c>
      <c r="C3944" s="1">
        <v>11</v>
      </c>
    </row>
    <row r="3945" spans="1:3" x14ac:dyDescent="0.3">
      <c r="A3945" t="s">
        <v>3944</v>
      </c>
      <c r="B3945">
        <f>19.6319288857143*(1-0.8198)</f>
        <v>3.5376735852057153</v>
      </c>
      <c r="C3945" s="1">
        <v>15</v>
      </c>
    </row>
    <row r="3946" spans="1:3" x14ac:dyDescent="0.3">
      <c r="A3946" t="s">
        <v>3945</v>
      </c>
      <c r="B3946">
        <f>42.2077952742857*(1-0.8198)</f>
        <v>7.6058447084262868</v>
      </c>
      <c r="C3946" s="1">
        <v>14</v>
      </c>
    </row>
    <row r="3947" spans="1:3" x14ac:dyDescent="0.3">
      <c r="A3947" t="s">
        <v>3946</v>
      </c>
      <c r="B3947">
        <f>46.49915811*(1-0.8198)</f>
        <v>8.3791482914220037</v>
      </c>
      <c r="C3947" s="1">
        <v>15</v>
      </c>
    </row>
    <row r="3948" spans="1:3" x14ac:dyDescent="0.3">
      <c r="A3948" t="s">
        <v>3947</v>
      </c>
      <c r="B3948">
        <f>58.6009934*(1-0.8198)</f>
        <v>10.559899010680002</v>
      </c>
      <c r="C3948" s="1">
        <v>13</v>
      </c>
    </row>
    <row r="3949" spans="1:3" x14ac:dyDescent="0.3">
      <c r="A3949" t="s">
        <v>3948</v>
      </c>
      <c r="B3949">
        <f>38.2714363228571*(1-0.8198)</f>
        <v>6.896512825378859</v>
      </c>
      <c r="C3949" s="1">
        <v>13</v>
      </c>
    </row>
    <row r="3950" spans="1:3" x14ac:dyDescent="0.3">
      <c r="A3950" t="s">
        <v>3949</v>
      </c>
      <c r="B3950">
        <f>56.6374641285714*(1-0.8198)</f>
        <v>10.206071035968574</v>
      </c>
      <c r="C3950" s="1">
        <v>16</v>
      </c>
    </row>
    <row r="3951" spans="1:3" x14ac:dyDescent="0.3">
      <c r="A3951" t="s">
        <v>3950</v>
      </c>
      <c r="B3951">
        <f>39.1648257*(1-0.8198)</f>
        <v>7.0575015911400012</v>
      </c>
      <c r="C3951" s="1">
        <v>14</v>
      </c>
    </row>
    <row r="3952" spans="1:3" x14ac:dyDescent="0.3">
      <c r="A3952" t="s">
        <v>3951</v>
      </c>
      <c r="B3952">
        <f>52.2268472428571*(1-0.8198)</f>
        <v>9.4112778731628595</v>
      </c>
      <c r="C3952" s="1">
        <v>9</v>
      </c>
    </row>
    <row r="3953" spans="1:3" x14ac:dyDescent="0.3">
      <c r="A3953" t="s">
        <v>3952</v>
      </c>
      <c r="B3953">
        <f>17.3802329642857*(1-0.8198)</f>
        <v>3.1319179801642862</v>
      </c>
      <c r="C3953" s="1">
        <v>8</v>
      </c>
    </row>
    <row r="3954" spans="1:3" x14ac:dyDescent="0.3">
      <c r="A3954" t="s">
        <v>3953</v>
      </c>
      <c r="B3954">
        <f>31.6780648014286*(1-0.8198)</f>
        <v>5.7083872772174304</v>
      </c>
      <c r="C3954" s="1">
        <v>8</v>
      </c>
    </row>
    <row r="3955" spans="1:3" x14ac:dyDescent="0.3">
      <c r="A3955" t="s">
        <v>3954</v>
      </c>
      <c r="B3955">
        <f>18.9636069142857*(1-0.8198)</f>
        <v>3.4172419659542865</v>
      </c>
      <c r="C3955" s="1">
        <v>7</v>
      </c>
    </row>
    <row r="3956" spans="1:3" x14ac:dyDescent="0.3">
      <c r="A3956" t="s">
        <v>3955</v>
      </c>
      <c r="B3956">
        <f>6.39956413285714*(1-0.8198)</f>
        <v>1.1532014567408573</v>
      </c>
      <c r="C3956" s="1">
        <v>7</v>
      </c>
    </row>
    <row r="3957" spans="1:3" x14ac:dyDescent="0.3">
      <c r="A3957" t="s">
        <v>3956</v>
      </c>
      <c r="B3957">
        <f>0*(1-0.8198)</f>
        <v>0</v>
      </c>
      <c r="C3957" s="1">
        <v>10</v>
      </c>
    </row>
    <row r="3958" spans="1:3" x14ac:dyDescent="0.3">
      <c r="A3958" t="s">
        <v>3957</v>
      </c>
      <c r="B3958">
        <f>0*(1-0.8198)</f>
        <v>0</v>
      </c>
      <c r="C3958" s="1">
        <v>11</v>
      </c>
    </row>
    <row r="3959" spans="1:3" x14ac:dyDescent="0.3">
      <c r="A3959" t="s">
        <v>3958</v>
      </c>
      <c r="B3959">
        <f>0*(1-0.8198)</f>
        <v>0</v>
      </c>
      <c r="C3959" s="1">
        <v>9</v>
      </c>
    </row>
    <row r="3960" spans="1:3" x14ac:dyDescent="0.3">
      <c r="A3960" t="s">
        <v>3959</v>
      </c>
      <c r="B3960">
        <f>0*(1-0.8198)</f>
        <v>0</v>
      </c>
      <c r="C3960" s="1">
        <v>7</v>
      </c>
    </row>
    <row r="3961" spans="1:3" x14ac:dyDescent="0.3">
      <c r="A3961" t="s">
        <v>3960</v>
      </c>
      <c r="B3961">
        <f>0*(1-0.8198)</f>
        <v>0</v>
      </c>
      <c r="C3961" s="1">
        <v>4</v>
      </c>
    </row>
    <row r="3962" spans="1:3" x14ac:dyDescent="0.3">
      <c r="A3962" t="s">
        <v>3961</v>
      </c>
      <c r="B3962">
        <f>0*(1-0.8198)</f>
        <v>0</v>
      </c>
      <c r="C3962" s="1">
        <v>3</v>
      </c>
    </row>
    <row r="3963" spans="1:3" x14ac:dyDescent="0.3">
      <c r="A3963" t="s">
        <v>3962</v>
      </c>
      <c r="B3963">
        <f>0*(1-0.8198)</f>
        <v>0</v>
      </c>
      <c r="C3963" s="1">
        <v>2</v>
      </c>
    </row>
    <row r="3964" spans="1:3" x14ac:dyDescent="0.3">
      <c r="A3964" t="s">
        <v>3963</v>
      </c>
      <c r="B3964">
        <f>0*(1-0.8198)</f>
        <v>0</v>
      </c>
      <c r="C3964" s="1">
        <v>3</v>
      </c>
    </row>
    <row r="3965" spans="1:3" x14ac:dyDescent="0.3">
      <c r="A3965" t="s">
        <v>3964</v>
      </c>
      <c r="B3965">
        <f>0*(1-0.8198)</f>
        <v>0</v>
      </c>
      <c r="C3965" s="1">
        <v>2</v>
      </c>
    </row>
    <row r="3966" spans="1:3" x14ac:dyDescent="0.3">
      <c r="A3966" t="s">
        <v>3965</v>
      </c>
      <c r="B3966">
        <f>0*(1-0.8198)</f>
        <v>0</v>
      </c>
      <c r="C3966" s="1">
        <v>3</v>
      </c>
    </row>
    <row r="3967" spans="1:3" x14ac:dyDescent="0.3">
      <c r="A3967" t="s">
        <v>3966</v>
      </c>
      <c r="B3967">
        <f>1.19280550285714*(1-0.8198)</f>
        <v>0.21494355161485718</v>
      </c>
      <c r="C3967" s="1">
        <v>3</v>
      </c>
    </row>
    <row r="3968" spans="1:3" x14ac:dyDescent="0.3">
      <c r="A3968" t="s">
        <v>3967</v>
      </c>
      <c r="B3968">
        <f>11.3578159957143*(1-0.8198)</f>
        <v>2.0466784424277149</v>
      </c>
      <c r="C3968" s="1">
        <v>5</v>
      </c>
    </row>
    <row r="3969" spans="1:3" x14ac:dyDescent="0.3">
      <c r="A3969" t="s">
        <v>3968</v>
      </c>
      <c r="B3969">
        <f>24.5474518328571*(1-0.8198)</f>
        <v>4.4234508202808582</v>
      </c>
      <c r="C3969" s="1">
        <v>3</v>
      </c>
    </row>
    <row r="3970" spans="1:3" x14ac:dyDescent="0.3">
      <c r="A3970" t="s">
        <v>3969</v>
      </c>
      <c r="B3970">
        <f>41.40018629*(1-0.8198)</f>
        <v>7.4603135694580027</v>
      </c>
      <c r="C3970" s="1">
        <v>3</v>
      </c>
    </row>
    <row r="3971" spans="1:3" x14ac:dyDescent="0.3">
      <c r="A3971" t="s">
        <v>3970</v>
      </c>
      <c r="B3971">
        <f>47.24604059*(1-0.8198)</f>
        <v>8.5137365143180013</v>
      </c>
      <c r="C3971" s="1">
        <v>2</v>
      </c>
    </row>
    <row r="3972" spans="1:3" x14ac:dyDescent="0.3">
      <c r="A3972" t="s">
        <v>3971</v>
      </c>
      <c r="B3972">
        <f>59.7457561085714*(1-0.8198)</f>
        <v>10.766185250764574</v>
      </c>
      <c r="C3972" s="1">
        <v>2</v>
      </c>
    </row>
    <row r="3973" spans="1:3" x14ac:dyDescent="0.3">
      <c r="A3973" t="s">
        <v>3972</v>
      </c>
      <c r="B3973">
        <f>61.4285714285714*(1-0.8198)</f>
        <v>11.069428571428574</v>
      </c>
      <c r="C3973" s="1">
        <v>3</v>
      </c>
    </row>
    <row r="3974" spans="1:3" x14ac:dyDescent="0.3">
      <c r="A3974" t="s">
        <v>3973</v>
      </c>
      <c r="B3974">
        <f>61.4285714285714*(1-0.8198)</f>
        <v>11.069428571428574</v>
      </c>
      <c r="C3974" s="1">
        <v>2</v>
      </c>
    </row>
    <row r="3975" spans="1:3" x14ac:dyDescent="0.3">
      <c r="A3975" t="s">
        <v>3974</v>
      </c>
      <c r="B3975">
        <f>58.9809179342857*(1-0.8198)</f>
        <v>10.62836141175829</v>
      </c>
      <c r="C3975" s="1">
        <v>2</v>
      </c>
    </row>
    <row r="3976" spans="1:3" x14ac:dyDescent="0.3">
      <c r="A3976" t="s">
        <v>3975</v>
      </c>
      <c r="B3976">
        <f>52.8118037628571*(1-0.8198)</f>
        <v>9.5166870380668591</v>
      </c>
      <c r="C3976" s="1">
        <v>2</v>
      </c>
    </row>
    <row r="3977" spans="1:3" x14ac:dyDescent="0.3">
      <c r="A3977" t="s">
        <v>3976</v>
      </c>
      <c r="B3977">
        <f>44.2656176485714*(1-0.8198)</f>
        <v>7.9766643002725726</v>
      </c>
      <c r="C3977" s="1">
        <v>3</v>
      </c>
    </row>
    <row r="3978" spans="1:3" x14ac:dyDescent="0.3">
      <c r="A3978" t="s">
        <v>3977</v>
      </c>
      <c r="B3978">
        <f>31.5729631571429*(1-0.8198)</f>
        <v>5.6894479609171436</v>
      </c>
      <c r="C3978" s="1">
        <v>2</v>
      </c>
    </row>
    <row r="3979" spans="1:3" x14ac:dyDescent="0.3">
      <c r="A3979" t="s">
        <v>3978</v>
      </c>
      <c r="B3979">
        <f>17.7589830457143*(1-0.8198)</f>
        <v>3.2001687448377152</v>
      </c>
      <c r="C3979" s="1">
        <v>2</v>
      </c>
    </row>
    <row r="3980" spans="1:3" x14ac:dyDescent="0.3">
      <c r="A3980" t="s">
        <v>3979</v>
      </c>
      <c r="B3980">
        <f>6.22079832857143*(1-0.8198)</f>
        <v>1.1209878588085715</v>
      </c>
      <c r="C3980" s="1">
        <v>2</v>
      </c>
    </row>
    <row r="3981" spans="1:3" x14ac:dyDescent="0.3">
      <c r="A3981" t="s">
        <v>3980</v>
      </c>
      <c r="B3981">
        <f>0*(1-0.8198)</f>
        <v>0</v>
      </c>
      <c r="C3981" s="1">
        <v>3</v>
      </c>
    </row>
    <row r="3982" spans="1:3" x14ac:dyDescent="0.3">
      <c r="A3982" t="s">
        <v>3981</v>
      </c>
      <c r="B3982">
        <f>0*(1-0.8198)</f>
        <v>0</v>
      </c>
      <c r="C3982" s="1">
        <v>2</v>
      </c>
    </row>
    <row r="3983" spans="1:3" x14ac:dyDescent="0.3">
      <c r="A3983" t="s">
        <v>3982</v>
      </c>
      <c r="B3983">
        <f>0*(1-0.8198)</f>
        <v>0</v>
      </c>
      <c r="C3983" s="1">
        <v>2</v>
      </c>
    </row>
    <row r="3984" spans="1:3" x14ac:dyDescent="0.3">
      <c r="A3984" t="s">
        <v>3983</v>
      </c>
      <c r="B3984">
        <f>0*(1-0.8198)</f>
        <v>0</v>
      </c>
      <c r="C3984" s="1">
        <v>2</v>
      </c>
    </row>
    <row r="3985" spans="1:3" x14ac:dyDescent="0.3">
      <c r="A3985" t="s">
        <v>3984</v>
      </c>
      <c r="B3985">
        <f>0*(1-0.8198)</f>
        <v>0</v>
      </c>
      <c r="C3985" s="1">
        <v>3</v>
      </c>
    </row>
    <row r="3986" spans="1:3" x14ac:dyDescent="0.3">
      <c r="A3986" t="s">
        <v>3985</v>
      </c>
      <c r="B3986">
        <f>0*(1-0.8198)</f>
        <v>0</v>
      </c>
      <c r="C3986" s="1">
        <v>2</v>
      </c>
    </row>
    <row r="3987" spans="1:3" x14ac:dyDescent="0.3">
      <c r="A3987" t="s">
        <v>3986</v>
      </c>
      <c r="B3987">
        <f>0*(1-0.8198)</f>
        <v>0</v>
      </c>
      <c r="C3987" s="1">
        <v>2</v>
      </c>
    </row>
    <row r="3988" spans="1:3" x14ac:dyDescent="0.3">
      <c r="A3988" t="s">
        <v>3987</v>
      </c>
      <c r="B3988">
        <f>0*(1-0.8198)</f>
        <v>0</v>
      </c>
      <c r="C3988" s="1">
        <v>2</v>
      </c>
    </row>
    <row r="3989" spans="1:3" x14ac:dyDescent="0.3">
      <c r="A3989" t="s">
        <v>3988</v>
      </c>
      <c r="B3989">
        <f>0*(1-0.8198)</f>
        <v>0</v>
      </c>
      <c r="C3989" s="1">
        <v>2</v>
      </c>
    </row>
    <row r="3990" spans="1:3" x14ac:dyDescent="0.3">
      <c r="A3990" t="s">
        <v>3989</v>
      </c>
      <c r="B3990">
        <f>0*(1-0.8198)</f>
        <v>0</v>
      </c>
      <c r="C3990" s="1">
        <v>3</v>
      </c>
    </row>
    <row r="3991" spans="1:3" x14ac:dyDescent="0.3">
      <c r="A3991" t="s">
        <v>3990</v>
      </c>
      <c r="B3991">
        <f>4.35185492857143*(1-0.8198)</f>
        <v>0.78420425812857164</v>
      </c>
      <c r="C3991" s="1">
        <v>2</v>
      </c>
    </row>
    <row r="3992" spans="1:3" x14ac:dyDescent="0.3">
      <c r="A3992" t="s">
        <v>3991</v>
      </c>
      <c r="B3992">
        <f>16.1686696942857*(1-0.8198)</f>
        <v>2.9135942789102867</v>
      </c>
      <c r="C3992" s="1">
        <v>2</v>
      </c>
    </row>
    <row r="3993" spans="1:3" x14ac:dyDescent="0.3">
      <c r="A3993" t="s">
        <v>3992</v>
      </c>
      <c r="B3993">
        <f>29.3785433585714*(1-0.8198)</f>
        <v>5.2940135132145727</v>
      </c>
      <c r="C3993" s="1">
        <v>2</v>
      </c>
    </row>
    <row r="3994" spans="1:3" x14ac:dyDescent="0.3">
      <c r="A3994" t="s">
        <v>3993</v>
      </c>
      <c r="B3994">
        <f>41.5030357171429*(1-0.8198)</f>
        <v>7.478847036229145</v>
      </c>
      <c r="C3994" s="1">
        <v>3</v>
      </c>
    </row>
    <row r="3995" spans="1:3" x14ac:dyDescent="0.3">
      <c r="A3995" t="s">
        <v>3994</v>
      </c>
      <c r="B3995">
        <f>51.7561957185714*(1-0.8198)</f>
        <v>9.3264664684865739</v>
      </c>
      <c r="C3995" s="1">
        <v>2</v>
      </c>
    </row>
    <row r="3996" spans="1:3" x14ac:dyDescent="0.3">
      <c r="A3996" t="s">
        <v>3995</v>
      </c>
      <c r="B3996">
        <f>58.83758499*(1-0.8198)</f>
        <v>10.602532815198003</v>
      </c>
      <c r="C3996" s="1">
        <v>2</v>
      </c>
    </row>
    <row r="3997" spans="1:3" x14ac:dyDescent="0.3">
      <c r="A3997" t="s">
        <v>3996</v>
      </c>
      <c r="B3997">
        <f>61.4285714285714*(1-0.8198)</f>
        <v>11.069428571428574</v>
      </c>
      <c r="C3997" s="1">
        <v>2</v>
      </c>
    </row>
    <row r="3998" spans="1:3" x14ac:dyDescent="0.3">
      <c r="A3998" t="s">
        <v>3997</v>
      </c>
      <c r="B3998">
        <f>59.6396774428571*(1-0.8198)</f>
        <v>10.747069875202859</v>
      </c>
      <c r="C3998" s="1">
        <v>2</v>
      </c>
    </row>
    <row r="3999" spans="1:3" x14ac:dyDescent="0.3">
      <c r="A3999" t="s">
        <v>3998</v>
      </c>
      <c r="B3999">
        <f>59.7660661757143*(1-0.8198)</f>
        <v>10.769845124863716</v>
      </c>
      <c r="C3999" s="1">
        <v>3</v>
      </c>
    </row>
    <row r="4000" spans="1:3" x14ac:dyDescent="0.3">
      <c r="A4000" t="s">
        <v>3999</v>
      </c>
      <c r="B4000">
        <f>53.9628739571429*(1-0.8198)</f>
        <v>9.7241098870771445</v>
      </c>
      <c r="C4000" s="1">
        <v>2</v>
      </c>
    </row>
    <row r="4001" spans="1:3" x14ac:dyDescent="0.3">
      <c r="A4001" t="s">
        <v>4000</v>
      </c>
      <c r="B4001">
        <f>28.9151377028571*(1-0.8198)</f>
        <v>5.210507814054858</v>
      </c>
      <c r="C4001" s="1">
        <v>2</v>
      </c>
    </row>
    <row r="4002" spans="1:3" x14ac:dyDescent="0.3">
      <c r="A4002" t="s">
        <v>4001</v>
      </c>
      <c r="B4002">
        <f>26.1921370257143*(1-0.8198)</f>
        <v>4.7198230920337156</v>
      </c>
      <c r="C4002" s="1">
        <v>2</v>
      </c>
    </row>
    <row r="4003" spans="1:3" x14ac:dyDescent="0.3">
      <c r="A4003" t="s">
        <v>4002</v>
      </c>
      <c r="B4003">
        <f>11.1684759385714*(1-0.8198)</f>
        <v>2.0125593641305719</v>
      </c>
      <c r="C4003" s="1">
        <v>3</v>
      </c>
    </row>
    <row r="4004" spans="1:3" x14ac:dyDescent="0.3">
      <c r="A4004" t="s">
        <v>4003</v>
      </c>
      <c r="B4004">
        <f>3.34163872857143*(1-0.8198)</f>
        <v>0.60216329888857156</v>
      </c>
      <c r="C4004" s="1">
        <v>2</v>
      </c>
    </row>
    <row r="4005" spans="1:3" x14ac:dyDescent="0.3">
      <c r="A4005" t="s">
        <v>4004</v>
      </c>
      <c r="B4005">
        <f>0*(1-0.8198)</f>
        <v>0</v>
      </c>
      <c r="C4005" s="1">
        <v>2</v>
      </c>
    </row>
    <row r="4006" spans="1:3" x14ac:dyDescent="0.3">
      <c r="A4006" t="s">
        <v>4005</v>
      </c>
      <c r="B4006">
        <f>0*(1-0.8198)</f>
        <v>0</v>
      </c>
      <c r="C4006" s="1">
        <v>2</v>
      </c>
    </row>
    <row r="4007" spans="1:3" x14ac:dyDescent="0.3">
      <c r="A4007" t="s">
        <v>4006</v>
      </c>
      <c r="B4007">
        <f>0*(1-0.8198)</f>
        <v>0</v>
      </c>
      <c r="C4007" s="1">
        <v>2</v>
      </c>
    </row>
    <row r="4008" spans="1:3" x14ac:dyDescent="0.3">
      <c r="A4008" t="s">
        <v>4007</v>
      </c>
      <c r="B4008">
        <f>0*(1-0.8198)</f>
        <v>0</v>
      </c>
      <c r="C4008" s="1">
        <v>2</v>
      </c>
    </row>
    <row r="4009" spans="1:3" x14ac:dyDescent="0.3">
      <c r="A4009" t="s">
        <v>4008</v>
      </c>
      <c r="B4009">
        <f>0*(1-0.8198)</f>
        <v>0</v>
      </c>
      <c r="C4009" s="1">
        <v>3</v>
      </c>
    </row>
    <row r="4010" spans="1:3" x14ac:dyDescent="0.3">
      <c r="A4010" t="s">
        <v>4009</v>
      </c>
      <c r="B4010">
        <f>0*(1-0.8198)</f>
        <v>0</v>
      </c>
      <c r="C4010" s="1">
        <v>2</v>
      </c>
    </row>
    <row r="4011" spans="1:3" x14ac:dyDescent="0.3">
      <c r="A4011" t="s">
        <v>4010</v>
      </c>
      <c r="B4011">
        <f>0*(1-0.8198)</f>
        <v>0</v>
      </c>
      <c r="C4011" s="1">
        <v>3</v>
      </c>
    </row>
    <row r="4012" spans="1:3" x14ac:dyDescent="0.3">
      <c r="A4012" t="s">
        <v>4011</v>
      </c>
      <c r="B4012">
        <f>0*(1-0.8198)</f>
        <v>0</v>
      </c>
      <c r="C4012" s="1">
        <v>2</v>
      </c>
    </row>
    <row r="4013" spans="1:3" x14ac:dyDescent="0.3">
      <c r="A4013" t="s">
        <v>4012</v>
      </c>
      <c r="B4013">
        <f>0*(1-0.8198)</f>
        <v>0</v>
      </c>
      <c r="C4013" s="1">
        <v>2</v>
      </c>
    </row>
    <row r="4014" spans="1:3" x14ac:dyDescent="0.3">
      <c r="A4014" t="s">
        <v>4013</v>
      </c>
      <c r="B4014">
        <f>0*(1-0.8198)</f>
        <v>0</v>
      </c>
      <c r="C4014" s="1">
        <v>2</v>
      </c>
    </row>
    <row r="4015" spans="1:3" x14ac:dyDescent="0.3">
      <c r="A4015" t="s">
        <v>4014</v>
      </c>
      <c r="B4015">
        <f>4.27861960142857*(1-0.8198)</f>
        <v>0.77100725217742871</v>
      </c>
      <c r="C4015" s="1">
        <v>3</v>
      </c>
    </row>
    <row r="4016" spans="1:3" x14ac:dyDescent="0.3">
      <c r="A4016" t="s">
        <v>4015</v>
      </c>
      <c r="B4016">
        <f>16.1047514228571*(1-0.8198)</f>
        <v>2.9020762063988581</v>
      </c>
      <c r="C4016" s="1">
        <v>10</v>
      </c>
    </row>
    <row r="4017" spans="1:3" x14ac:dyDescent="0.3">
      <c r="A4017" t="s">
        <v>4016</v>
      </c>
      <c r="B4017">
        <f>27.62762384*(1-0.8198)</f>
        <v>4.9784978159680016</v>
      </c>
      <c r="C4017" s="1">
        <v>13</v>
      </c>
    </row>
    <row r="4018" spans="1:3" x14ac:dyDescent="0.3">
      <c r="A4018" t="s">
        <v>4017</v>
      </c>
      <c r="B4018">
        <f>36.62186633*(1-0.8198)</f>
        <v>6.5992603126660017</v>
      </c>
      <c r="C4018" s="1">
        <v>14</v>
      </c>
    </row>
    <row r="4019" spans="1:3" x14ac:dyDescent="0.3">
      <c r="A4019" t="s">
        <v>4018</v>
      </c>
      <c r="B4019">
        <f>51.93055648*(1-0.8198)</f>
        <v>9.3578862776960019</v>
      </c>
      <c r="C4019" s="1">
        <v>14</v>
      </c>
    </row>
    <row r="4020" spans="1:3" x14ac:dyDescent="0.3">
      <c r="A4020" t="s">
        <v>4019</v>
      </c>
      <c r="B4020">
        <f>58.3105902585714*(1-0.8198)</f>
        <v>10.507568364594574</v>
      </c>
      <c r="C4020" s="1">
        <v>18</v>
      </c>
    </row>
    <row r="4021" spans="1:3" x14ac:dyDescent="0.3">
      <c r="A4021" t="s">
        <v>4020</v>
      </c>
      <c r="B4021">
        <f>61.4285714285714*(1-0.8198)</f>
        <v>11.069428571428574</v>
      </c>
      <c r="C4021" s="1">
        <v>11</v>
      </c>
    </row>
    <row r="4022" spans="1:3" x14ac:dyDescent="0.3">
      <c r="A4022" t="s">
        <v>4021</v>
      </c>
      <c r="B4022">
        <f>61.4285714285714*(1-0.8198)</f>
        <v>11.069428571428574</v>
      </c>
      <c r="C4022" s="1">
        <v>13</v>
      </c>
    </row>
    <row r="4023" spans="1:3" x14ac:dyDescent="0.3">
      <c r="A4023" t="s">
        <v>4022</v>
      </c>
      <c r="B4023">
        <f>60.1826227171429*(1-0.8198)</f>
        <v>10.844908613629148</v>
      </c>
      <c r="C4023" s="1">
        <v>13</v>
      </c>
    </row>
    <row r="4024" spans="1:3" x14ac:dyDescent="0.3">
      <c r="A4024" t="s">
        <v>4023</v>
      </c>
      <c r="B4024">
        <f>54.4753421214286*(1-0.8198)</f>
        <v>9.816456650281431</v>
      </c>
      <c r="C4024" s="1">
        <v>6</v>
      </c>
    </row>
    <row r="4025" spans="1:3" x14ac:dyDescent="0.3">
      <c r="A4025" t="s">
        <v>4024</v>
      </c>
      <c r="B4025">
        <f>44.9572171785714*(1-0.8198)</f>
        <v>8.101290535578574</v>
      </c>
      <c r="C4025" s="1">
        <v>5</v>
      </c>
    </row>
    <row r="4026" spans="1:3" x14ac:dyDescent="0.3">
      <c r="A4026" t="s">
        <v>4025</v>
      </c>
      <c r="B4026">
        <f>30.7799649585714*(1-0.8198)</f>
        <v>5.5465496855345728</v>
      </c>
      <c r="C4026" s="1">
        <v>6</v>
      </c>
    </row>
    <row r="4027" spans="1:3" x14ac:dyDescent="0.3">
      <c r="A4027" t="s">
        <v>4026</v>
      </c>
      <c r="B4027">
        <f>18.14703157*(1-0.8198)</f>
        <v>3.2700950889140006</v>
      </c>
      <c r="C4027" s="1">
        <v>5</v>
      </c>
    </row>
    <row r="4028" spans="1:3" x14ac:dyDescent="0.3">
      <c r="A4028" t="s">
        <v>4027</v>
      </c>
      <c r="B4028">
        <f>6.20588617428572*(1-0.8198)</f>
        <v>1.1183006886062861</v>
      </c>
      <c r="C4028" s="1">
        <v>6</v>
      </c>
    </row>
    <row r="4029" spans="1:3" x14ac:dyDescent="0.3">
      <c r="A4029" t="s">
        <v>4028</v>
      </c>
      <c r="B4029">
        <f>0*(1-0.8198)</f>
        <v>0</v>
      </c>
      <c r="C4029" s="1">
        <v>6</v>
      </c>
    </row>
    <row r="4030" spans="1:3" x14ac:dyDescent="0.3">
      <c r="A4030" t="s">
        <v>4029</v>
      </c>
      <c r="B4030">
        <f>0*(1-0.8198)</f>
        <v>0</v>
      </c>
      <c r="C4030" s="1">
        <v>6</v>
      </c>
    </row>
    <row r="4031" spans="1:3" x14ac:dyDescent="0.3">
      <c r="A4031" t="s">
        <v>4030</v>
      </c>
      <c r="B4031">
        <f>0*(1-0.8198)</f>
        <v>0</v>
      </c>
      <c r="C4031" s="1">
        <v>6</v>
      </c>
    </row>
    <row r="4032" spans="1:3" x14ac:dyDescent="0.3">
      <c r="A4032" t="s">
        <v>4031</v>
      </c>
      <c r="B4032">
        <f>0*(1-0.8198)</f>
        <v>0</v>
      </c>
      <c r="C4032" s="1">
        <v>5</v>
      </c>
    </row>
    <row r="4033" spans="1:3" x14ac:dyDescent="0.3">
      <c r="A4033" t="s">
        <v>4032</v>
      </c>
      <c r="B4033">
        <f>0*(1-0.8198)</f>
        <v>0</v>
      </c>
      <c r="C4033" s="1">
        <v>2</v>
      </c>
    </row>
    <row r="4034" spans="1:3" x14ac:dyDescent="0.3">
      <c r="A4034" t="s">
        <v>4033</v>
      </c>
      <c r="B4034">
        <f>0*(1-0.8198)</f>
        <v>0</v>
      </c>
      <c r="C4034" s="1">
        <v>3</v>
      </c>
    </row>
    <row r="4035" spans="1:3" x14ac:dyDescent="0.3">
      <c r="A4035" t="s">
        <v>4034</v>
      </c>
      <c r="B4035">
        <f>0*(1-0.8198)</f>
        <v>0</v>
      </c>
      <c r="C4035" s="1">
        <v>3</v>
      </c>
    </row>
    <row r="4036" spans="1:3" x14ac:dyDescent="0.3">
      <c r="A4036" t="s">
        <v>4035</v>
      </c>
      <c r="B4036">
        <f>0*(1-0.8198)</f>
        <v>0</v>
      </c>
      <c r="C4036" s="1">
        <v>2</v>
      </c>
    </row>
    <row r="4037" spans="1:3" x14ac:dyDescent="0.3">
      <c r="A4037" t="s">
        <v>4036</v>
      </c>
      <c r="B4037">
        <f>0*(1-0.8198)</f>
        <v>0</v>
      </c>
      <c r="C4037" s="1">
        <v>3</v>
      </c>
    </row>
    <row r="4038" spans="1:3" x14ac:dyDescent="0.3">
      <c r="A4038" t="s">
        <v>4037</v>
      </c>
      <c r="B4038">
        <f>0*(1-0.8198)</f>
        <v>0</v>
      </c>
      <c r="C4038" s="1">
        <v>3</v>
      </c>
    </row>
    <row r="4039" spans="1:3" x14ac:dyDescent="0.3">
      <c r="A4039" t="s">
        <v>4038</v>
      </c>
      <c r="B4039">
        <f>4.21408415714286*(1-0.8198)</f>
        <v>0.75937796511714306</v>
      </c>
      <c r="C4039" s="1">
        <v>2</v>
      </c>
    </row>
    <row r="4040" spans="1:3" x14ac:dyDescent="0.3">
      <c r="A4040" t="s">
        <v>4039</v>
      </c>
      <c r="B4040">
        <f>15.8401385757143*(1-0.8198)</f>
        <v>2.8543929713437151</v>
      </c>
      <c r="C4040" s="1">
        <v>11</v>
      </c>
    </row>
    <row r="4041" spans="1:3" x14ac:dyDescent="0.3">
      <c r="A4041" t="s">
        <v>4040</v>
      </c>
      <c r="B4041">
        <f>13.8955365528571*(1-0.8198)</f>
        <v>2.5039756868248575</v>
      </c>
      <c r="C4041" s="1">
        <v>15</v>
      </c>
    </row>
    <row r="4042" spans="1:3" x14ac:dyDescent="0.3">
      <c r="A4042" t="s">
        <v>4041</v>
      </c>
      <c r="B4042">
        <f>3.57502*(1-0.8198)</f>
        <v>0.64421860400000019</v>
      </c>
      <c r="C4042" s="1">
        <v>16</v>
      </c>
    </row>
    <row r="4043" spans="1:3" x14ac:dyDescent="0.3">
      <c r="A4043" t="s">
        <v>4042</v>
      </c>
      <c r="B4043">
        <f>3.55438*(1-0.8198)</f>
        <v>0.64049927600000012</v>
      </c>
      <c r="C4043" s="1">
        <v>16</v>
      </c>
    </row>
    <row r="4044" spans="1:3" x14ac:dyDescent="0.3">
      <c r="A4044" t="s">
        <v>4043</v>
      </c>
      <c r="B4044">
        <f>6.47064*(1-0.8198)</f>
        <v>1.1660093280000003</v>
      </c>
      <c r="C4044" s="1">
        <v>13</v>
      </c>
    </row>
    <row r="4045" spans="1:3" x14ac:dyDescent="0.3">
      <c r="A4045" t="s">
        <v>4044</v>
      </c>
      <c r="B4045">
        <f>8.17344*(1-0.8198)</f>
        <v>1.4728538880000004</v>
      </c>
      <c r="C4045" s="1">
        <v>14</v>
      </c>
    </row>
    <row r="4046" spans="1:3" x14ac:dyDescent="0.3">
      <c r="A4046" t="s">
        <v>4045</v>
      </c>
      <c r="B4046">
        <f>23.6895213614286*(1-0.8198)</f>
        <v>4.2688517493294302</v>
      </c>
      <c r="C4046" s="1">
        <v>17</v>
      </c>
    </row>
    <row r="4047" spans="1:3" x14ac:dyDescent="0.3">
      <c r="A4047" t="s">
        <v>4046</v>
      </c>
      <c r="B4047">
        <f>20.9461841414286*(1-0.8198)</f>
        <v>3.7745023822854282</v>
      </c>
      <c r="C4047" s="1">
        <v>14</v>
      </c>
    </row>
    <row r="4048" spans="1:3" x14ac:dyDescent="0.3">
      <c r="A4048" t="s">
        <v>4047</v>
      </c>
      <c r="B4048">
        <f>26.0433427128572*(1-0.8198)</f>
        <v>4.6930103568568589</v>
      </c>
      <c r="C4048" s="1">
        <v>6</v>
      </c>
    </row>
    <row r="4049" spans="1:3" x14ac:dyDescent="0.3">
      <c r="A4049" t="s">
        <v>4048</v>
      </c>
      <c r="B4049">
        <f>18.44206231*(1-0.8198)</f>
        <v>3.3232596282620008</v>
      </c>
      <c r="C4049" s="1">
        <v>5</v>
      </c>
    </row>
    <row r="4050" spans="1:3" x14ac:dyDescent="0.3">
      <c r="A4050" t="s">
        <v>4049</v>
      </c>
      <c r="B4050">
        <f>19.9212339914286*(1-0.8198)</f>
        <v>3.5898063652554293</v>
      </c>
      <c r="C4050" s="1">
        <v>6</v>
      </c>
    </row>
    <row r="4051" spans="1:3" x14ac:dyDescent="0.3">
      <c r="A4051" t="s">
        <v>4050</v>
      </c>
      <c r="B4051">
        <f>17.8391002771429*(1-0.8198)</f>
        <v>3.2146058699411428</v>
      </c>
      <c r="C4051" s="1">
        <v>6</v>
      </c>
    </row>
    <row r="4052" spans="1:3" x14ac:dyDescent="0.3">
      <c r="A4052" t="s">
        <v>4051</v>
      </c>
      <c r="B4052">
        <f>5.31490461285714*(1-0.8198)</f>
        <v>0.95774581123685754</v>
      </c>
      <c r="C4052" s="1">
        <v>6</v>
      </c>
    </row>
    <row r="4053" spans="1:3" x14ac:dyDescent="0.3">
      <c r="A4053" t="s">
        <v>4052</v>
      </c>
      <c r="B4053">
        <f>0*(1-0.8198)</f>
        <v>0</v>
      </c>
      <c r="C4053" s="1">
        <v>7</v>
      </c>
    </row>
    <row r="4054" spans="1:3" x14ac:dyDescent="0.3">
      <c r="A4054" t="s">
        <v>4053</v>
      </c>
      <c r="B4054">
        <f>0*(1-0.8198)</f>
        <v>0</v>
      </c>
      <c r="C4054" s="1">
        <v>6</v>
      </c>
    </row>
    <row r="4055" spans="1:3" x14ac:dyDescent="0.3">
      <c r="A4055" t="s">
        <v>4054</v>
      </c>
      <c r="B4055">
        <f>0*(1-0.8198)</f>
        <v>0</v>
      </c>
      <c r="C4055" s="1">
        <v>5</v>
      </c>
    </row>
    <row r="4056" spans="1:3" x14ac:dyDescent="0.3">
      <c r="A4056" t="s">
        <v>4055</v>
      </c>
      <c r="B4056">
        <f>0*(1-0.8198)</f>
        <v>0</v>
      </c>
      <c r="C4056" s="1">
        <v>5</v>
      </c>
    </row>
    <row r="4057" spans="1:3" x14ac:dyDescent="0.3">
      <c r="A4057" t="s">
        <v>4056</v>
      </c>
      <c r="B4057">
        <f>0*(1-0.8198)</f>
        <v>0</v>
      </c>
      <c r="C4057" s="1">
        <v>3</v>
      </c>
    </row>
    <row r="4058" spans="1:3" x14ac:dyDescent="0.3">
      <c r="A4058" t="s">
        <v>4057</v>
      </c>
      <c r="B4058">
        <f>0*(1-0.8198)</f>
        <v>0</v>
      </c>
      <c r="C4058" s="1">
        <v>3</v>
      </c>
    </row>
    <row r="4059" spans="1:3" x14ac:dyDescent="0.3">
      <c r="A4059" t="s">
        <v>4058</v>
      </c>
      <c r="B4059">
        <f>0*(1-0.8198)</f>
        <v>0</v>
      </c>
      <c r="C4059" s="1">
        <v>3</v>
      </c>
    </row>
    <row r="4060" spans="1:3" x14ac:dyDescent="0.3">
      <c r="A4060" t="s">
        <v>4059</v>
      </c>
      <c r="B4060">
        <f>0*(1-0.8198)</f>
        <v>0</v>
      </c>
      <c r="C4060" s="1">
        <v>2</v>
      </c>
    </row>
    <row r="4061" spans="1:3" x14ac:dyDescent="0.3">
      <c r="A4061" t="s">
        <v>4060</v>
      </c>
      <c r="B4061">
        <f>0*(1-0.8198)</f>
        <v>0</v>
      </c>
      <c r="C4061" s="1">
        <v>3</v>
      </c>
    </row>
    <row r="4062" spans="1:3" x14ac:dyDescent="0.3">
      <c r="A4062" t="s">
        <v>4061</v>
      </c>
      <c r="B4062">
        <f>0*(1-0.8198)</f>
        <v>0</v>
      </c>
      <c r="C4062" s="1">
        <v>3</v>
      </c>
    </row>
    <row r="4063" spans="1:3" x14ac:dyDescent="0.3">
      <c r="A4063" t="s">
        <v>4062</v>
      </c>
      <c r="B4063">
        <f>2.96381689428571*(1-0.8198)</f>
        <v>0.53407980435028579</v>
      </c>
      <c r="C4063" s="1">
        <v>3</v>
      </c>
    </row>
    <row r="4064" spans="1:3" x14ac:dyDescent="0.3">
      <c r="A4064" t="s">
        <v>4063</v>
      </c>
      <c r="B4064">
        <f>14.96208349*(1-0.8198)</f>
        <v>2.6961674448980002</v>
      </c>
      <c r="C4064" s="1">
        <v>10</v>
      </c>
    </row>
    <row r="4065" spans="1:3" x14ac:dyDescent="0.3">
      <c r="A4065" t="s">
        <v>4064</v>
      </c>
      <c r="B4065">
        <f>13.8789067942857*(1-0.8198)</f>
        <v>2.500979004330286</v>
      </c>
      <c r="C4065" s="1">
        <v>13</v>
      </c>
    </row>
    <row r="4066" spans="1:3" x14ac:dyDescent="0.3">
      <c r="A4066" t="s">
        <v>4065</v>
      </c>
      <c r="B4066">
        <f>7.29796*(1-0.8198)</f>
        <v>1.3150923920000004</v>
      </c>
      <c r="C4066" s="1">
        <v>22</v>
      </c>
    </row>
    <row r="4067" spans="1:3" x14ac:dyDescent="0.3">
      <c r="A4067" t="s">
        <v>4066</v>
      </c>
      <c r="B4067">
        <f>5.9469*(1-0.8198)</f>
        <v>1.0716313800000004</v>
      </c>
      <c r="C4067" s="1">
        <v>15</v>
      </c>
    </row>
    <row r="4068" spans="1:3" x14ac:dyDescent="0.3">
      <c r="A4068" t="s">
        <v>4067</v>
      </c>
      <c r="B4068">
        <f>40.8892730671429*(1-0.8198)</f>
        <v>7.3682470066991446</v>
      </c>
      <c r="C4068" s="1">
        <v>20</v>
      </c>
    </row>
    <row r="4069" spans="1:3" x14ac:dyDescent="0.3">
      <c r="A4069" t="s">
        <v>4068</v>
      </c>
      <c r="B4069">
        <f>61.4285714285714*(1-0.8198)</f>
        <v>11.069428571428574</v>
      </c>
      <c r="C4069" s="1">
        <v>15</v>
      </c>
    </row>
    <row r="4070" spans="1:3" x14ac:dyDescent="0.3">
      <c r="A4070" t="s">
        <v>4069</v>
      </c>
      <c r="B4070">
        <f>58.6562212485714*(1-0.8198)</f>
        <v>10.569851068992575</v>
      </c>
      <c r="C4070" s="1">
        <v>15</v>
      </c>
    </row>
    <row r="4071" spans="1:3" x14ac:dyDescent="0.3">
      <c r="A4071" t="s">
        <v>4070</v>
      </c>
      <c r="B4071">
        <f>38.6358498357143*(1-0.8198)</f>
        <v>6.9621801403957146</v>
      </c>
      <c r="C4071" s="1">
        <v>14</v>
      </c>
    </row>
    <row r="4072" spans="1:3" x14ac:dyDescent="0.3">
      <c r="A4072" t="s">
        <v>4071</v>
      </c>
      <c r="B4072">
        <f>51.3261220657143*(1-0.8198)</f>
        <v>9.2489671962417166</v>
      </c>
      <c r="C4072" s="1">
        <v>6</v>
      </c>
    </row>
    <row r="4073" spans="1:3" x14ac:dyDescent="0.3">
      <c r="A4073" t="s">
        <v>4072</v>
      </c>
      <c r="B4073">
        <f>40.0879893214286*(1-0.8198)</f>
        <v>7.2238556757214303</v>
      </c>
      <c r="C4073" s="1">
        <v>6</v>
      </c>
    </row>
    <row r="4074" spans="1:3" x14ac:dyDescent="0.3">
      <c r="A4074" t="s">
        <v>4073</v>
      </c>
      <c r="B4074">
        <f>28.0939022028571*(1-0.8198)</f>
        <v>5.0625211769548581</v>
      </c>
      <c r="C4074" s="1">
        <v>4</v>
      </c>
    </row>
    <row r="4075" spans="1:3" x14ac:dyDescent="0.3">
      <c r="A4075" t="s">
        <v>4074</v>
      </c>
      <c r="B4075">
        <f>17.7874742314286*(1-0.8198)</f>
        <v>3.2053028565034292</v>
      </c>
      <c r="C4075" s="1">
        <v>5</v>
      </c>
    </row>
    <row r="4076" spans="1:3" x14ac:dyDescent="0.3">
      <c r="A4076" t="s">
        <v>4075</v>
      </c>
      <c r="B4076">
        <f>6.42294255714286*(1-0.8198)</f>
        <v>1.1574142487971433</v>
      </c>
      <c r="C4076" s="1">
        <v>5</v>
      </c>
    </row>
    <row r="4077" spans="1:3" x14ac:dyDescent="0.3">
      <c r="A4077" t="s">
        <v>4076</v>
      </c>
      <c r="B4077">
        <f>0*(1-0.8198)</f>
        <v>0</v>
      </c>
      <c r="C4077" s="1">
        <v>6</v>
      </c>
    </row>
    <row r="4078" spans="1:3" x14ac:dyDescent="0.3">
      <c r="A4078" t="s">
        <v>4077</v>
      </c>
      <c r="B4078">
        <f>0*(1-0.8198)</f>
        <v>0</v>
      </c>
      <c r="C4078" s="1">
        <v>5</v>
      </c>
    </row>
    <row r="4079" spans="1:3" x14ac:dyDescent="0.3">
      <c r="A4079" t="s">
        <v>4078</v>
      </c>
      <c r="B4079">
        <f>0*(1-0.8198)</f>
        <v>0</v>
      </c>
      <c r="C4079" s="1">
        <v>5</v>
      </c>
    </row>
    <row r="4080" spans="1:3" x14ac:dyDescent="0.3">
      <c r="A4080" t="s">
        <v>4079</v>
      </c>
      <c r="B4080">
        <f>0*(1-0.8198)</f>
        <v>0</v>
      </c>
      <c r="C4080" s="1">
        <v>4</v>
      </c>
    </row>
    <row r="4081" spans="1:3" x14ac:dyDescent="0.3">
      <c r="A4081" t="s">
        <v>4080</v>
      </c>
      <c r="B4081">
        <f>0*(1-0.8198)</f>
        <v>0</v>
      </c>
      <c r="C4081" s="1">
        <v>3</v>
      </c>
    </row>
    <row r="4082" spans="1:3" x14ac:dyDescent="0.3">
      <c r="A4082" t="s">
        <v>4081</v>
      </c>
      <c r="B4082">
        <f>0*(1-0.8198)</f>
        <v>0</v>
      </c>
      <c r="C4082" s="1">
        <v>2</v>
      </c>
    </row>
    <row r="4083" spans="1:3" x14ac:dyDescent="0.3">
      <c r="A4083" t="s">
        <v>4082</v>
      </c>
      <c r="B4083">
        <f>0*(1-0.8198)</f>
        <v>0</v>
      </c>
      <c r="C4083" s="1">
        <v>3</v>
      </c>
    </row>
    <row r="4084" spans="1:3" x14ac:dyDescent="0.3">
      <c r="A4084" t="s">
        <v>4083</v>
      </c>
      <c r="B4084">
        <f>0*(1-0.8198)</f>
        <v>0</v>
      </c>
      <c r="C4084" s="1">
        <v>2</v>
      </c>
    </row>
    <row r="4085" spans="1:3" x14ac:dyDescent="0.3">
      <c r="A4085" t="s">
        <v>4084</v>
      </c>
      <c r="B4085">
        <f>0*(1-0.8198)</f>
        <v>0</v>
      </c>
      <c r="C4085" s="1">
        <v>2</v>
      </c>
    </row>
    <row r="4086" spans="1:3" x14ac:dyDescent="0.3">
      <c r="A4086" t="s">
        <v>4085</v>
      </c>
      <c r="B4086">
        <f>0*(1-0.8198)</f>
        <v>0</v>
      </c>
      <c r="C4086" s="1">
        <v>3</v>
      </c>
    </row>
    <row r="4087" spans="1:3" x14ac:dyDescent="0.3">
      <c r="A4087" t="s">
        <v>4086</v>
      </c>
      <c r="B4087">
        <f>3.89672966*(1-0.8198)</f>
        <v>0.70219068473200019</v>
      </c>
      <c r="C4087" s="1">
        <v>2</v>
      </c>
    </row>
    <row r="4088" spans="1:3" x14ac:dyDescent="0.3">
      <c r="A4088" t="s">
        <v>4087</v>
      </c>
      <c r="B4088">
        <f>12.2404054314286*(1-0.8198)</f>
        <v>2.2057210587434293</v>
      </c>
      <c r="C4088" s="1">
        <v>9</v>
      </c>
    </row>
    <row r="4089" spans="1:3" x14ac:dyDescent="0.3">
      <c r="A4089" t="s">
        <v>4088</v>
      </c>
      <c r="B4089">
        <f>19.0094096542857*(1-0.8198)</f>
        <v>3.4254956197022866</v>
      </c>
      <c r="C4089" s="1">
        <v>15</v>
      </c>
    </row>
    <row r="4090" spans="1:3" x14ac:dyDescent="0.3">
      <c r="A4090" t="s">
        <v>4089</v>
      </c>
      <c r="B4090">
        <f>12.4160343242857*(1-0.8198)</f>
        <v>2.2373693852362866</v>
      </c>
      <c r="C4090" s="1">
        <v>18</v>
      </c>
    </row>
    <row r="4091" spans="1:3" x14ac:dyDescent="0.3">
      <c r="A4091" t="s">
        <v>4090</v>
      </c>
      <c r="B4091">
        <f>24.2544754485714*(1-0.8198)</f>
        <v>4.3706564758325728</v>
      </c>
      <c r="C4091" s="1">
        <v>17</v>
      </c>
    </row>
    <row r="4092" spans="1:3" x14ac:dyDescent="0.3">
      <c r="A4092" t="s">
        <v>4091</v>
      </c>
      <c r="B4092">
        <f>17.5355712628571*(1-0.8198)</f>
        <v>3.1599099415668581</v>
      </c>
      <c r="C4092" s="1">
        <v>16</v>
      </c>
    </row>
    <row r="4093" spans="1:3" x14ac:dyDescent="0.3">
      <c r="A4093" t="s">
        <v>4092</v>
      </c>
      <c r="B4093">
        <f>21.1241892142857*(1-0.8198)</f>
        <v>3.8065788964142855</v>
      </c>
      <c r="C4093" s="1">
        <v>16</v>
      </c>
    </row>
    <row r="4094" spans="1:3" x14ac:dyDescent="0.3">
      <c r="A4094" t="s">
        <v>4093</v>
      </c>
      <c r="B4094">
        <f>42.5491061771429*(1-0.8198)</f>
        <v>7.6673489331211435</v>
      </c>
      <c r="C4094" s="1">
        <v>14</v>
      </c>
    </row>
    <row r="4095" spans="1:3" x14ac:dyDescent="0.3">
      <c r="A4095" t="s">
        <v>4094</v>
      </c>
      <c r="B4095">
        <f>56.8058840714286*(1-0.8198)</f>
        <v>10.236420309671431</v>
      </c>
      <c r="C4095" s="1">
        <v>12</v>
      </c>
    </row>
    <row r="4096" spans="1:3" x14ac:dyDescent="0.3">
      <c r="A4096" t="s">
        <v>4095</v>
      </c>
      <c r="B4096">
        <f>50.5181932228571*(1-0.8198)</f>
        <v>9.1033784187588598</v>
      </c>
      <c r="C4096" s="1">
        <v>7</v>
      </c>
    </row>
    <row r="4097" spans="1:3" x14ac:dyDescent="0.3">
      <c r="A4097" t="s">
        <v>4096</v>
      </c>
      <c r="B4097">
        <f>41.5676389785714*(1-0.8198)</f>
        <v>7.4904885439385733</v>
      </c>
      <c r="C4097" s="1">
        <v>5</v>
      </c>
    </row>
    <row r="4098" spans="1:3" x14ac:dyDescent="0.3">
      <c r="A4098" t="s">
        <v>4097</v>
      </c>
      <c r="B4098">
        <f>29.9774775814286*(1-0.8198)</f>
        <v>5.4019414601734299</v>
      </c>
      <c r="C4098" s="1">
        <v>6</v>
      </c>
    </row>
    <row r="4099" spans="1:3" x14ac:dyDescent="0.3">
      <c r="A4099" t="s">
        <v>4098</v>
      </c>
      <c r="B4099">
        <f>17.0692605271429*(1-0.8198)</f>
        <v>3.0758807469911429</v>
      </c>
      <c r="C4099" s="1">
        <v>5</v>
      </c>
    </row>
    <row r="4100" spans="1:3" x14ac:dyDescent="0.3">
      <c r="A4100" t="s">
        <v>4099</v>
      </c>
      <c r="B4100">
        <f>6.42648784571429*(1-0.8198)</f>
        <v>1.1580531097977145</v>
      </c>
      <c r="C4100" s="1">
        <v>6</v>
      </c>
    </row>
    <row r="4101" spans="1:3" x14ac:dyDescent="0.3">
      <c r="A4101" t="s">
        <v>4100</v>
      </c>
      <c r="B4101">
        <f>0*(1-0.8198)</f>
        <v>0</v>
      </c>
      <c r="C4101" s="1">
        <v>6</v>
      </c>
    </row>
    <row r="4102" spans="1:3" x14ac:dyDescent="0.3">
      <c r="A4102" t="s">
        <v>4101</v>
      </c>
      <c r="B4102">
        <f>0*(1-0.8198)</f>
        <v>0</v>
      </c>
      <c r="C4102" s="1">
        <v>6</v>
      </c>
    </row>
    <row r="4103" spans="1:3" x14ac:dyDescent="0.3">
      <c r="A4103" t="s">
        <v>4102</v>
      </c>
      <c r="B4103">
        <f>0*(1-0.8198)</f>
        <v>0</v>
      </c>
      <c r="C4103" s="1">
        <v>5</v>
      </c>
    </row>
    <row r="4104" spans="1:3" x14ac:dyDescent="0.3">
      <c r="A4104" t="s">
        <v>4103</v>
      </c>
      <c r="B4104">
        <f>0*(1-0.8198)</f>
        <v>0</v>
      </c>
      <c r="C4104" s="1">
        <v>5</v>
      </c>
    </row>
    <row r="4105" spans="1:3" x14ac:dyDescent="0.3">
      <c r="A4105" t="s">
        <v>4104</v>
      </c>
      <c r="B4105">
        <f>0*(1-0.8198)</f>
        <v>0</v>
      </c>
      <c r="C4105" s="1">
        <v>2</v>
      </c>
    </row>
    <row r="4106" spans="1:3" x14ac:dyDescent="0.3">
      <c r="A4106" t="s">
        <v>4105</v>
      </c>
      <c r="B4106">
        <f>0*(1-0.8198)</f>
        <v>0</v>
      </c>
      <c r="C4106" s="1">
        <v>2</v>
      </c>
    </row>
    <row r="4107" spans="1:3" x14ac:dyDescent="0.3">
      <c r="A4107" t="s">
        <v>4106</v>
      </c>
      <c r="B4107">
        <f>0*(1-0.8198)</f>
        <v>0</v>
      </c>
      <c r="C4107" s="1">
        <v>2</v>
      </c>
    </row>
    <row r="4108" spans="1:3" x14ac:dyDescent="0.3">
      <c r="A4108" t="s">
        <v>4107</v>
      </c>
      <c r="B4108">
        <f>0*(1-0.8198)</f>
        <v>0</v>
      </c>
      <c r="C4108" s="1">
        <v>3</v>
      </c>
    </row>
    <row r="4109" spans="1:3" x14ac:dyDescent="0.3">
      <c r="A4109" t="s">
        <v>4108</v>
      </c>
      <c r="B4109">
        <f>0*(1-0.8198)</f>
        <v>0</v>
      </c>
      <c r="C4109" s="1">
        <v>2</v>
      </c>
    </row>
    <row r="4110" spans="1:3" x14ac:dyDescent="0.3">
      <c r="A4110" t="s">
        <v>4109</v>
      </c>
      <c r="B4110">
        <f>0*(1-0.8198)</f>
        <v>0</v>
      </c>
      <c r="C4110" s="1">
        <v>2</v>
      </c>
    </row>
    <row r="4111" spans="1:3" x14ac:dyDescent="0.3">
      <c r="A4111" t="s">
        <v>4110</v>
      </c>
      <c r="B4111">
        <f>1.05965004428571*(1-0.8198)</f>
        <v>0.19094893798028575</v>
      </c>
      <c r="C4111" s="1">
        <v>3</v>
      </c>
    </row>
    <row r="4112" spans="1:3" x14ac:dyDescent="0.3">
      <c r="A4112" t="s">
        <v>4111</v>
      </c>
      <c r="B4112">
        <f>14.23777042*(1-0.8198)</f>
        <v>2.5656462296839999</v>
      </c>
      <c r="C4112" s="1">
        <v>6</v>
      </c>
    </row>
    <row r="4113" spans="1:3" x14ac:dyDescent="0.3">
      <c r="A4113" t="s">
        <v>4112</v>
      </c>
      <c r="B4113">
        <f>25.3327992871429*(1-0.8198)</f>
        <v>4.5649704315431441</v>
      </c>
      <c r="C4113" s="1">
        <v>13</v>
      </c>
    </row>
    <row r="4114" spans="1:3" x14ac:dyDescent="0.3">
      <c r="A4114" t="s">
        <v>4113</v>
      </c>
      <c r="B4114">
        <f>36.80074418*(1-0.8198)</f>
        <v>6.6314941012360018</v>
      </c>
      <c r="C4114" s="1">
        <v>13</v>
      </c>
    </row>
    <row r="4115" spans="1:3" x14ac:dyDescent="0.3">
      <c r="A4115" t="s">
        <v>4114</v>
      </c>
      <c r="B4115">
        <f>45.9454459428572*(1-0.8198)</f>
        <v>8.2793693589028603</v>
      </c>
      <c r="C4115" s="1">
        <v>16</v>
      </c>
    </row>
    <row r="4116" spans="1:3" x14ac:dyDescent="0.3">
      <c r="A4116" t="s">
        <v>4115</v>
      </c>
      <c r="B4116">
        <f>47.7401042014286*(1-0.8198)</f>
        <v>8.6027667770974308</v>
      </c>
      <c r="C4116" s="1">
        <v>23</v>
      </c>
    </row>
    <row r="4117" spans="1:3" x14ac:dyDescent="0.3">
      <c r="A4117" t="s">
        <v>4116</v>
      </c>
      <c r="B4117">
        <f>48.1229823442857*(1-0.8198)</f>
        <v>8.6717614184402869</v>
      </c>
      <c r="C4117" s="1">
        <v>15</v>
      </c>
    </row>
    <row r="4118" spans="1:3" x14ac:dyDescent="0.3">
      <c r="A4118" t="s">
        <v>4117</v>
      </c>
      <c r="B4118">
        <f>52.9682114714286*(1-0.8198)</f>
        <v>9.5448717071514313</v>
      </c>
      <c r="C4118" s="1">
        <v>14</v>
      </c>
    </row>
    <row r="4119" spans="1:3" x14ac:dyDescent="0.3">
      <c r="A4119" t="s">
        <v>4118</v>
      </c>
      <c r="B4119">
        <f>30.9078368228571*(1-0.8198)</f>
        <v>5.5695921954788581</v>
      </c>
      <c r="C4119" s="1">
        <v>10</v>
      </c>
    </row>
    <row r="4120" spans="1:3" x14ac:dyDescent="0.3">
      <c r="A4120" t="s">
        <v>4119</v>
      </c>
      <c r="B4120">
        <f>49.9078573657143*(1-0.8198)</f>
        <v>8.993395897301717</v>
      </c>
      <c r="C4120" s="1">
        <v>7</v>
      </c>
    </row>
    <row r="4121" spans="1:3" x14ac:dyDescent="0.3">
      <c r="A4121" t="s">
        <v>4120</v>
      </c>
      <c r="B4121">
        <f>43.6066060985714*(1-0.8198)</f>
        <v>7.8579104189625717</v>
      </c>
      <c r="C4121" s="1">
        <v>5</v>
      </c>
    </row>
    <row r="4122" spans="1:3" x14ac:dyDescent="0.3">
      <c r="A4122" t="s">
        <v>4121</v>
      </c>
      <c r="B4122">
        <f>30.8115813842857*(1-0.8198)</f>
        <v>5.5522469654482869</v>
      </c>
      <c r="C4122" s="1">
        <v>5</v>
      </c>
    </row>
    <row r="4123" spans="1:3" x14ac:dyDescent="0.3">
      <c r="A4123" t="s">
        <v>4122</v>
      </c>
      <c r="B4123">
        <f>14.4431574014286*(1-0.8198)</f>
        <v>2.6026569637374295</v>
      </c>
      <c r="C4123" s="1">
        <v>5</v>
      </c>
    </row>
    <row r="4124" spans="1:3" x14ac:dyDescent="0.3">
      <c r="A4124" t="s">
        <v>4123</v>
      </c>
      <c r="B4124">
        <f>6.11309536857143*(1-0.8198)</f>
        <v>1.1015797854165716</v>
      </c>
      <c r="C4124" s="1">
        <v>5</v>
      </c>
    </row>
    <row r="4125" spans="1:3" x14ac:dyDescent="0.3">
      <c r="A4125" t="s">
        <v>4124</v>
      </c>
      <c r="B4125">
        <f>0*(1-0.8198)</f>
        <v>0</v>
      </c>
      <c r="C4125" s="1">
        <v>5</v>
      </c>
    </row>
    <row r="4126" spans="1:3" x14ac:dyDescent="0.3">
      <c r="A4126" t="s">
        <v>4125</v>
      </c>
      <c r="B4126">
        <f>0*(1-0.8198)</f>
        <v>0</v>
      </c>
      <c r="C4126" s="1">
        <v>5</v>
      </c>
    </row>
    <row r="4127" spans="1:3" x14ac:dyDescent="0.3">
      <c r="A4127" t="s">
        <v>4126</v>
      </c>
      <c r="B4127">
        <f>0*(1-0.8198)</f>
        <v>0</v>
      </c>
      <c r="C4127" s="1">
        <v>5</v>
      </c>
    </row>
    <row r="4128" spans="1:3" x14ac:dyDescent="0.3">
      <c r="A4128" t="s">
        <v>4127</v>
      </c>
      <c r="B4128">
        <f>0*(1-0.8198)</f>
        <v>0</v>
      </c>
      <c r="C4128" s="1">
        <v>5</v>
      </c>
    </row>
    <row r="4129" spans="1:3" x14ac:dyDescent="0.3">
      <c r="A4129" t="s">
        <v>4128</v>
      </c>
      <c r="B4129">
        <f>0*(1-0.8198)</f>
        <v>0</v>
      </c>
      <c r="C4129" s="1">
        <v>2</v>
      </c>
    </row>
    <row r="4130" spans="1:3" x14ac:dyDescent="0.3">
      <c r="A4130" t="s">
        <v>4129</v>
      </c>
      <c r="B4130">
        <f>0*(1-0.8198)</f>
        <v>0</v>
      </c>
      <c r="C4130" s="1">
        <v>2</v>
      </c>
    </row>
    <row r="4131" spans="1:3" x14ac:dyDescent="0.3">
      <c r="A4131" t="s">
        <v>4130</v>
      </c>
      <c r="B4131">
        <f>0*(1-0.8198)</f>
        <v>0</v>
      </c>
      <c r="C4131" s="1">
        <v>3</v>
      </c>
    </row>
    <row r="4132" spans="1:3" x14ac:dyDescent="0.3">
      <c r="A4132" t="s">
        <v>4131</v>
      </c>
      <c r="B4132">
        <f>0*(1-0.8198)</f>
        <v>0</v>
      </c>
      <c r="C4132" s="1">
        <v>2</v>
      </c>
    </row>
    <row r="4133" spans="1:3" x14ac:dyDescent="0.3">
      <c r="A4133" t="s">
        <v>4132</v>
      </c>
      <c r="B4133">
        <f>0*(1-0.8198)</f>
        <v>0</v>
      </c>
      <c r="C4133" s="1">
        <v>2</v>
      </c>
    </row>
    <row r="4134" spans="1:3" x14ac:dyDescent="0.3">
      <c r="A4134" t="s">
        <v>4133</v>
      </c>
      <c r="B4134">
        <f>0*(1-0.8198)</f>
        <v>0</v>
      </c>
      <c r="C4134" s="1">
        <v>3</v>
      </c>
    </row>
    <row r="4135" spans="1:3" x14ac:dyDescent="0.3">
      <c r="A4135" t="s">
        <v>4134</v>
      </c>
      <c r="B4135">
        <f>3.92670090571429*(1-0.8198)</f>
        <v>0.70759150320971442</v>
      </c>
      <c r="C4135" s="1">
        <v>2</v>
      </c>
    </row>
    <row r="4136" spans="1:3" x14ac:dyDescent="0.3">
      <c r="A4136" t="s">
        <v>4135</v>
      </c>
      <c r="B4136">
        <f>13.3069805642857*(1-0.8198)</f>
        <v>2.3979178976842865</v>
      </c>
      <c r="C4136" s="1">
        <v>2</v>
      </c>
    </row>
    <row r="4137" spans="1:3" x14ac:dyDescent="0.3">
      <c r="A4137" t="s">
        <v>4136</v>
      </c>
      <c r="B4137">
        <f>21.4541315314286*(1-0.8198)</f>
        <v>3.8660345019634286</v>
      </c>
      <c r="C4137" s="1">
        <v>2</v>
      </c>
    </row>
    <row r="4138" spans="1:3" x14ac:dyDescent="0.3">
      <c r="A4138" t="s">
        <v>4137</v>
      </c>
      <c r="B4138">
        <f>41.3869037128571*(1-0.8198)</f>
        <v>7.4579200490568596</v>
      </c>
      <c r="C4138" s="1">
        <v>3</v>
      </c>
    </row>
    <row r="4139" spans="1:3" x14ac:dyDescent="0.3">
      <c r="A4139" t="s">
        <v>4138</v>
      </c>
      <c r="B4139">
        <f>50.8438470885714*(1-0.8198)</f>
        <v>9.1620612453605723</v>
      </c>
      <c r="C4139" s="1">
        <v>2</v>
      </c>
    </row>
    <row r="4140" spans="1:3" x14ac:dyDescent="0.3">
      <c r="A4140" t="s">
        <v>4139</v>
      </c>
      <c r="B4140">
        <f>56.7470648628571*(1-0.8198)</f>
        <v>10.225821088286859</v>
      </c>
      <c r="C4140" s="1">
        <v>2</v>
      </c>
    </row>
    <row r="4141" spans="1:3" x14ac:dyDescent="0.3">
      <c r="A4141" t="s">
        <v>4140</v>
      </c>
      <c r="B4141">
        <f>59.0818642428571*(1-0.8198)</f>
        <v>10.646551936562858</v>
      </c>
      <c r="C4141" s="1">
        <v>2</v>
      </c>
    </row>
    <row r="4142" spans="1:3" x14ac:dyDescent="0.3">
      <c r="A4142" t="s">
        <v>4141</v>
      </c>
      <c r="B4142">
        <f>60.9490090757143*(1-0.8198)</f>
        <v>10.983011435443718</v>
      </c>
      <c r="C4142" s="1">
        <v>3</v>
      </c>
    </row>
    <row r="4143" spans="1:3" x14ac:dyDescent="0.3">
      <c r="A4143" t="s">
        <v>4142</v>
      </c>
      <c r="B4143">
        <f>57.5945034571429*(1-0.8198)</f>
        <v>10.378529522977146</v>
      </c>
      <c r="C4143" s="1">
        <v>2</v>
      </c>
    </row>
    <row r="4144" spans="1:3" x14ac:dyDescent="0.3">
      <c r="A4144" t="s">
        <v>4143</v>
      </c>
      <c r="B4144">
        <f>51.7777706*(1-0.8198)</f>
        <v>9.3303542621200002</v>
      </c>
      <c r="C4144" s="1">
        <v>2</v>
      </c>
    </row>
    <row r="4145" spans="1:3" x14ac:dyDescent="0.3">
      <c r="A4145" t="s">
        <v>4144</v>
      </c>
      <c r="B4145">
        <f>41.7848476428571*(1-0.8198)</f>
        <v>7.529629545242857</v>
      </c>
      <c r="C4145" s="1">
        <v>3</v>
      </c>
    </row>
    <row r="4146" spans="1:3" x14ac:dyDescent="0.3">
      <c r="A4146" t="s">
        <v>4145</v>
      </c>
      <c r="B4146">
        <f>27.9738650614286*(1-0.8198)</f>
        <v>5.0408904840694291</v>
      </c>
      <c r="C4146" s="1">
        <v>2</v>
      </c>
    </row>
    <row r="4147" spans="1:3" x14ac:dyDescent="0.3">
      <c r="A4147" t="s">
        <v>4146</v>
      </c>
      <c r="B4147">
        <f>18.1257639542857*(1-0.8198)</f>
        <v>3.2662626645622872</v>
      </c>
      <c r="C4147" s="1">
        <v>2</v>
      </c>
    </row>
    <row r="4148" spans="1:3" x14ac:dyDescent="0.3">
      <c r="A4148" t="s">
        <v>4147</v>
      </c>
      <c r="B4148">
        <f>6.79799543714286*(1-0.8198)</f>
        <v>1.2249987777731428</v>
      </c>
      <c r="C4148" s="1">
        <v>3</v>
      </c>
    </row>
    <row r="4149" spans="1:3" x14ac:dyDescent="0.3">
      <c r="A4149" t="s">
        <v>4148</v>
      </c>
      <c r="B4149">
        <f>0*(1-0.8198)</f>
        <v>0</v>
      </c>
      <c r="C4149" s="1">
        <v>2</v>
      </c>
    </row>
    <row r="4150" spans="1:3" x14ac:dyDescent="0.3">
      <c r="A4150" t="s">
        <v>4149</v>
      </c>
      <c r="B4150">
        <f>0*(1-0.8198)</f>
        <v>0</v>
      </c>
      <c r="C4150" s="1">
        <v>2</v>
      </c>
    </row>
    <row r="4151" spans="1:3" x14ac:dyDescent="0.3">
      <c r="A4151" t="s">
        <v>4150</v>
      </c>
      <c r="B4151">
        <f>0*(1-0.8198)</f>
        <v>0</v>
      </c>
      <c r="C4151" s="1">
        <v>3</v>
      </c>
    </row>
    <row r="4152" spans="1:3" x14ac:dyDescent="0.3">
      <c r="A4152" t="s">
        <v>4151</v>
      </c>
      <c r="B4152">
        <f>0*(1-0.8198)</f>
        <v>0</v>
      </c>
      <c r="C4152" s="1">
        <v>2</v>
      </c>
    </row>
    <row r="4153" spans="1:3" x14ac:dyDescent="0.3">
      <c r="A4153" t="s">
        <v>4152</v>
      </c>
      <c r="B4153">
        <f>0*(1-0.8198)</f>
        <v>0</v>
      </c>
      <c r="C4153" s="1">
        <v>2</v>
      </c>
    </row>
    <row r="4154" spans="1:3" x14ac:dyDescent="0.3">
      <c r="A4154" t="s">
        <v>4153</v>
      </c>
      <c r="B4154">
        <f>0*(1-0.8198)</f>
        <v>0</v>
      </c>
      <c r="C4154" s="1">
        <v>2</v>
      </c>
    </row>
    <row r="4155" spans="1:3" x14ac:dyDescent="0.3">
      <c r="A4155" t="s">
        <v>4154</v>
      </c>
      <c r="B4155">
        <f>0*(1-0.8198)</f>
        <v>0</v>
      </c>
      <c r="C4155" s="1">
        <v>3</v>
      </c>
    </row>
    <row r="4156" spans="1:3" x14ac:dyDescent="0.3">
      <c r="A4156" t="s">
        <v>4155</v>
      </c>
      <c r="B4156">
        <f>0*(1-0.8198)</f>
        <v>0</v>
      </c>
      <c r="C4156" s="1">
        <v>2</v>
      </c>
    </row>
    <row r="4157" spans="1:3" x14ac:dyDescent="0.3">
      <c r="A4157" t="s">
        <v>4156</v>
      </c>
      <c r="B4157">
        <f>0*(1-0.8198)</f>
        <v>0</v>
      </c>
      <c r="C4157" s="1">
        <v>2</v>
      </c>
    </row>
    <row r="4158" spans="1:3" x14ac:dyDescent="0.3">
      <c r="A4158" t="s">
        <v>4157</v>
      </c>
      <c r="B4158">
        <f>0*(1-0.8198)</f>
        <v>0</v>
      </c>
      <c r="C4158" s="1">
        <v>3</v>
      </c>
    </row>
    <row r="4159" spans="1:3" x14ac:dyDescent="0.3">
      <c r="A4159" t="s">
        <v>4158</v>
      </c>
      <c r="B4159">
        <f>4.16998698142857*(1-0.8198)</f>
        <v>0.7514316540534286</v>
      </c>
      <c r="C4159" s="1">
        <v>2</v>
      </c>
    </row>
    <row r="4160" spans="1:3" x14ac:dyDescent="0.3">
      <c r="A4160" t="s">
        <v>4159</v>
      </c>
      <c r="B4160">
        <f>16.0236765814286*(1-0.8198)</f>
        <v>2.8874665199734291</v>
      </c>
      <c r="C4160" s="1">
        <v>2</v>
      </c>
    </row>
    <row r="4161" spans="1:3" x14ac:dyDescent="0.3">
      <c r="A4161" t="s">
        <v>4160</v>
      </c>
      <c r="B4161">
        <f>29.5637063957143*(1-0.8198)</f>
        <v>5.3273798925077163</v>
      </c>
      <c r="C4161" s="1">
        <v>2</v>
      </c>
    </row>
    <row r="4162" spans="1:3" x14ac:dyDescent="0.3">
      <c r="A4162" t="s">
        <v>4161</v>
      </c>
      <c r="B4162">
        <f>41.65436746*(1-0.8198)</f>
        <v>7.506117016292003</v>
      </c>
      <c r="C4162" s="1">
        <v>3</v>
      </c>
    </row>
    <row r="4163" spans="1:3" x14ac:dyDescent="0.3">
      <c r="A4163" t="s">
        <v>4162</v>
      </c>
      <c r="B4163">
        <f>47.0428846942857*(1-0.8198)</f>
        <v>8.4771278219102886</v>
      </c>
      <c r="C4163" s="1">
        <v>2</v>
      </c>
    </row>
    <row r="4164" spans="1:3" x14ac:dyDescent="0.3">
      <c r="A4164" t="s">
        <v>4163</v>
      </c>
      <c r="B4164">
        <f>57.24378956*(1-0.8198)</f>
        <v>10.315330878712002</v>
      </c>
      <c r="C4164" s="1">
        <v>2</v>
      </c>
    </row>
    <row r="4165" spans="1:3" x14ac:dyDescent="0.3">
      <c r="A4165" t="s">
        <v>4164</v>
      </c>
      <c r="B4165">
        <f>61.4285714285714*(1-0.8198)</f>
        <v>11.069428571428574</v>
      </c>
      <c r="C4165" s="1">
        <v>2</v>
      </c>
    </row>
    <row r="4166" spans="1:3" x14ac:dyDescent="0.3">
      <c r="A4166" t="s">
        <v>4165</v>
      </c>
      <c r="B4166">
        <f>61.4285714285714*(1-0.8198)</f>
        <v>11.069428571428574</v>
      </c>
      <c r="C4166" s="1">
        <v>3</v>
      </c>
    </row>
    <row r="4167" spans="1:3" x14ac:dyDescent="0.3">
      <c r="A4167" t="s">
        <v>4166</v>
      </c>
      <c r="B4167">
        <f>58.44315502*(1-0.8198)</f>
        <v>10.531456534604001</v>
      </c>
      <c r="C4167" s="1">
        <v>2</v>
      </c>
    </row>
    <row r="4168" spans="1:3" x14ac:dyDescent="0.3">
      <c r="A4168" t="s">
        <v>4167</v>
      </c>
      <c r="B4168">
        <f>53.8804497757143*(1-0.8198)</f>
        <v>9.7092570495837176</v>
      </c>
      <c r="C4168" s="1">
        <v>2</v>
      </c>
    </row>
    <row r="4169" spans="1:3" x14ac:dyDescent="0.3">
      <c r="A4169" t="s">
        <v>4168</v>
      </c>
      <c r="B4169">
        <f>44.8058158985714*(1-0.8198)</f>
        <v>8.0740080249225752</v>
      </c>
      <c r="C4169" s="1">
        <v>2</v>
      </c>
    </row>
    <row r="4170" spans="1:3" x14ac:dyDescent="0.3">
      <c r="A4170" t="s">
        <v>4169</v>
      </c>
      <c r="B4170">
        <f>32.5018989142857*(1-0.8198)</f>
        <v>5.8568421843542886</v>
      </c>
      <c r="C4170" s="1">
        <v>3</v>
      </c>
    </row>
    <row r="4171" spans="1:3" x14ac:dyDescent="0.3">
      <c r="A4171" t="s">
        <v>4170</v>
      </c>
      <c r="B4171">
        <f>18.8555631485714*(1-0.8198)</f>
        <v>3.3977724793725717</v>
      </c>
      <c r="C4171" s="1">
        <v>2</v>
      </c>
    </row>
    <row r="4172" spans="1:3" x14ac:dyDescent="0.3">
      <c r="A4172" t="s">
        <v>4171</v>
      </c>
      <c r="B4172">
        <f>6.86834601714286*(1-0.8198)</f>
        <v>1.237675952289143</v>
      </c>
      <c r="C4172" s="1">
        <v>2</v>
      </c>
    </row>
    <row r="4173" spans="1:3" x14ac:dyDescent="0.3">
      <c r="A4173" t="s">
        <v>4172</v>
      </c>
      <c r="B4173">
        <f>0*(1-0.8198)</f>
        <v>0</v>
      </c>
      <c r="C4173" s="1">
        <v>2</v>
      </c>
    </row>
    <row r="4174" spans="1:3" x14ac:dyDescent="0.3">
      <c r="A4174" t="s">
        <v>4173</v>
      </c>
      <c r="B4174">
        <f>0*(1-0.8198)</f>
        <v>0</v>
      </c>
      <c r="C4174" s="1">
        <v>2</v>
      </c>
    </row>
    <row r="4175" spans="1:3" x14ac:dyDescent="0.3">
      <c r="A4175" t="s">
        <v>4174</v>
      </c>
      <c r="B4175">
        <f>0*(1-0.8198)</f>
        <v>0</v>
      </c>
      <c r="C4175" s="1">
        <v>3</v>
      </c>
    </row>
    <row r="4176" spans="1:3" x14ac:dyDescent="0.3">
      <c r="A4176" t="s">
        <v>4175</v>
      </c>
      <c r="B4176">
        <f>0*(1-0.8198)</f>
        <v>0</v>
      </c>
      <c r="C4176" s="1">
        <v>2</v>
      </c>
    </row>
    <row r="4177" spans="1:3" x14ac:dyDescent="0.3">
      <c r="A4177" t="s">
        <v>4176</v>
      </c>
      <c r="B4177">
        <f>0*(1-0.8198)</f>
        <v>0</v>
      </c>
      <c r="C4177" s="1">
        <v>2</v>
      </c>
    </row>
    <row r="4178" spans="1:3" x14ac:dyDescent="0.3">
      <c r="A4178" t="s">
        <v>4177</v>
      </c>
      <c r="B4178">
        <f>0*(1-0.8198)</f>
        <v>0</v>
      </c>
      <c r="C4178" s="1">
        <v>2</v>
      </c>
    </row>
    <row r="4179" spans="1:3" x14ac:dyDescent="0.3">
      <c r="A4179" t="s">
        <v>4178</v>
      </c>
      <c r="B4179">
        <f>0*(1-0.8198)</f>
        <v>0</v>
      </c>
      <c r="C4179" s="1">
        <v>3</v>
      </c>
    </row>
    <row r="4180" spans="1:3" x14ac:dyDescent="0.3">
      <c r="A4180" t="s">
        <v>4179</v>
      </c>
      <c r="B4180">
        <f>0*(1-0.8198)</f>
        <v>0</v>
      </c>
      <c r="C4180" s="1">
        <v>2</v>
      </c>
    </row>
    <row r="4181" spans="1:3" x14ac:dyDescent="0.3">
      <c r="A4181" t="s">
        <v>4180</v>
      </c>
      <c r="B4181">
        <f>0*(1-0.8198)</f>
        <v>0</v>
      </c>
      <c r="C4181" s="1">
        <v>3</v>
      </c>
    </row>
    <row r="4182" spans="1:3" x14ac:dyDescent="0.3">
      <c r="A4182" t="s">
        <v>4181</v>
      </c>
      <c r="B4182">
        <f>0*(1-0.8198)</f>
        <v>0</v>
      </c>
      <c r="C4182" s="1">
        <v>2</v>
      </c>
    </row>
    <row r="4183" spans="1:3" x14ac:dyDescent="0.3">
      <c r="A4183" t="s">
        <v>4182</v>
      </c>
      <c r="B4183">
        <f>1.95959667571429*(1-0.8198)</f>
        <v>0.35311932096371429</v>
      </c>
      <c r="C4183" s="1">
        <v>2</v>
      </c>
    </row>
    <row r="4184" spans="1:3" x14ac:dyDescent="0.3">
      <c r="A4184" t="s">
        <v>4183</v>
      </c>
      <c r="B4184">
        <f>8.44268425428571*(1-0.8198)</f>
        <v>1.5213717026222859</v>
      </c>
      <c r="C4184" s="1">
        <v>3</v>
      </c>
    </row>
    <row r="4185" spans="1:3" x14ac:dyDescent="0.3">
      <c r="A4185" t="s">
        <v>4184</v>
      </c>
      <c r="B4185">
        <f>24.6834937585714*(1-0.8198)</f>
        <v>4.4479655752945719</v>
      </c>
      <c r="C4185" s="1">
        <v>2</v>
      </c>
    </row>
    <row r="4186" spans="1:3" x14ac:dyDescent="0.3">
      <c r="A4186" t="s">
        <v>4185</v>
      </c>
      <c r="B4186">
        <f>37.9632162542857*(1-0.8198)</f>
        <v>6.8409715690222859</v>
      </c>
      <c r="C4186" s="1">
        <v>2</v>
      </c>
    </row>
    <row r="4187" spans="1:3" x14ac:dyDescent="0.3">
      <c r="A4187" t="s">
        <v>4186</v>
      </c>
      <c r="B4187">
        <f>49.6334306285714*(1-0.8198)</f>
        <v>8.9439441992685733</v>
      </c>
      <c r="C4187" s="1">
        <v>2</v>
      </c>
    </row>
    <row r="4188" spans="1:3" x14ac:dyDescent="0.3">
      <c r="A4188" t="s">
        <v>4187</v>
      </c>
      <c r="B4188">
        <f>54.0724506114286*(1-0.8198)</f>
        <v>9.7438556001794296</v>
      </c>
      <c r="C4188" s="1">
        <v>3</v>
      </c>
    </row>
    <row r="4189" spans="1:3" x14ac:dyDescent="0.3">
      <c r="A4189" t="s">
        <v>4188</v>
      </c>
      <c r="B4189">
        <f>61.4285714285714*(1-0.8198)</f>
        <v>11.069428571428574</v>
      </c>
      <c r="C4189" s="1">
        <v>2</v>
      </c>
    </row>
    <row r="4190" spans="1:3" x14ac:dyDescent="0.3">
      <c r="A4190" t="s">
        <v>4189</v>
      </c>
      <c r="B4190">
        <f>61.4285714285714*(1-0.8198)</f>
        <v>11.069428571428574</v>
      </c>
      <c r="C4190" s="1">
        <v>2</v>
      </c>
    </row>
    <row r="4191" spans="1:3" x14ac:dyDescent="0.3">
      <c r="A4191" t="s">
        <v>4190</v>
      </c>
      <c r="B4191">
        <f>58.9049435685714*(1-0.8198)</f>
        <v>10.614670831056573</v>
      </c>
      <c r="C4191" s="1">
        <v>3</v>
      </c>
    </row>
    <row r="4192" spans="1:3" x14ac:dyDescent="0.3">
      <c r="A4192" t="s">
        <v>4191</v>
      </c>
      <c r="B4192">
        <f>53.90653118*(1-0.8198)</f>
        <v>9.7139569186360024</v>
      </c>
      <c r="C4192" s="1">
        <v>2</v>
      </c>
    </row>
    <row r="4193" spans="1:3" x14ac:dyDescent="0.3">
      <c r="A4193" t="s">
        <v>4192</v>
      </c>
      <c r="B4193">
        <f>44.7088924857143*(1-0.8198)</f>
        <v>8.0565424259257163</v>
      </c>
      <c r="C4193" s="1">
        <v>2</v>
      </c>
    </row>
    <row r="4194" spans="1:3" x14ac:dyDescent="0.3">
      <c r="A4194" t="s">
        <v>4193</v>
      </c>
      <c r="B4194">
        <f>32.2112550957143*(1-0.8198)</f>
        <v>5.8044681682477153</v>
      </c>
      <c r="C4194" s="1">
        <v>2</v>
      </c>
    </row>
    <row r="4195" spans="1:3" x14ac:dyDescent="0.3">
      <c r="A4195" t="s">
        <v>4194</v>
      </c>
      <c r="B4195">
        <f>18.6277967557143*(1-0.8198)</f>
        <v>3.3567289753797156</v>
      </c>
      <c r="C4195" s="1">
        <v>3</v>
      </c>
    </row>
    <row r="4196" spans="1:3" x14ac:dyDescent="0.3">
      <c r="A4196" t="s">
        <v>4195</v>
      </c>
      <c r="B4196">
        <f>6.82336979857143*(1-0.8198)</f>
        <v>1.2295712377025718</v>
      </c>
      <c r="C4196" s="1">
        <v>2</v>
      </c>
    </row>
    <row r="4197" spans="1:3" x14ac:dyDescent="0.3">
      <c r="A4197" t="s">
        <v>4196</v>
      </c>
      <c r="B4197">
        <f>0*(1-0.8198)</f>
        <v>0</v>
      </c>
      <c r="C4197" s="1">
        <v>2</v>
      </c>
    </row>
    <row r="4198" spans="1:3" x14ac:dyDescent="0.3">
      <c r="A4198" t="s">
        <v>4197</v>
      </c>
      <c r="B4198">
        <f>0*(1-0.8198)</f>
        <v>0</v>
      </c>
      <c r="C4198" s="1">
        <v>3</v>
      </c>
    </row>
    <row r="4199" spans="1:3" x14ac:dyDescent="0.3">
      <c r="A4199" t="s">
        <v>4198</v>
      </c>
      <c r="B4199">
        <f>0*(1-0.8198)</f>
        <v>0</v>
      </c>
      <c r="C4199" s="1">
        <v>2</v>
      </c>
    </row>
    <row r="4200" spans="1:3" x14ac:dyDescent="0.3">
      <c r="A4200" t="s">
        <v>4199</v>
      </c>
      <c r="B4200">
        <f>0*(1-0.8198)</f>
        <v>0</v>
      </c>
      <c r="C4200" s="1">
        <v>2</v>
      </c>
    </row>
    <row r="4201" spans="1:3" x14ac:dyDescent="0.3">
      <c r="A4201" t="s">
        <v>4200</v>
      </c>
      <c r="B4201">
        <f>0*(1-0.8198)</f>
        <v>0</v>
      </c>
      <c r="C4201" s="1">
        <v>3</v>
      </c>
    </row>
    <row r="4202" spans="1:3" x14ac:dyDescent="0.3">
      <c r="A4202" t="s">
        <v>4201</v>
      </c>
      <c r="B4202">
        <f>0*(1-0.8198)</f>
        <v>0</v>
      </c>
      <c r="C4202" s="1">
        <v>2</v>
      </c>
    </row>
    <row r="4203" spans="1:3" x14ac:dyDescent="0.3">
      <c r="A4203" t="s">
        <v>4202</v>
      </c>
      <c r="B4203">
        <f>0*(1-0.8198)</f>
        <v>0</v>
      </c>
      <c r="C4203" s="1">
        <v>2</v>
      </c>
    </row>
    <row r="4204" spans="1:3" x14ac:dyDescent="0.3">
      <c r="A4204" t="s">
        <v>4203</v>
      </c>
      <c r="B4204">
        <f>0*(1-0.8198)</f>
        <v>0</v>
      </c>
      <c r="C4204" s="1">
        <v>3</v>
      </c>
    </row>
    <row r="4205" spans="1:3" x14ac:dyDescent="0.3">
      <c r="A4205" t="s">
        <v>4204</v>
      </c>
      <c r="B4205">
        <f>0*(1-0.8198)</f>
        <v>0</v>
      </c>
      <c r="C4205" s="1">
        <v>2</v>
      </c>
    </row>
    <row r="4206" spans="1:3" x14ac:dyDescent="0.3">
      <c r="A4206" t="s">
        <v>4205</v>
      </c>
      <c r="B4206">
        <f>0*(1-0.8198)</f>
        <v>0</v>
      </c>
      <c r="C4206" s="1">
        <v>2</v>
      </c>
    </row>
    <row r="4207" spans="1:3" x14ac:dyDescent="0.3">
      <c r="A4207" t="s">
        <v>4206</v>
      </c>
      <c r="B4207">
        <f>4.10223452285714*(1-0.8198)</f>
        <v>0.73922266101885736</v>
      </c>
      <c r="C4207" s="1">
        <v>2</v>
      </c>
    </row>
    <row r="4208" spans="1:3" x14ac:dyDescent="0.3">
      <c r="A4208" t="s">
        <v>4207</v>
      </c>
      <c r="B4208">
        <f>15.8954964685714*(1-0.8198)</f>
        <v>2.8643684636365716</v>
      </c>
      <c r="C4208" s="1">
        <v>3</v>
      </c>
    </row>
    <row r="4209" spans="1:3" x14ac:dyDescent="0.3">
      <c r="A4209" t="s">
        <v>4208</v>
      </c>
      <c r="B4209">
        <f>29.0530345257143*(1-0.8198)</f>
        <v>5.2353568215337143</v>
      </c>
      <c r="C4209" s="1">
        <v>4</v>
      </c>
    </row>
    <row r="4210" spans="1:3" x14ac:dyDescent="0.3">
      <c r="A4210" t="s">
        <v>4209</v>
      </c>
      <c r="B4210">
        <f>41.4364297*(1-0.8198)</f>
        <v>7.4668446319400017</v>
      </c>
      <c r="C4210" s="1">
        <v>8</v>
      </c>
    </row>
    <row r="4211" spans="1:3" x14ac:dyDescent="0.3">
      <c r="A4211" t="s">
        <v>4210</v>
      </c>
      <c r="B4211">
        <f>51.3824966628572*(1-0.8198)</f>
        <v>9.259125898646861</v>
      </c>
      <c r="C4211" s="1">
        <v>10</v>
      </c>
    </row>
    <row r="4212" spans="1:3" x14ac:dyDescent="0.3">
      <c r="A4212" t="s">
        <v>4211</v>
      </c>
      <c r="B4212">
        <f>58.7560401585714*(1-0.8198)</f>
        <v>10.587838436574575</v>
      </c>
      <c r="C4212" s="1">
        <v>10</v>
      </c>
    </row>
    <row r="4213" spans="1:3" x14ac:dyDescent="0.3">
      <c r="A4213" t="s">
        <v>4212</v>
      </c>
      <c r="B4213">
        <f>61.4285714285714*(1-0.8198)</f>
        <v>11.069428571428574</v>
      </c>
      <c r="C4213" s="1">
        <v>9</v>
      </c>
    </row>
    <row r="4214" spans="1:3" x14ac:dyDescent="0.3">
      <c r="A4214" t="s">
        <v>4213</v>
      </c>
      <c r="B4214">
        <f>61.4285714285714*(1-0.8198)</f>
        <v>11.069428571428574</v>
      </c>
      <c r="C4214" s="1">
        <v>9</v>
      </c>
    </row>
    <row r="4215" spans="1:3" x14ac:dyDescent="0.3">
      <c r="A4215" t="s">
        <v>4214</v>
      </c>
      <c r="B4215">
        <f>59.3489786457143*(1-0.8198)</f>
        <v>10.694685951957716</v>
      </c>
      <c r="C4215" s="1">
        <v>7</v>
      </c>
    </row>
    <row r="4216" spans="1:3" x14ac:dyDescent="0.3">
      <c r="A4216" t="s">
        <v>4215</v>
      </c>
      <c r="B4216">
        <f>54.2249378257143*(1-0.8198)</f>
        <v>9.7713337961937157</v>
      </c>
      <c r="C4216" s="1">
        <v>4</v>
      </c>
    </row>
    <row r="4217" spans="1:3" x14ac:dyDescent="0.3">
      <c r="A4217" t="s">
        <v>4216</v>
      </c>
      <c r="B4217">
        <f>44.8932251928572*(1-0.8198)</f>
        <v>8.0897591797528605</v>
      </c>
      <c r="C4217" s="1">
        <v>2</v>
      </c>
    </row>
    <row r="4218" spans="1:3" x14ac:dyDescent="0.3">
      <c r="A4218" t="s">
        <v>4217</v>
      </c>
      <c r="B4218">
        <f>32.33789716*(1-0.8198)</f>
        <v>5.827289068232</v>
      </c>
      <c r="C4218" s="1">
        <v>3</v>
      </c>
    </row>
    <row r="4219" spans="1:3" x14ac:dyDescent="0.3">
      <c r="A4219" t="s">
        <v>4218</v>
      </c>
      <c r="B4219">
        <f>18.69032926*(1-0.8198)</f>
        <v>3.367997332652001</v>
      </c>
      <c r="C4219" s="1">
        <v>3</v>
      </c>
    </row>
    <row r="4220" spans="1:3" x14ac:dyDescent="0.3">
      <c r="A4220" t="s">
        <v>4219</v>
      </c>
      <c r="B4220">
        <f>6.84910118285714*(1-0.8198)</f>
        <v>1.2342080331508574</v>
      </c>
      <c r="C4220" s="1">
        <v>3</v>
      </c>
    </row>
    <row r="4221" spans="1:3" x14ac:dyDescent="0.3">
      <c r="A4221" t="s">
        <v>4220</v>
      </c>
      <c r="B4221">
        <f>0.00258*(1-0.8198)</f>
        <v>4.6491600000000011E-4</v>
      </c>
      <c r="C4221" s="1">
        <v>4</v>
      </c>
    </row>
    <row r="4222" spans="1:3" x14ac:dyDescent="0.3">
      <c r="A4222" t="s">
        <v>4221</v>
      </c>
      <c r="B4222">
        <f>0*(1-0.8198)</f>
        <v>0</v>
      </c>
      <c r="C4222" s="1">
        <v>5</v>
      </c>
    </row>
    <row r="4223" spans="1:3" x14ac:dyDescent="0.3">
      <c r="A4223" t="s">
        <v>4222</v>
      </c>
      <c r="B4223">
        <f>0*(1-0.8198)</f>
        <v>0</v>
      </c>
      <c r="C4223" s="1">
        <v>4</v>
      </c>
    </row>
    <row r="4224" spans="1:3" x14ac:dyDescent="0.3">
      <c r="A4224" t="s">
        <v>4223</v>
      </c>
      <c r="B4224">
        <f>0*(1-0.8198)</f>
        <v>0</v>
      </c>
      <c r="C4224" s="1">
        <v>4</v>
      </c>
    </row>
    <row r="4225" spans="1:3" x14ac:dyDescent="0.3">
      <c r="A4225" t="s">
        <v>4224</v>
      </c>
      <c r="B4225">
        <f>0*(1-0.8198)</f>
        <v>0</v>
      </c>
      <c r="C4225" s="1">
        <v>2</v>
      </c>
    </row>
    <row r="4226" spans="1:3" x14ac:dyDescent="0.3">
      <c r="A4226" t="s">
        <v>4225</v>
      </c>
      <c r="B4226">
        <f>0*(1-0.8198)</f>
        <v>0</v>
      </c>
      <c r="C4226" s="1">
        <v>2</v>
      </c>
    </row>
    <row r="4227" spans="1:3" x14ac:dyDescent="0.3">
      <c r="A4227" t="s">
        <v>4226</v>
      </c>
      <c r="B4227">
        <f>0*(1-0.8198)</f>
        <v>0</v>
      </c>
      <c r="C4227" s="1">
        <v>3</v>
      </c>
    </row>
    <row r="4228" spans="1:3" x14ac:dyDescent="0.3">
      <c r="A4228" t="s">
        <v>4227</v>
      </c>
      <c r="B4228">
        <f>0*(1-0.8198)</f>
        <v>0</v>
      </c>
      <c r="C4228" s="1">
        <v>2</v>
      </c>
    </row>
    <row r="4229" spans="1:3" x14ac:dyDescent="0.3">
      <c r="A4229" t="s">
        <v>4228</v>
      </c>
      <c r="B4229">
        <f>0*(1-0.8198)</f>
        <v>0</v>
      </c>
      <c r="C4229" s="1">
        <v>2</v>
      </c>
    </row>
    <row r="4230" spans="1:3" x14ac:dyDescent="0.3">
      <c r="A4230" t="s">
        <v>4229</v>
      </c>
      <c r="B4230">
        <f>0*(1-0.8198)</f>
        <v>0</v>
      </c>
      <c r="C4230" s="1">
        <v>3</v>
      </c>
    </row>
    <row r="4231" spans="1:3" x14ac:dyDescent="0.3">
      <c r="A4231" t="s">
        <v>4230</v>
      </c>
      <c r="B4231">
        <f>3.98005782428572*(1-0.8198)</f>
        <v>0.71720641993628598</v>
      </c>
      <c r="C4231" s="1">
        <v>2</v>
      </c>
    </row>
    <row r="4232" spans="1:3" x14ac:dyDescent="0.3">
      <c r="A4232" t="s">
        <v>4231</v>
      </c>
      <c r="B4232">
        <f>15.3679701957143*(1-0.8198)</f>
        <v>2.7693082292677151</v>
      </c>
      <c r="C4232" s="1">
        <v>2</v>
      </c>
    </row>
    <row r="4233" spans="1:3" x14ac:dyDescent="0.3">
      <c r="A4233" t="s">
        <v>4232</v>
      </c>
      <c r="B4233">
        <f>28.2770305414286*(1-0.8198)</f>
        <v>5.0955209035654292</v>
      </c>
      <c r="C4233" s="1">
        <v>4</v>
      </c>
    </row>
    <row r="4234" spans="1:3" x14ac:dyDescent="0.3">
      <c r="A4234" t="s">
        <v>4233</v>
      </c>
      <c r="B4234">
        <f>40.2020335528571*(1-0.8198)</f>
        <v>7.2444064462248585</v>
      </c>
      <c r="C4234" s="1">
        <v>8</v>
      </c>
    </row>
    <row r="4235" spans="1:3" x14ac:dyDescent="0.3">
      <c r="A4235" t="s">
        <v>4234</v>
      </c>
      <c r="B4235">
        <f>49.90405807*(1-0.8198)</f>
        <v>8.9927112642140035</v>
      </c>
      <c r="C4235" s="1">
        <v>9</v>
      </c>
    </row>
    <row r="4236" spans="1:3" x14ac:dyDescent="0.3">
      <c r="A4236" t="s">
        <v>4235</v>
      </c>
      <c r="B4236">
        <f>57.4155304542857*(1-0.8198)</f>
        <v>10.346278587862288</v>
      </c>
      <c r="C4236" s="1">
        <v>8</v>
      </c>
    </row>
    <row r="4237" spans="1:3" x14ac:dyDescent="0.3">
      <c r="A4237" t="s">
        <v>4236</v>
      </c>
      <c r="B4237">
        <f>61.4285714285714*(1-0.8198)</f>
        <v>11.069428571428574</v>
      </c>
      <c r="C4237" s="1">
        <v>9</v>
      </c>
    </row>
    <row r="4238" spans="1:3" x14ac:dyDescent="0.3">
      <c r="A4238" t="s">
        <v>4237</v>
      </c>
      <c r="B4238">
        <f>59.1253509414286*(1-0.8198)</f>
        <v>10.65438823964543</v>
      </c>
      <c r="C4238" s="1">
        <v>8</v>
      </c>
    </row>
    <row r="4239" spans="1:3" x14ac:dyDescent="0.3">
      <c r="A4239" t="s">
        <v>4238</v>
      </c>
      <c r="B4239">
        <f>57.7527062928572*(1-0.8198)</f>
        <v>10.407037673972861</v>
      </c>
      <c r="C4239" s="1">
        <v>7</v>
      </c>
    </row>
    <row r="4240" spans="1:3" x14ac:dyDescent="0.3">
      <c r="A4240" t="s">
        <v>4239</v>
      </c>
      <c r="B4240">
        <f>52.6445566142857*(1-0.8198)</f>
        <v>9.4865491018942887</v>
      </c>
      <c r="C4240" s="1">
        <v>3</v>
      </c>
    </row>
    <row r="4241" spans="1:3" x14ac:dyDescent="0.3">
      <c r="A4241" t="s">
        <v>4240</v>
      </c>
      <c r="B4241">
        <f>43.5214901785714*(1-0.8198)</f>
        <v>7.8425725301785736</v>
      </c>
      <c r="C4241" s="1">
        <v>4</v>
      </c>
    </row>
    <row r="4242" spans="1:3" x14ac:dyDescent="0.3">
      <c r="A4242" t="s">
        <v>4241</v>
      </c>
      <c r="B4242">
        <f>31.2821596857143*(1-0.8198)</f>
        <v>5.6370451753657163</v>
      </c>
      <c r="C4242" s="1">
        <v>3</v>
      </c>
    </row>
    <row r="4243" spans="1:3" x14ac:dyDescent="0.3">
      <c r="A4243" t="s">
        <v>4242</v>
      </c>
      <c r="B4243">
        <f>18.2967107614286*(1-0.8198)</f>
        <v>3.2970672792094291</v>
      </c>
      <c r="C4243" s="1">
        <v>3</v>
      </c>
    </row>
    <row r="4244" spans="1:3" x14ac:dyDescent="0.3">
      <c r="A4244" t="s">
        <v>4243</v>
      </c>
      <c r="B4244">
        <f>6.61442438285714*(1-0.8198)</f>
        <v>1.1919192737908575</v>
      </c>
      <c r="C4244" s="1">
        <v>3</v>
      </c>
    </row>
    <row r="4245" spans="1:3" x14ac:dyDescent="0.3">
      <c r="A4245" t="s">
        <v>4244</v>
      </c>
      <c r="B4245">
        <f>0*(1-0.8198)</f>
        <v>0</v>
      </c>
      <c r="C4245" s="1">
        <v>4</v>
      </c>
    </row>
    <row r="4246" spans="1:3" x14ac:dyDescent="0.3">
      <c r="A4246" t="s">
        <v>4245</v>
      </c>
      <c r="B4246">
        <f>0*(1-0.8198)</f>
        <v>0</v>
      </c>
      <c r="C4246" s="1">
        <v>5</v>
      </c>
    </row>
    <row r="4247" spans="1:3" x14ac:dyDescent="0.3">
      <c r="A4247" t="s">
        <v>4246</v>
      </c>
      <c r="B4247">
        <f>0*(1-0.8198)</f>
        <v>0</v>
      </c>
      <c r="C4247" s="1">
        <v>4</v>
      </c>
    </row>
    <row r="4248" spans="1:3" x14ac:dyDescent="0.3">
      <c r="A4248" t="s">
        <v>4247</v>
      </c>
      <c r="B4248">
        <f>0*(1-0.8198)</f>
        <v>0</v>
      </c>
      <c r="C4248" s="1">
        <v>4</v>
      </c>
    </row>
    <row r="4249" spans="1:3" x14ac:dyDescent="0.3">
      <c r="A4249" t="s">
        <v>4248</v>
      </c>
      <c r="B4249">
        <f>0*(1-0.8198)</f>
        <v>0</v>
      </c>
      <c r="C4249" s="1">
        <v>2</v>
      </c>
    </row>
    <row r="4250" spans="1:3" x14ac:dyDescent="0.3">
      <c r="A4250" t="s">
        <v>4249</v>
      </c>
      <c r="B4250">
        <f>0*(1-0.8198)</f>
        <v>0</v>
      </c>
      <c r="C4250" s="1">
        <v>3</v>
      </c>
    </row>
    <row r="4251" spans="1:3" x14ac:dyDescent="0.3">
      <c r="A4251" t="s">
        <v>4250</v>
      </c>
      <c r="B4251">
        <f>0*(1-0.8198)</f>
        <v>0</v>
      </c>
      <c r="C4251" s="1">
        <v>2</v>
      </c>
    </row>
    <row r="4252" spans="1:3" x14ac:dyDescent="0.3">
      <c r="A4252" t="s">
        <v>4251</v>
      </c>
      <c r="B4252">
        <f>0*(1-0.8198)</f>
        <v>0</v>
      </c>
      <c r="C4252" s="1">
        <v>2</v>
      </c>
    </row>
    <row r="4253" spans="1:3" x14ac:dyDescent="0.3">
      <c r="A4253" t="s">
        <v>4252</v>
      </c>
      <c r="B4253">
        <f>0*(1-0.8198)</f>
        <v>0</v>
      </c>
      <c r="C4253" s="1">
        <v>2</v>
      </c>
    </row>
    <row r="4254" spans="1:3" x14ac:dyDescent="0.3">
      <c r="A4254" t="s">
        <v>4253</v>
      </c>
      <c r="B4254">
        <f>0*(1-0.8198)</f>
        <v>0</v>
      </c>
      <c r="C4254" s="1">
        <v>3</v>
      </c>
    </row>
    <row r="4255" spans="1:3" x14ac:dyDescent="0.3">
      <c r="A4255" t="s">
        <v>4254</v>
      </c>
      <c r="B4255">
        <f>2.40970095714286*(1-0.8198)</f>
        <v>0.43422811247714294</v>
      </c>
      <c r="C4255" s="1">
        <v>2</v>
      </c>
    </row>
    <row r="4256" spans="1:3" x14ac:dyDescent="0.3">
      <c r="A4256" t="s">
        <v>4255</v>
      </c>
      <c r="B4256">
        <f>12.9908432742857*(1-0.8198)</f>
        <v>2.3409499580262865</v>
      </c>
      <c r="C4256" s="1">
        <v>2</v>
      </c>
    </row>
    <row r="4257" spans="1:3" x14ac:dyDescent="0.3">
      <c r="A4257" t="s">
        <v>4256</v>
      </c>
      <c r="B4257">
        <f>25.7287009628571*(1-0.8198)</f>
        <v>4.6363119135068587</v>
      </c>
      <c r="C4257" s="1">
        <v>5</v>
      </c>
    </row>
    <row r="4258" spans="1:3" x14ac:dyDescent="0.3">
      <c r="A4258" t="s">
        <v>4257</v>
      </c>
      <c r="B4258">
        <f>37.1639975528571*(1-0.8198)</f>
        <v>6.6969523590248592</v>
      </c>
      <c r="C4258" s="1">
        <v>8</v>
      </c>
    </row>
    <row r="4259" spans="1:3" x14ac:dyDescent="0.3">
      <c r="A4259" t="s">
        <v>4258</v>
      </c>
      <c r="B4259">
        <f>45.6388412614286*(1-0.8198)</f>
        <v>8.2241191953094308</v>
      </c>
      <c r="C4259" s="1">
        <v>9</v>
      </c>
    </row>
    <row r="4260" spans="1:3" x14ac:dyDescent="0.3">
      <c r="A4260" t="s">
        <v>4259</v>
      </c>
      <c r="B4260">
        <f>56.3383162614286*(1-0.8198)</f>
        <v>10.152164590309431</v>
      </c>
      <c r="C4260" s="1">
        <v>8</v>
      </c>
    </row>
    <row r="4261" spans="1:3" x14ac:dyDescent="0.3">
      <c r="A4261" t="s">
        <v>4260</v>
      </c>
      <c r="B4261">
        <f>61.3968279071429*(1-0.8198)</f>
        <v>11.063708388867147</v>
      </c>
      <c r="C4261" s="1">
        <v>9</v>
      </c>
    </row>
    <row r="4262" spans="1:3" x14ac:dyDescent="0.3">
      <c r="A4262" t="s">
        <v>4261</v>
      </c>
      <c r="B4262">
        <f>60.9702075842857*(1-0.8198)</f>
        <v>10.986831406688287</v>
      </c>
      <c r="C4262" s="1">
        <v>9</v>
      </c>
    </row>
    <row r="4263" spans="1:3" x14ac:dyDescent="0.3">
      <c r="A4263" t="s">
        <v>4262</v>
      </c>
      <c r="B4263">
        <f>57.5029274628571*(1-0.8198)</f>
        <v>10.362027528806857</v>
      </c>
      <c r="C4263" s="1">
        <v>8</v>
      </c>
    </row>
    <row r="4264" spans="1:3" x14ac:dyDescent="0.3">
      <c r="A4264" t="s">
        <v>4263</v>
      </c>
      <c r="B4264">
        <f>51.2030793471429*(1-0.8198)</f>
        <v>9.2267948983551467</v>
      </c>
      <c r="C4264" s="1">
        <v>4</v>
      </c>
    </row>
    <row r="4265" spans="1:3" x14ac:dyDescent="0.3">
      <c r="A4265" t="s">
        <v>4264</v>
      </c>
      <c r="B4265">
        <f>38.3412435671429*(1-0.8198)</f>
        <v>6.9090920907991444</v>
      </c>
      <c r="C4265" s="1">
        <v>4</v>
      </c>
    </row>
    <row r="4266" spans="1:3" x14ac:dyDescent="0.3">
      <c r="A4266" t="s">
        <v>4265</v>
      </c>
      <c r="B4266">
        <f>9.82894*(1-0.8198)</f>
        <v>1.7711749880000001</v>
      </c>
      <c r="C4266" s="1">
        <v>4</v>
      </c>
    </row>
    <row r="4267" spans="1:3" x14ac:dyDescent="0.3">
      <c r="A4267" t="s">
        <v>4266</v>
      </c>
      <c r="B4267">
        <f>2.9713*(1-0.8198)</f>
        <v>0.5354282600000001</v>
      </c>
      <c r="C4267" s="1">
        <v>3</v>
      </c>
    </row>
    <row r="4268" spans="1:3" x14ac:dyDescent="0.3">
      <c r="A4268" t="s">
        <v>4267</v>
      </c>
      <c r="B4268">
        <f>2.54044*(1-0.8198)</f>
        <v>0.45778728800000001</v>
      </c>
      <c r="C4268" s="1">
        <v>3</v>
      </c>
    </row>
    <row r="4269" spans="1:3" x14ac:dyDescent="0.3">
      <c r="A4269" t="s">
        <v>4268</v>
      </c>
      <c r="B4269">
        <f>0.00258*(1-0.8198)</f>
        <v>4.6491600000000011E-4</v>
      </c>
      <c r="C4269" s="1">
        <v>4</v>
      </c>
    </row>
    <row r="4270" spans="1:3" x14ac:dyDescent="0.3">
      <c r="A4270" t="s">
        <v>4269</v>
      </c>
      <c r="B4270">
        <f>0*(1-0.8198)</f>
        <v>0</v>
      </c>
      <c r="C4270" s="1">
        <v>5</v>
      </c>
    </row>
    <row r="4271" spans="1:3" x14ac:dyDescent="0.3">
      <c r="A4271" t="s">
        <v>4270</v>
      </c>
      <c r="B4271">
        <f>0*(1-0.8198)</f>
        <v>0</v>
      </c>
      <c r="C4271" s="1">
        <v>5</v>
      </c>
    </row>
    <row r="4272" spans="1:3" x14ac:dyDescent="0.3">
      <c r="A4272" t="s">
        <v>4271</v>
      </c>
      <c r="B4272">
        <f>0*(1-0.8198)</f>
        <v>0</v>
      </c>
      <c r="C4272" s="1">
        <v>4</v>
      </c>
    </row>
    <row r="4273" spans="1:3" x14ac:dyDescent="0.3">
      <c r="A4273" t="s">
        <v>4272</v>
      </c>
      <c r="B4273">
        <f>0*(1-0.8198)</f>
        <v>0</v>
      </c>
      <c r="C4273" s="1">
        <v>2</v>
      </c>
    </row>
    <row r="4274" spans="1:3" x14ac:dyDescent="0.3">
      <c r="A4274" t="s">
        <v>4273</v>
      </c>
      <c r="B4274">
        <f>0*(1-0.8198)</f>
        <v>0</v>
      </c>
      <c r="C4274" s="1">
        <v>2</v>
      </c>
    </row>
    <row r="4275" spans="1:3" x14ac:dyDescent="0.3">
      <c r="A4275" t="s">
        <v>4274</v>
      </c>
      <c r="B4275">
        <f>0*(1-0.8198)</f>
        <v>0</v>
      </c>
      <c r="C4275" s="1">
        <v>2</v>
      </c>
    </row>
    <row r="4276" spans="1:3" x14ac:dyDescent="0.3">
      <c r="A4276" t="s">
        <v>4275</v>
      </c>
      <c r="B4276">
        <f>0*(1-0.8198)</f>
        <v>0</v>
      </c>
      <c r="C4276" s="1">
        <v>3</v>
      </c>
    </row>
    <row r="4277" spans="1:3" x14ac:dyDescent="0.3">
      <c r="A4277" t="s">
        <v>4276</v>
      </c>
      <c r="B4277">
        <f>0*(1-0.8198)</f>
        <v>0</v>
      </c>
      <c r="C4277" s="1">
        <v>2</v>
      </c>
    </row>
    <row r="4278" spans="1:3" x14ac:dyDescent="0.3">
      <c r="A4278" t="s">
        <v>4277</v>
      </c>
      <c r="B4278">
        <f>0*(1-0.8198)</f>
        <v>0</v>
      </c>
      <c r="C4278" s="1">
        <v>2</v>
      </c>
    </row>
    <row r="4279" spans="1:3" x14ac:dyDescent="0.3">
      <c r="A4279" t="s">
        <v>4278</v>
      </c>
      <c r="B4279">
        <f>2.41755189714286*(1-0.8198)</f>
        <v>0.43564285186514301</v>
      </c>
      <c r="C4279" s="1">
        <v>2</v>
      </c>
    </row>
    <row r="4280" spans="1:3" x14ac:dyDescent="0.3">
      <c r="A4280" t="s">
        <v>4279</v>
      </c>
      <c r="B4280">
        <f>11.08878797*(1-0.8198)</f>
        <v>1.9981995921940001</v>
      </c>
      <c r="C4280" s="1">
        <v>3</v>
      </c>
    </row>
    <row r="4281" spans="1:3" x14ac:dyDescent="0.3">
      <c r="A4281" t="s">
        <v>4280</v>
      </c>
      <c r="B4281">
        <f>24.1966505842857*(1-0.8198)</f>
        <v>4.3602364352882867</v>
      </c>
      <c r="C4281" s="1">
        <v>4</v>
      </c>
    </row>
    <row r="4282" spans="1:3" x14ac:dyDescent="0.3">
      <c r="A4282" t="s">
        <v>4281</v>
      </c>
      <c r="B4282">
        <f>31.1956500742857*(1-0.8198)</f>
        <v>5.6214561433862871</v>
      </c>
      <c r="C4282" s="1">
        <v>7</v>
      </c>
    </row>
    <row r="4283" spans="1:3" x14ac:dyDescent="0.3">
      <c r="A4283" t="s">
        <v>4282</v>
      </c>
      <c r="B4283">
        <f>37.7725637757143*(1-0.8198)</f>
        <v>6.8066159923837155</v>
      </c>
      <c r="C4283" s="1">
        <v>9</v>
      </c>
    </row>
    <row r="4284" spans="1:3" x14ac:dyDescent="0.3">
      <c r="A4284" t="s">
        <v>4283</v>
      </c>
      <c r="B4284">
        <f>52.8594868928571*(1-0.8198)</f>
        <v>9.5252795380928603</v>
      </c>
      <c r="C4284" s="1">
        <v>10</v>
      </c>
    </row>
    <row r="4285" spans="1:3" x14ac:dyDescent="0.3">
      <c r="A4285" t="s">
        <v>4284</v>
      </c>
      <c r="B4285">
        <f>50.6616373528571*(1-0.8198)</f>
        <v>9.1292270509848574</v>
      </c>
      <c r="C4285" s="1">
        <v>10</v>
      </c>
    </row>
    <row r="4286" spans="1:3" x14ac:dyDescent="0.3">
      <c r="A4286" t="s">
        <v>4285</v>
      </c>
      <c r="B4286">
        <f>59.0654249128571*(1-0.8198)</f>
        <v>10.643589569296859</v>
      </c>
      <c r="C4286" s="1">
        <v>4</v>
      </c>
    </row>
    <row r="4287" spans="1:3" x14ac:dyDescent="0.3">
      <c r="A4287" t="s">
        <v>4286</v>
      </c>
      <c r="B4287">
        <f>49.5362517342857*(1-0.8198)</f>
        <v>8.9264325625182863</v>
      </c>
      <c r="C4287" s="1">
        <v>3</v>
      </c>
    </row>
    <row r="4288" spans="1:3" x14ac:dyDescent="0.3">
      <c r="A4288" t="s">
        <v>4287</v>
      </c>
      <c r="B4288">
        <f>49.9749397*(1-0.8198)</f>
        <v>9.0054841339400014</v>
      </c>
      <c r="C4288" s="1">
        <v>3</v>
      </c>
    </row>
    <row r="4289" spans="1:3" x14ac:dyDescent="0.3">
      <c r="A4289" t="s">
        <v>4288</v>
      </c>
      <c r="B4289">
        <f>41.2723929928571*(1-0.8198)</f>
        <v>7.4372852173128594</v>
      </c>
      <c r="C4289" s="1">
        <v>2</v>
      </c>
    </row>
    <row r="4290" spans="1:3" x14ac:dyDescent="0.3">
      <c r="A4290" t="s">
        <v>4289</v>
      </c>
      <c r="B4290">
        <f>28.75869584*(1-0.8198)</f>
        <v>5.1823169903680011</v>
      </c>
      <c r="C4290" s="1">
        <v>3</v>
      </c>
    </row>
    <row r="4291" spans="1:3" x14ac:dyDescent="0.3">
      <c r="A4291" t="s">
        <v>4290</v>
      </c>
      <c r="B4291">
        <f>16.4965596828571*(1-0.8198)</f>
        <v>2.9726800548508581</v>
      </c>
      <c r="C4291" s="1">
        <v>4</v>
      </c>
    </row>
    <row r="4292" spans="1:3" x14ac:dyDescent="0.3">
      <c r="A4292" t="s">
        <v>4291</v>
      </c>
      <c r="B4292">
        <f>2.15516*(1-0.8198)</f>
        <v>0.38835983200000007</v>
      </c>
      <c r="C4292" s="1">
        <v>3</v>
      </c>
    </row>
    <row r="4293" spans="1:3" x14ac:dyDescent="0.3">
      <c r="A4293" t="s">
        <v>4292</v>
      </c>
      <c r="B4293">
        <f>0*(1-0.8198)</f>
        <v>0</v>
      </c>
      <c r="C4293" s="1">
        <v>3</v>
      </c>
    </row>
    <row r="4294" spans="1:3" x14ac:dyDescent="0.3">
      <c r="A4294" t="s">
        <v>4293</v>
      </c>
      <c r="B4294">
        <f>0*(1-0.8198)</f>
        <v>0</v>
      </c>
      <c r="C4294" s="1">
        <v>5</v>
      </c>
    </row>
    <row r="4295" spans="1:3" x14ac:dyDescent="0.3">
      <c r="A4295" t="s">
        <v>4294</v>
      </c>
      <c r="B4295">
        <f>0*(1-0.8198)</f>
        <v>0</v>
      </c>
      <c r="C4295" s="1">
        <v>4</v>
      </c>
    </row>
    <row r="4296" spans="1:3" x14ac:dyDescent="0.3">
      <c r="A4296" t="s">
        <v>4295</v>
      </c>
      <c r="B4296">
        <f>0*(1-0.8198)</f>
        <v>0</v>
      </c>
      <c r="C4296" s="1">
        <v>4</v>
      </c>
    </row>
    <row r="4297" spans="1:3" x14ac:dyDescent="0.3">
      <c r="A4297" t="s">
        <v>4296</v>
      </c>
      <c r="B4297">
        <f>0*(1-0.8198)</f>
        <v>0</v>
      </c>
      <c r="C4297" s="1">
        <v>3</v>
      </c>
    </row>
    <row r="4298" spans="1:3" x14ac:dyDescent="0.3">
      <c r="A4298" t="s">
        <v>4297</v>
      </c>
      <c r="B4298">
        <f>0*(1-0.8198)</f>
        <v>0</v>
      </c>
      <c r="C4298" s="1">
        <v>2</v>
      </c>
    </row>
    <row r="4299" spans="1:3" x14ac:dyDescent="0.3">
      <c r="A4299" t="s">
        <v>4298</v>
      </c>
      <c r="B4299">
        <f>0*(1-0.8198)</f>
        <v>0</v>
      </c>
      <c r="C4299" s="1">
        <v>3</v>
      </c>
    </row>
    <row r="4300" spans="1:3" x14ac:dyDescent="0.3">
      <c r="A4300" t="s">
        <v>4299</v>
      </c>
      <c r="B4300">
        <f>0*(1-0.8198)</f>
        <v>0</v>
      </c>
      <c r="C4300" s="1">
        <v>2</v>
      </c>
    </row>
    <row r="4301" spans="1:3" x14ac:dyDescent="0.3">
      <c r="A4301" t="s">
        <v>4300</v>
      </c>
      <c r="B4301">
        <f>0*(1-0.8198)</f>
        <v>0</v>
      </c>
      <c r="C4301" s="1">
        <v>2</v>
      </c>
    </row>
    <row r="4302" spans="1:3" x14ac:dyDescent="0.3">
      <c r="A4302" t="s">
        <v>4301</v>
      </c>
      <c r="B4302">
        <f>0*(1-0.8198)</f>
        <v>0</v>
      </c>
      <c r="C4302" s="1">
        <v>3</v>
      </c>
    </row>
    <row r="4303" spans="1:3" x14ac:dyDescent="0.3">
      <c r="A4303" t="s">
        <v>4302</v>
      </c>
      <c r="B4303">
        <f>1.39678491*(1-0.8198)</f>
        <v>0.25170064078200011</v>
      </c>
      <c r="C4303" s="1">
        <v>2</v>
      </c>
    </row>
    <row r="4304" spans="1:3" x14ac:dyDescent="0.3">
      <c r="A4304" t="s">
        <v>4303</v>
      </c>
      <c r="B4304">
        <f>11.68633618*(1-0.8198)</f>
        <v>2.1058777796360006</v>
      </c>
      <c r="C4304" s="1">
        <v>3</v>
      </c>
    </row>
    <row r="4305" spans="1:3" x14ac:dyDescent="0.3">
      <c r="A4305" t="s">
        <v>4304</v>
      </c>
      <c r="B4305">
        <f>21.3322467414286*(1-0.8198)</f>
        <v>3.8440708628054288</v>
      </c>
      <c r="C4305" s="1">
        <v>2</v>
      </c>
    </row>
    <row r="4306" spans="1:3" x14ac:dyDescent="0.3">
      <c r="A4306" t="s">
        <v>4305</v>
      </c>
      <c r="B4306">
        <f>36.78406448*(1-0.8198)</f>
        <v>6.6284884192960023</v>
      </c>
      <c r="C4306" s="1">
        <v>2</v>
      </c>
    </row>
    <row r="4307" spans="1:3" x14ac:dyDescent="0.3">
      <c r="A4307" t="s">
        <v>4306</v>
      </c>
      <c r="B4307">
        <f>42.01012753*(1-0.8198)</f>
        <v>7.5702249809060005</v>
      </c>
      <c r="C4307" s="1">
        <v>2</v>
      </c>
    </row>
    <row r="4308" spans="1:3" x14ac:dyDescent="0.3">
      <c r="A4308" t="s">
        <v>4307</v>
      </c>
      <c r="B4308">
        <f>49.2276020957143*(1-0.8198)</f>
        <v>8.8708138976477162</v>
      </c>
      <c r="C4308" s="1">
        <v>3</v>
      </c>
    </row>
    <row r="4309" spans="1:3" x14ac:dyDescent="0.3">
      <c r="A4309" t="s">
        <v>4308</v>
      </c>
      <c r="B4309">
        <f>46.9030282385714*(1-0.8198)</f>
        <v>8.4519256885905722</v>
      </c>
      <c r="C4309" s="1">
        <v>2</v>
      </c>
    </row>
    <row r="4310" spans="1:3" x14ac:dyDescent="0.3">
      <c r="A4310" t="s">
        <v>4309</v>
      </c>
      <c r="B4310">
        <f>50.2393777214286*(1-0.8198)</f>
        <v>9.0531358654014298</v>
      </c>
      <c r="C4310" s="1">
        <v>2</v>
      </c>
    </row>
    <row r="4311" spans="1:3" x14ac:dyDescent="0.3">
      <c r="A4311" t="s">
        <v>4310</v>
      </c>
      <c r="B4311">
        <f>45.0583857971429*(1-0.8198)</f>
        <v>8.1195211206451443</v>
      </c>
      <c r="C4311" s="1">
        <v>3</v>
      </c>
    </row>
    <row r="4312" spans="1:3" x14ac:dyDescent="0.3">
      <c r="A4312" t="s">
        <v>4311</v>
      </c>
      <c r="B4312">
        <f>49.8448697371429*(1-0.8198)</f>
        <v>8.9820455266331436</v>
      </c>
      <c r="C4312" s="1">
        <v>2</v>
      </c>
    </row>
    <row r="4313" spans="1:3" x14ac:dyDescent="0.3">
      <c r="A4313" t="s">
        <v>4312</v>
      </c>
      <c r="B4313">
        <f>34.6945681214286*(1-0.8198)</f>
        <v>6.2519611754814299</v>
      </c>
      <c r="C4313" s="1">
        <v>3</v>
      </c>
    </row>
    <row r="4314" spans="1:3" x14ac:dyDescent="0.3">
      <c r="A4314" t="s">
        <v>4313</v>
      </c>
      <c r="B4314">
        <f>24.3497866071429*(1-0.8198)</f>
        <v>4.3878315466071438</v>
      </c>
      <c r="C4314" s="1">
        <v>3</v>
      </c>
    </row>
    <row r="4315" spans="1:3" x14ac:dyDescent="0.3">
      <c r="A4315" t="s">
        <v>4314</v>
      </c>
      <c r="B4315">
        <f>13.05439494*(1-0.8198)</f>
        <v>2.3524019681880008</v>
      </c>
      <c r="C4315" s="1">
        <v>3</v>
      </c>
    </row>
    <row r="4316" spans="1:3" x14ac:dyDescent="0.3">
      <c r="A4316" t="s">
        <v>4315</v>
      </c>
      <c r="B4316">
        <f>3.71859202428571*(1-0.8198)</f>
        <v>0.67009028277628579</v>
      </c>
      <c r="C4316" s="1">
        <v>3</v>
      </c>
    </row>
    <row r="4317" spans="1:3" x14ac:dyDescent="0.3">
      <c r="A4317" t="s">
        <v>4316</v>
      </c>
      <c r="B4317">
        <f>0*(1-0.8198)</f>
        <v>0</v>
      </c>
      <c r="C4317" s="1">
        <v>3</v>
      </c>
    </row>
    <row r="4318" spans="1:3" x14ac:dyDescent="0.3">
      <c r="A4318" t="s">
        <v>4317</v>
      </c>
      <c r="B4318">
        <f>0*(1-0.8198)</f>
        <v>0</v>
      </c>
      <c r="C4318" s="1">
        <v>5</v>
      </c>
    </row>
    <row r="4319" spans="1:3" x14ac:dyDescent="0.3">
      <c r="A4319" t="s">
        <v>4318</v>
      </c>
      <c r="B4319">
        <f>0*(1-0.8198)</f>
        <v>0</v>
      </c>
      <c r="C4319" s="1">
        <v>5</v>
      </c>
    </row>
    <row r="4320" spans="1:3" x14ac:dyDescent="0.3">
      <c r="A4320" t="s">
        <v>4319</v>
      </c>
      <c r="B4320">
        <f>0*(1-0.8198)</f>
        <v>0</v>
      </c>
      <c r="C4320" s="1">
        <v>6</v>
      </c>
    </row>
    <row r="4321" spans="1:3" x14ac:dyDescent="0.3">
      <c r="A4321" t="s">
        <v>4320</v>
      </c>
      <c r="B4321">
        <f>0*(1-0.8198)</f>
        <v>0</v>
      </c>
      <c r="C4321" s="1">
        <v>5</v>
      </c>
    </row>
    <row r="4322" spans="1:3" x14ac:dyDescent="0.3">
      <c r="A4322" t="s">
        <v>4321</v>
      </c>
      <c r="B4322">
        <f>0*(1-0.8198)</f>
        <v>0</v>
      </c>
      <c r="C4322" s="1">
        <v>5</v>
      </c>
    </row>
    <row r="4323" spans="1:3" x14ac:dyDescent="0.3">
      <c r="A4323" t="s">
        <v>4322</v>
      </c>
      <c r="B4323">
        <f>0*(1-0.8198)</f>
        <v>0</v>
      </c>
      <c r="C4323" s="1">
        <v>2</v>
      </c>
    </row>
    <row r="4324" spans="1:3" x14ac:dyDescent="0.3">
      <c r="A4324" t="s">
        <v>4323</v>
      </c>
      <c r="B4324">
        <f>0*(1-0.8198)</f>
        <v>0</v>
      </c>
      <c r="C4324" s="1">
        <v>3</v>
      </c>
    </row>
    <row r="4325" spans="1:3" x14ac:dyDescent="0.3">
      <c r="A4325" t="s">
        <v>4324</v>
      </c>
      <c r="B4325">
        <f>0*(1-0.8198)</f>
        <v>0</v>
      </c>
      <c r="C4325" s="1">
        <v>2</v>
      </c>
    </row>
    <row r="4326" spans="1:3" x14ac:dyDescent="0.3">
      <c r="A4326" t="s">
        <v>4325</v>
      </c>
      <c r="B4326">
        <f>0*(1-0.8198)</f>
        <v>0</v>
      </c>
      <c r="C4326" s="1">
        <v>2</v>
      </c>
    </row>
    <row r="4327" spans="1:3" x14ac:dyDescent="0.3">
      <c r="A4327" t="s">
        <v>4326</v>
      </c>
      <c r="B4327">
        <f>2.75462527285714*(1-0.8198)</f>
        <v>0.49638347416885742</v>
      </c>
      <c r="C4327" s="1">
        <v>2</v>
      </c>
    </row>
    <row r="4328" spans="1:3" x14ac:dyDescent="0.3">
      <c r="A4328" t="s">
        <v>4327</v>
      </c>
      <c r="B4328">
        <f>6.41121799285714*(1-0.8198)</f>
        <v>1.1553014823128576</v>
      </c>
      <c r="C4328" s="1">
        <v>3</v>
      </c>
    </row>
    <row r="4329" spans="1:3" x14ac:dyDescent="0.3">
      <c r="A4329" t="s">
        <v>4328</v>
      </c>
      <c r="B4329">
        <f>25.2571315728571*(1-0.8198)</f>
        <v>4.551335109428857</v>
      </c>
      <c r="C4329" s="1">
        <v>2</v>
      </c>
    </row>
    <row r="4330" spans="1:3" x14ac:dyDescent="0.3">
      <c r="A4330" t="s">
        <v>4329</v>
      </c>
      <c r="B4330">
        <f>26.0878380685714*(1-0.8198)</f>
        <v>4.7010284199565726</v>
      </c>
      <c r="C4330" s="1">
        <v>2</v>
      </c>
    </row>
    <row r="4331" spans="1:3" x14ac:dyDescent="0.3">
      <c r="A4331" t="s">
        <v>4330</v>
      </c>
      <c r="B4331">
        <f>48.85152041*(1-0.8198)</f>
        <v>8.8030439778820018</v>
      </c>
      <c r="C4331" s="1">
        <v>3</v>
      </c>
    </row>
    <row r="4332" spans="1:3" x14ac:dyDescent="0.3">
      <c r="A4332" t="s">
        <v>4331</v>
      </c>
      <c r="B4332">
        <f>54.3554884057143*(1-0.8198)</f>
        <v>9.7948590107097164</v>
      </c>
      <c r="C4332" s="1">
        <v>2</v>
      </c>
    </row>
    <row r="4333" spans="1:3" x14ac:dyDescent="0.3">
      <c r="A4333" t="s">
        <v>4332</v>
      </c>
      <c r="B4333">
        <f>0*(1-0.8198)</f>
        <v>0</v>
      </c>
      <c r="C4333" s="1">
        <v>2</v>
      </c>
    </row>
    <row r="4334" spans="1:3" x14ac:dyDescent="0.3">
      <c r="A4334" t="s">
        <v>4333</v>
      </c>
      <c r="B4334">
        <f>30.5766286471429*(1-0.8198)</f>
        <v>5.5099084822151436</v>
      </c>
      <c r="C4334" s="1">
        <v>2</v>
      </c>
    </row>
    <row r="4335" spans="1:3" x14ac:dyDescent="0.3">
      <c r="A4335" t="s">
        <v>4334</v>
      </c>
      <c r="B4335">
        <f>48.95658833*(1-0.8198)</f>
        <v>8.8219772170660011</v>
      </c>
      <c r="C4335" s="1">
        <v>3</v>
      </c>
    </row>
    <row r="4336" spans="1:3" x14ac:dyDescent="0.3">
      <c r="A4336" t="s">
        <v>4335</v>
      </c>
      <c r="B4336">
        <f>52.8783404271429*(1-0.8198)</f>
        <v>9.5286769449711457</v>
      </c>
      <c r="C4336" s="1">
        <v>2</v>
      </c>
    </row>
    <row r="4337" spans="1:3" x14ac:dyDescent="0.3">
      <c r="A4337" t="s">
        <v>4336</v>
      </c>
      <c r="B4337">
        <f>44.8942336657143*(1-0.8198)</f>
        <v>8.0899409065617167</v>
      </c>
      <c r="C4337" s="1">
        <v>3</v>
      </c>
    </row>
    <row r="4338" spans="1:3" x14ac:dyDescent="0.3">
      <c r="A4338" t="s">
        <v>4337</v>
      </c>
      <c r="B4338">
        <f>30.5423911257143*(1-0.8198)</f>
        <v>5.5037388808537155</v>
      </c>
      <c r="C4338" s="1">
        <v>2</v>
      </c>
    </row>
    <row r="4339" spans="1:3" x14ac:dyDescent="0.3">
      <c r="A4339" t="s">
        <v>4338</v>
      </c>
      <c r="B4339">
        <f>17.8655465057143*(1-0.8198)</f>
        <v>3.2193714803297153</v>
      </c>
      <c r="C4339" s="1">
        <v>2</v>
      </c>
    </row>
    <row r="4340" spans="1:3" x14ac:dyDescent="0.3">
      <c r="A4340" t="s">
        <v>4339</v>
      </c>
      <c r="B4340">
        <f>6.99553534857143*(1-0.8198)</f>
        <v>1.2605954698125716</v>
      </c>
      <c r="C4340" s="1">
        <v>3</v>
      </c>
    </row>
    <row r="4341" spans="1:3" x14ac:dyDescent="0.3">
      <c r="A4341" t="s">
        <v>4340</v>
      </c>
      <c r="B4341">
        <f>0*(1-0.8198)</f>
        <v>0</v>
      </c>
      <c r="C4341" s="1">
        <v>2</v>
      </c>
    </row>
    <row r="4342" spans="1:3" x14ac:dyDescent="0.3">
      <c r="A4342" t="s">
        <v>4341</v>
      </c>
      <c r="B4342">
        <f>0*(1-0.8198)</f>
        <v>0</v>
      </c>
      <c r="C4342" s="1">
        <v>2</v>
      </c>
    </row>
    <row r="4343" spans="1:3" x14ac:dyDescent="0.3">
      <c r="A4343" t="s">
        <v>4342</v>
      </c>
      <c r="B4343">
        <f>0*(1-0.8198)</f>
        <v>0</v>
      </c>
      <c r="C4343" s="1">
        <v>2</v>
      </c>
    </row>
    <row r="4344" spans="1:3" x14ac:dyDescent="0.3">
      <c r="A4344" t="s">
        <v>4343</v>
      </c>
      <c r="B4344">
        <f>0*(1-0.8198)</f>
        <v>0</v>
      </c>
      <c r="C4344" s="1">
        <v>3</v>
      </c>
    </row>
    <row r="4345" spans="1:3" x14ac:dyDescent="0.3">
      <c r="A4345" t="s">
        <v>4344</v>
      </c>
      <c r="B4345">
        <f>0*(1-0.8198)</f>
        <v>0</v>
      </c>
      <c r="C4345" s="1">
        <v>2</v>
      </c>
    </row>
    <row r="4346" spans="1:3" x14ac:dyDescent="0.3">
      <c r="A4346" t="s">
        <v>4345</v>
      </c>
      <c r="B4346">
        <f>0*(1-0.8198)</f>
        <v>0</v>
      </c>
      <c r="C4346" s="1">
        <v>3</v>
      </c>
    </row>
    <row r="4347" spans="1:3" x14ac:dyDescent="0.3">
      <c r="A4347" t="s">
        <v>4346</v>
      </c>
      <c r="B4347">
        <f>0*(1-0.8198)</f>
        <v>0</v>
      </c>
      <c r="C4347" s="1">
        <v>2</v>
      </c>
    </row>
    <row r="4348" spans="1:3" x14ac:dyDescent="0.3">
      <c r="A4348" t="s">
        <v>4347</v>
      </c>
      <c r="B4348">
        <f>0*(1-0.8198)</f>
        <v>0</v>
      </c>
      <c r="C4348" s="1">
        <v>2</v>
      </c>
    </row>
    <row r="4349" spans="1:3" x14ac:dyDescent="0.3">
      <c r="A4349" t="s">
        <v>4348</v>
      </c>
      <c r="B4349">
        <f>0*(1-0.8198)</f>
        <v>0</v>
      </c>
      <c r="C4349" s="1">
        <v>3</v>
      </c>
    </row>
    <row r="4350" spans="1:3" x14ac:dyDescent="0.3">
      <c r="A4350" t="s">
        <v>4349</v>
      </c>
      <c r="B4350">
        <f>0*(1-0.8198)</f>
        <v>0</v>
      </c>
      <c r="C4350" s="1">
        <v>2</v>
      </c>
    </row>
    <row r="4351" spans="1:3" x14ac:dyDescent="0.3">
      <c r="A4351" t="s">
        <v>4350</v>
      </c>
      <c r="B4351">
        <f>1.95465087714286*(1-0.8198)</f>
        <v>0.35222808806114297</v>
      </c>
      <c r="C4351" s="1">
        <v>5</v>
      </c>
    </row>
    <row r="4352" spans="1:3" x14ac:dyDescent="0.3">
      <c r="A4352" t="s">
        <v>4351</v>
      </c>
      <c r="B4352">
        <f>14.1917286614286*(1-0.8198)</f>
        <v>2.5573495047894288</v>
      </c>
      <c r="C4352" s="1">
        <v>7</v>
      </c>
    </row>
    <row r="4353" spans="1:3" x14ac:dyDescent="0.3">
      <c r="A4353" t="s">
        <v>4352</v>
      </c>
      <c r="B4353">
        <f>22.3297736414286*(1-0.8198)</f>
        <v>4.0238252101854286</v>
      </c>
      <c r="C4353" s="1">
        <v>7</v>
      </c>
    </row>
    <row r="4354" spans="1:3" x14ac:dyDescent="0.3">
      <c r="A4354" t="s">
        <v>4353</v>
      </c>
      <c r="B4354">
        <f>37.6364559985714*(1-0.8198)</f>
        <v>6.7820893709425727</v>
      </c>
      <c r="C4354" s="1">
        <v>9</v>
      </c>
    </row>
    <row r="4355" spans="1:3" x14ac:dyDescent="0.3">
      <c r="A4355" t="s">
        <v>4354</v>
      </c>
      <c r="B4355">
        <f>51.3670087385714*(1-0.8198)</f>
        <v>9.2563349746905743</v>
      </c>
      <c r="C4355" s="1">
        <v>8</v>
      </c>
    </row>
    <row r="4356" spans="1:3" x14ac:dyDescent="0.3">
      <c r="A4356" t="s">
        <v>4355</v>
      </c>
      <c r="B4356">
        <f>58.0290947514286*(1-0.8198)</f>
        <v>10.45684287420743</v>
      </c>
      <c r="C4356" s="1">
        <v>8</v>
      </c>
    </row>
    <row r="4357" spans="1:3" x14ac:dyDescent="0.3">
      <c r="A4357" t="s">
        <v>4356</v>
      </c>
      <c r="B4357">
        <f>61.4285714285714*(1-0.8198)</f>
        <v>11.069428571428574</v>
      </c>
      <c r="C4357" s="1">
        <v>8</v>
      </c>
    </row>
    <row r="4358" spans="1:3" x14ac:dyDescent="0.3">
      <c r="A4358" t="s">
        <v>4357</v>
      </c>
      <c r="B4358">
        <f>61.4285714285714*(1-0.8198)</f>
        <v>11.069428571428574</v>
      </c>
      <c r="C4358" s="1">
        <v>6</v>
      </c>
    </row>
    <row r="4359" spans="1:3" x14ac:dyDescent="0.3">
      <c r="A4359" t="s">
        <v>4358</v>
      </c>
      <c r="B4359">
        <f>58.7319663014286*(1-0.8198)</f>
        <v>10.583500327517431</v>
      </c>
      <c r="C4359" s="1">
        <v>3</v>
      </c>
    </row>
    <row r="4360" spans="1:3" x14ac:dyDescent="0.3">
      <c r="A4360" t="s">
        <v>4359</v>
      </c>
      <c r="B4360">
        <f>54.23175867*(1-0.8198)</f>
        <v>9.7725629123340028</v>
      </c>
      <c r="C4360" s="1">
        <v>3</v>
      </c>
    </row>
    <row r="4361" spans="1:3" x14ac:dyDescent="0.3">
      <c r="A4361" t="s">
        <v>4360</v>
      </c>
      <c r="B4361">
        <f>44.92737696*(1-0.8198)</f>
        <v>8.0959133281920028</v>
      </c>
      <c r="C4361" s="1">
        <v>4</v>
      </c>
    </row>
    <row r="4362" spans="1:3" x14ac:dyDescent="0.3">
      <c r="A4362" t="s">
        <v>4361</v>
      </c>
      <c r="B4362">
        <f>32.4928761628571*(1-0.8198)</f>
        <v>5.8552162845468585</v>
      </c>
      <c r="C4362" s="1">
        <v>4</v>
      </c>
    </row>
    <row r="4363" spans="1:3" x14ac:dyDescent="0.3">
      <c r="A4363" t="s">
        <v>4362</v>
      </c>
      <c r="B4363">
        <f>18.5477403385714*(1-0.8198)</f>
        <v>3.342302809010572</v>
      </c>
      <c r="C4363" s="1">
        <v>4</v>
      </c>
    </row>
    <row r="4364" spans="1:3" x14ac:dyDescent="0.3">
      <c r="A4364" t="s">
        <v>4363</v>
      </c>
      <c r="B4364">
        <f>7.05266318285715*(1-0.8198)</f>
        <v>1.2708899055508578</v>
      </c>
      <c r="C4364" s="1">
        <v>2</v>
      </c>
    </row>
    <row r="4365" spans="1:3" x14ac:dyDescent="0.3">
      <c r="A4365" t="s">
        <v>4364</v>
      </c>
      <c r="B4365">
        <f>0.1419*(1-0.8198)</f>
        <v>2.5570380000000004E-2</v>
      </c>
      <c r="C4365" s="1">
        <v>3</v>
      </c>
    </row>
    <row r="4366" spans="1:3" x14ac:dyDescent="0.3">
      <c r="A4366" t="s">
        <v>4365</v>
      </c>
      <c r="B4366">
        <f>0*(1-0.8198)</f>
        <v>0</v>
      </c>
      <c r="C4366" s="1">
        <v>2</v>
      </c>
    </row>
    <row r="4367" spans="1:3" x14ac:dyDescent="0.3">
      <c r="A4367" t="s">
        <v>4366</v>
      </c>
      <c r="B4367">
        <f>0*(1-0.8198)</f>
        <v>0</v>
      </c>
      <c r="C4367" s="1">
        <v>2</v>
      </c>
    </row>
    <row r="4368" spans="1:3" x14ac:dyDescent="0.3">
      <c r="A4368" t="s">
        <v>4367</v>
      </c>
      <c r="B4368">
        <f>0*(1-0.8198)</f>
        <v>0</v>
      </c>
      <c r="C4368" s="1">
        <v>3</v>
      </c>
    </row>
    <row r="4369" spans="1:3" x14ac:dyDescent="0.3">
      <c r="A4369" t="s">
        <v>4368</v>
      </c>
      <c r="B4369">
        <f>0*(1-0.8198)</f>
        <v>0</v>
      </c>
      <c r="C4369" s="1">
        <v>2</v>
      </c>
    </row>
    <row r="4370" spans="1:3" x14ac:dyDescent="0.3">
      <c r="A4370" t="s">
        <v>4369</v>
      </c>
      <c r="B4370">
        <f>0*(1-0.8198)</f>
        <v>0</v>
      </c>
      <c r="C4370" s="1">
        <v>2</v>
      </c>
    </row>
    <row r="4371" spans="1:3" x14ac:dyDescent="0.3">
      <c r="A4371" t="s">
        <v>4370</v>
      </c>
      <c r="B4371">
        <f>0*(1-0.8198)</f>
        <v>0</v>
      </c>
      <c r="C4371" s="1">
        <v>3</v>
      </c>
    </row>
    <row r="4372" spans="1:3" x14ac:dyDescent="0.3">
      <c r="A4372" t="s">
        <v>4371</v>
      </c>
      <c r="B4372">
        <f>0*(1-0.8198)</f>
        <v>0</v>
      </c>
      <c r="C4372" s="1">
        <v>2</v>
      </c>
    </row>
    <row r="4373" spans="1:3" x14ac:dyDescent="0.3">
      <c r="A4373" t="s">
        <v>4372</v>
      </c>
      <c r="B4373">
        <f>0*(1-0.8198)</f>
        <v>0</v>
      </c>
      <c r="C4373" s="1">
        <v>2</v>
      </c>
    </row>
    <row r="4374" spans="1:3" x14ac:dyDescent="0.3">
      <c r="A4374" t="s">
        <v>4373</v>
      </c>
      <c r="B4374">
        <f>0*(1-0.8198)</f>
        <v>0</v>
      </c>
      <c r="C4374" s="1">
        <v>3</v>
      </c>
    </row>
    <row r="4375" spans="1:3" x14ac:dyDescent="0.3">
      <c r="A4375" t="s">
        <v>4374</v>
      </c>
      <c r="B4375">
        <f>3.85044826857143*(1-0.8198)</f>
        <v>0.69385077799657158</v>
      </c>
      <c r="C4375" s="1">
        <v>5</v>
      </c>
    </row>
    <row r="4376" spans="1:3" x14ac:dyDescent="0.3">
      <c r="A4376" t="s">
        <v>4375</v>
      </c>
      <c r="B4376">
        <f>15.3582002271429*(1-0.8198)</f>
        <v>2.7675476809311435</v>
      </c>
      <c r="C4376" s="1">
        <v>5</v>
      </c>
    </row>
    <row r="4377" spans="1:3" x14ac:dyDescent="0.3">
      <c r="A4377" t="s">
        <v>4376</v>
      </c>
      <c r="B4377">
        <f>29.05860579*(1-0.8198)</f>
        <v>5.2363607633580012</v>
      </c>
      <c r="C4377" s="1">
        <v>5</v>
      </c>
    </row>
    <row r="4378" spans="1:3" x14ac:dyDescent="0.3">
      <c r="A4378" t="s">
        <v>4377</v>
      </c>
      <c r="B4378">
        <f>39.8112741242857*(1-0.8198)</f>
        <v>7.1739915971962871</v>
      </c>
      <c r="C4378" s="1">
        <v>6</v>
      </c>
    </row>
    <row r="4379" spans="1:3" x14ac:dyDescent="0.3">
      <c r="A4379" t="s">
        <v>4378</v>
      </c>
      <c r="B4379">
        <f>45.1499890042857*(1-0.8198)</f>
        <v>8.1360280185722864</v>
      </c>
      <c r="C4379" s="1">
        <v>7</v>
      </c>
    </row>
    <row r="4380" spans="1:3" x14ac:dyDescent="0.3">
      <c r="A4380" t="s">
        <v>4379</v>
      </c>
      <c r="B4380">
        <f>49.7267584428571*(1-0.8198)</f>
        <v>8.9607618714028572</v>
      </c>
      <c r="C4380" s="1">
        <v>5</v>
      </c>
    </row>
    <row r="4381" spans="1:3" x14ac:dyDescent="0.3">
      <c r="A4381" t="s">
        <v>4380</v>
      </c>
      <c r="B4381">
        <f>56.7145035428571*(1-0.8198)</f>
        <v>10.219953538422859</v>
      </c>
      <c r="C4381" s="1">
        <v>6</v>
      </c>
    </row>
    <row r="4382" spans="1:3" x14ac:dyDescent="0.3">
      <c r="A4382" t="s">
        <v>4381</v>
      </c>
      <c r="B4382">
        <f>58.7712830442857*(1-0.8198)</f>
        <v>10.590585204580286</v>
      </c>
      <c r="C4382" s="1">
        <v>5</v>
      </c>
    </row>
    <row r="4383" spans="1:3" x14ac:dyDescent="0.3">
      <c r="A4383" t="s">
        <v>4382</v>
      </c>
      <c r="B4383">
        <f>52.9790983342857*(1-0.8198)</f>
        <v>9.5468335198382892</v>
      </c>
      <c r="C4383" s="1">
        <v>3</v>
      </c>
    </row>
    <row r="4384" spans="1:3" x14ac:dyDescent="0.3">
      <c r="A4384" t="s">
        <v>4383</v>
      </c>
      <c r="B4384">
        <f>51.60468141*(1-0.8198)</f>
        <v>9.2991635900820011</v>
      </c>
      <c r="C4384" s="1">
        <v>2</v>
      </c>
    </row>
    <row r="4385" spans="1:3" x14ac:dyDescent="0.3">
      <c r="A4385" t="s">
        <v>4384</v>
      </c>
      <c r="B4385">
        <f>43.0834824114286*(1-0.8198)</f>
        <v>7.7636435305394293</v>
      </c>
      <c r="C4385" s="1">
        <v>3</v>
      </c>
    </row>
    <row r="4386" spans="1:3" x14ac:dyDescent="0.3">
      <c r="A4386" t="s">
        <v>4385</v>
      </c>
      <c r="B4386">
        <f>31.3672268928571*(1-0.8198)</f>
        <v>5.6523742860928587</v>
      </c>
      <c r="C4386" s="1">
        <v>2</v>
      </c>
    </row>
    <row r="4387" spans="1:3" x14ac:dyDescent="0.3">
      <c r="A4387" t="s">
        <v>4386</v>
      </c>
      <c r="B4387">
        <f>18.84521139*(1-0.8198)</f>
        <v>3.3959070924780006</v>
      </c>
      <c r="C4387" s="1">
        <v>3</v>
      </c>
    </row>
    <row r="4388" spans="1:3" x14ac:dyDescent="0.3">
      <c r="A4388" t="s">
        <v>4387</v>
      </c>
      <c r="B4388">
        <f>7.00801910857143*(1-0.8198)</f>
        <v>1.2628450433645715</v>
      </c>
      <c r="C4388" s="1">
        <v>2</v>
      </c>
    </row>
    <row r="4389" spans="1:3" x14ac:dyDescent="0.3">
      <c r="A4389" t="s">
        <v>4388</v>
      </c>
      <c r="B4389">
        <f>0.1419*(1-0.8198)</f>
        <v>2.5570380000000004E-2</v>
      </c>
      <c r="C4389" s="1">
        <v>3</v>
      </c>
    </row>
    <row r="4390" spans="1:3" x14ac:dyDescent="0.3">
      <c r="A4390" t="s">
        <v>4389</v>
      </c>
      <c r="B4390">
        <f>0*(1-0.8198)</f>
        <v>0</v>
      </c>
      <c r="C4390" s="1">
        <v>3</v>
      </c>
    </row>
    <row r="4391" spans="1:3" x14ac:dyDescent="0.3">
      <c r="A4391" t="s">
        <v>4390</v>
      </c>
      <c r="B4391">
        <f>0*(1-0.8198)</f>
        <v>0</v>
      </c>
      <c r="C4391" s="1">
        <v>2</v>
      </c>
    </row>
    <row r="4392" spans="1:3" x14ac:dyDescent="0.3">
      <c r="A4392" t="s">
        <v>4391</v>
      </c>
      <c r="B4392">
        <f>0*(1-0.8198)</f>
        <v>0</v>
      </c>
      <c r="C4392" s="1">
        <v>2</v>
      </c>
    </row>
    <row r="4393" spans="1:3" x14ac:dyDescent="0.3">
      <c r="A4393" t="s">
        <v>4392</v>
      </c>
      <c r="B4393">
        <f>0*(1-0.8198)</f>
        <v>0</v>
      </c>
      <c r="C4393" s="1">
        <v>3</v>
      </c>
    </row>
    <row r="4394" spans="1:3" x14ac:dyDescent="0.3">
      <c r="A4394" t="s">
        <v>4393</v>
      </c>
      <c r="B4394">
        <f>0*(1-0.8198)</f>
        <v>0</v>
      </c>
      <c r="C4394" s="1">
        <v>2</v>
      </c>
    </row>
    <row r="4395" spans="1:3" x14ac:dyDescent="0.3">
      <c r="A4395" t="s">
        <v>4394</v>
      </c>
      <c r="B4395">
        <f>0*(1-0.8198)</f>
        <v>0</v>
      </c>
      <c r="C4395" s="1">
        <v>3</v>
      </c>
    </row>
    <row r="4396" spans="1:3" x14ac:dyDescent="0.3">
      <c r="A4396" t="s">
        <v>4395</v>
      </c>
      <c r="B4396">
        <f>0*(1-0.8198)</f>
        <v>0</v>
      </c>
      <c r="C4396" s="1">
        <v>2</v>
      </c>
    </row>
    <row r="4397" spans="1:3" x14ac:dyDescent="0.3">
      <c r="A4397" t="s">
        <v>4396</v>
      </c>
      <c r="B4397">
        <f>0*(1-0.8198)</f>
        <v>0</v>
      </c>
      <c r="C4397" s="1">
        <v>3</v>
      </c>
    </row>
    <row r="4398" spans="1:3" x14ac:dyDescent="0.3">
      <c r="A4398" t="s">
        <v>4397</v>
      </c>
      <c r="B4398">
        <f>0*(1-0.8198)</f>
        <v>0</v>
      </c>
      <c r="C4398" s="1">
        <v>2</v>
      </c>
    </row>
    <row r="4399" spans="1:3" x14ac:dyDescent="0.3">
      <c r="A4399" t="s">
        <v>4398</v>
      </c>
      <c r="B4399">
        <f>3.28937652857143*(1-0.8198)</f>
        <v>0.59274565044857164</v>
      </c>
      <c r="C4399" s="1">
        <v>4</v>
      </c>
    </row>
    <row r="4400" spans="1:3" x14ac:dyDescent="0.3">
      <c r="A4400" t="s">
        <v>4399</v>
      </c>
      <c r="B4400">
        <f>14.4410038385714*(1-0.8198)</f>
        <v>2.6022688917105721</v>
      </c>
      <c r="C4400" s="1">
        <v>4</v>
      </c>
    </row>
    <row r="4401" spans="1:3" x14ac:dyDescent="0.3">
      <c r="A4401" t="s">
        <v>4400</v>
      </c>
      <c r="B4401">
        <f>27.2658547042857*(1-0.8198)</f>
        <v>4.9133070177122873</v>
      </c>
      <c r="C4401" s="1">
        <v>4</v>
      </c>
    </row>
    <row r="4402" spans="1:3" x14ac:dyDescent="0.3">
      <c r="A4402" t="s">
        <v>4401</v>
      </c>
      <c r="B4402">
        <f>39.2426559457143*(1-0.8198)</f>
        <v>7.0715266014177161</v>
      </c>
      <c r="C4402" s="1">
        <v>5</v>
      </c>
    </row>
    <row r="4403" spans="1:3" x14ac:dyDescent="0.3">
      <c r="A4403" t="s">
        <v>4402</v>
      </c>
      <c r="B4403">
        <f>44.5419445557143*(1-0.8198)</f>
        <v>8.026458408939714</v>
      </c>
      <c r="C4403" s="1">
        <v>5</v>
      </c>
    </row>
    <row r="4404" spans="1:3" x14ac:dyDescent="0.3">
      <c r="A4404" t="s">
        <v>4403</v>
      </c>
      <c r="B4404">
        <f>52.8370328457143*(1-0.8198)</f>
        <v>9.5212333187977158</v>
      </c>
      <c r="C4404" s="1">
        <v>6</v>
      </c>
    </row>
    <row r="4405" spans="1:3" x14ac:dyDescent="0.3">
      <c r="A4405" t="s">
        <v>4404</v>
      </c>
      <c r="B4405">
        <f>50.7633542828572*(1-0.8198)</f>
        <v>9.1475564417708597</v>
      </c>
      <c r="C4405" s="1">
        <v>5</v>
      </c>
    </row>
    <row r="4406" spans="1:3" x14ac:dyDescent="0.3">
      <c r="A4406" t="s">
        <v>4405</v>
      </c>
      <c r="B4406">
        <f>57.47959941*(1-0.8198)</f>
        <v>10.357823813682003</v>
      </c>
      <c r="C4406" s="1">
        <v>5</v>
      </c>
    </row>
    <row r="4407" spans="1:3" x14ac:dyDescent="0.3">
      <c r="A4407" t="s">
        <v>4406</v>
      </c>
      <c r="B4407">
        <f>45.58843746*(1-0.8198)</f>
        <v>8.2150364302920025</v>
      </c>
      <c r="C4407" s="1">
        <v>3</v>
      </c>
    </row>
    <row r="4408" spans="1:3" x14ac:dyDescent="0.3">
      <c r="A4408" t="s">
        <v>4407</v>
      </c>
      <c r="B4408">
        <f>25.85095973*(1-0.8198)</f>
        <v>4.6583429433460006</v>
      </c>
      <c r="C4408" s="1">
        <v>2</v>
      </c>
    </row>
    <row r="4409" spans="1:3" x14ac:dyDescent="0.3">
      <c r="A4409" t="s">
        <v>4408</v>
      </c>
      <c r="B4409">
        <f>5.91766*(1-0.8198)</f>
        <v>1.0663623320000002</v>
      </c>
      <c r="C4409" s="1">
        <v>3</v>
      </c>
    </row>
    <row r="4410" spans="1:3" x14ac:dyDescent="0.3">
      <c r="A4410" t="s">
        <v>4409</v>
      </c>
      <c r="B4410">
        <f>10.3322242242857*(1-0.8198)</f>
        <v>1.8618668052162861</v>
      </c>
      <c r="C4410" s="1">
        <v>2</v>
      </c>
    </row>
    <row r="4411" spans="1:3" x14ac:dyDescent="0.3">
      <c r="A4411" t="s">
        <v>4410</v>
      </c>
      <c r="B4411">
        <f>17.34815521*(1-0.8198)</f>
        <v>3.1261375688420006</v>
      </c>
      <c r="C4411" s="1">
        <v>2</v>
      </c>
    </row>
    <row r="4412" spans="1:3" x14ac:dyDescent="0.3">
      <c r="A4412" t="s">
        <v>4411</v>
      </c>
      <c r="B4412">
        <f>6.63517157571429*(1-0.8198)</f>
        <v>1.1956579179437146</v>
      </c>
      <c r="C4412" s="1">
        <v>3</v>
      </c>
    </row>
    <row r="4413" spans="1:3" x14ac:dyDescent="0.3">
      <c r="A4413" t="s">
        <v>4412</v>
      </c>
      <c r="B4413">
        <f>0.14104*(1-0.8198)</f>
        <v>2.5415408000000007E-2</v>
      </c>
      <c r="C4413" s="1">
        <v>2</v>
      </c>
    </row>
    <row r="4414" spans="1:3" x14ac:dyDescent="0.3">
      <c r="A4414" t="s">
        <v>4413</v>
      </c>
      <c r="B4414">
        <f>0*(1-0.8198)</f>
        <v>0</v>
      </c>
      <c r="C4414" s="1">
        <v>2</v>
      </c>
    </row>
    <row r="4415" spans="1:3" x14ac:dyDescent="0.3">
      <c r="A4415" t="s">
        <v>4414</v>
      </c>
      <c r="B4415">
        <f>0*(1-0.8198)</f>
        <v>0</v>
      </c>
      <c r="C4415" s="1">
        <v>2</v>
      </c>
    </row>
    <row r="4416" spans="1:3" x14ac:dyDescent="0.3">
      <c r="A4416" t="s">
        <v>4415</v>
      </c>
      <c r="B4416">
        <f>0*(1-0.8198)</f>
        <v>0</v>
      </c>
      <c r="C4416" s="1">
        <v>3</v>
      </c>
    </row>
    <row r="4417" spans="1:3" x14ac:dyDescent="0.3">
      <c r="A4417" t="s">
        <v>4416</v>
      </c>
      <c r="B4417">
        <f>0*(1-0.8198)</f>
        <v>0</v>
      </c>
      <c r="C4417" s="1">
        <v>2</v>
      </c>
    </row>
    <row r="4418" spans="1:3" x14ac:dyDescent="0.3">
      <c r="A4418" t="s">
        <v>4417</v>
      </c>
      <c r="B4418">
        <f>0*(1-0.8198)</f>
        <v>0</v>
      </c>
      <c r="C4418" s="1">
        <v>2</v>
      </c>
    </row>
    <row r="4419" spans="1:3" x14ac:dyDescent="0.3">
      <c r="A4419" t="s">
        <v>4418</v>
      </c>
      <c r="B4419">
        <f>0*(1-0.8198)</f>
        <v>0</v>
      </c>
      <c r="C4419" s="1">
        <v>3</v>
      </c>
    </row>
    <row r="4420" spans="1:3" x14ac:dyDescent="0.3">
      <c r="A4420" t="s">
        <v>4419</v>
      </c>
      <c r="B4420">
        <f>0*(1-0.8198)</f>
        <v>0</v>
      </c>
      <c r="C4420" s="1">
        <v>2</v>
      </c>
    </row>
    <row r="4421" spans="1:3" x14ac:dyDescent="0.3">
      <c r="A4421" t="s">
        <v>4420</v>
      </c>
      <c r="B4421">
        <f>0*(1-0.8198)</f>
        <v>0</v>
      </c>
      <c r="C4421" s="1">
        <v>2</v>
      </c>
    </row>
    <row r="4422" spans="1:3" x14ac:dyDescent="0.3">
      <c r="A4422" t="s">
        <v>4421</v>
      </c>
      <c r="B4422">
        <f>0*(1-0.8198)</f>
        <v>0</v>
      </c>
      <c r="C4422" s="1">
        <v>3</v>
      </c>
    </row>
    <row r="4423" spans="1:3" x14ac:dyDescent="0.3">
      <c r="A4423" t="s">
        <v>4422</v>
      </c>
      <c r="B4423">
        <f>2.36750229285714*(1-0.8198)</f>
        <v>0.42662391317285725</v>
      </c>
      <c r="C4423" s="1">
        <v>4</v>
      </c>
    </row>
    <row r="4424" spans="1:3" x14ac:dyDescent="0.3">
      <c r="A4424" t="s">
        <v>4423</v>
      </c>
      <c r="B4424">
        <f>14.3864325385714*(1-0.8198)</f>
        <v>2.5924351434505719</v>
      </c>
      <c r="C4424" s="1">
        <v>4</v>
      </c>
    </row>
    <row r="4425" spans="1:3" x14ac:dyDescent="0.3">
      <c r="A4425" t="s">
        <v>4424</v>
      </c>
      <c r="B4425">
        <f>25.3269017142857*(1-0.8198)</f>
        <v>4.5639076889142869</v>
      </c>
      <c r="C4425" s="1">
        <v>4</v>
      </c>
    </row>
    <row r="4426" spans="1:3" x14ac:dyDescent="0.3">
      <c r="A4426" t="s">
        <v>4425</v>
      </c>
      <c r="B4426">
        <f>32.0353653771429*(1-0.8198)</f>
        <v>5.7727728409611441</v>
      </c>
      <c r="C4426" s="1">
        <v>4</v>
      </c>
    </row>
    <row r="4427" spans="1:3" x14ac:dyDescent="0.3">
      <c r="A4427" t="s">
        <v>4426</v>
      </c>
      <c r="B4427">
        <f>35.8773683228571*(1-0.8198)</f>
        <v>6.4651017717788584</v>
      </c>
      <c r="C4427" s="1">
        <v>5</v>
      </c>
    </row>
    <row r="4428" spans="1:3" x14ac:dyDescent="0.3">
      <c r="A4428" t="s">
        <v>4427</v>
      </c>
      <c r="B4428">
        <f>7.7701*(1-0.8198)</f>
        <v>1.4001720200000003</v>
      </c>
      <c r="C4428" s="1">
        <v>6</v>
      </c>
    </row>
    <row r="4429" spans="1:3" x14ac:dyDescent="0.3">
      <c r="A4429" t="s">
        <v>4428</v>
      </c>
      <c r="B4429">
        <f>31.3877655971429*(1-0.8198)</f>
        <v>5.6560753606051444</v>
      </c>
      <c r="C4429" s="1">
        <v>5</v>
      </c>
    </row>
    <row r="4430" spans="1:3" x14ac:dyDescent="0.3">
      <c r="A4430" t="s">
        <v>4429</v>
      </c>
      <c r="B4430">
        <f>33.6969609957143*(1-0.8198)</f>
        <v>6.0721923714277155</v>
      </c>
      <c r="C4430" s="1">
        <v>5</v>
      </c>
    </row>
    <row r="4431" spans="1:3" x14ac:dyDescent="0.3">
      <c r="A4431" t="s">
        <v>4430</v>
      </c>
      <c r="B4431">
        <f>49.3154565014286*(1-0.8198)</f>
        <v>8.8866452615574314</v>
      </c>
      <c r="C4431" s="1">
        <v>2</v>
      </c>
    </row>
    <row r="4432" spans="1:3" x14ac:dyDescent="0.3">
      <c r="A4432" t="s">
        <v>4431</v>
      </c>
      <c r="B4432">
        <f>44.5179509857143*(1-0.8198)</f>
        <v>8.0221347676257153</v>
      </c>
      <c r="C4432" s="1">
        <v>3</v>
      </c>
    </row>
    <row r="4433" spans="1:3" x14ac:dyDescent="0.3">
      <c r="A4433" t="s">
        <v>4432</v>
      </c>
      <c r="B4433">
        <f>43.3937667257143*(1-0.8198)</f>
        <v>7.8195567639737167</v>
      </c>
      <c r="C4433" s="1">
        <v>2</v>
      </c>
    </row>
    <row r="4434" spans="1:3" x14ac:dyDescent="0.3">
      <c r="A4434" t="s">
        <v>4433</v>
      </c>
      <c r="B4434">
        <f>31.9641684957143*(1-0.8198)</f>
        <v>5.7599431629277156</v>
      </c>
      <c r="C4434" s="1">
        <v>2</v>
      </c>
    </row>
    <row r="4435" spans="1:3" x14ac:dyDescent="0.3">
      <c r="A4435" t="s">
        <v>4434</v>
      </c>
      <c r="B4435">
        <f>18.3778549557143*(1-0.8198)</f>
        <v>3.3116894630197149</v>
      </c>
      <c r="C4435" s="1">
        <v>2</v>
      </c>
    </row>
    <row r="4436" spans="1:3" x14ac:dyDescent="0.3">
      <c r="A4436" t="s">
        <v>4435</v>
      </c>
      <c r="B4436">
        <f>6.79153763571429*(1-0.8198)</f>
        <v>1.2238350819557147</v>
      </c>
      <c r="C4436" s="1">
        <v>3</v>
      </c>
    </row>
    <row r="4437" spans="1:3" x14ac:dyDescent="0.3">
      <c r="A4437" t="s">
        <v>4436</v>
      </c>
      <c r="B4437">
        <f>0.1032*(1-0.8198)</f>
        <v>1.8596640000000005E-2</v>
      </c>
      <c r="C4437" s="1">
        <v>3</v>
      </c>
    </row>
    <row r="4438" spans="1:3" x14ac:dyDescent="0.3">
      <c r="A4438" t="s">
        <v>4437</v>
      </c>
      <c r="B4438">
        <f>0*(1-0.8198)</f>
        <v>0</v>
      </c>
      <c r="C4438" s="1">
        <v>2</v>
      </c>
    </row>
    <row r="4439" spans="1:3" x14ac:dyDescent="0.3">
      <c r="A4439" t="s">
        <v>4438</v>
      </c>
      <c r="B4439">
        <f>0*(1-0.8198)</f>
        <v>0</v>
      </c>
      <c r="C4439" s="1">
        <v>2</v>
      </c>
    </row>
    <row r="4440" spans="1:3" x14ac:dyDescent="0.3">
      <c r="A4440" t="s">
        <v>4439</v>
      </c>
      <c r="B4440">
        <f>0*(1-0.8198)</f>
        <v>0</v>
      </c>
      <c r="C4440" s="1">
        <v>2</v>
      </c>
    </row>
    <row r="4441" spans="1:3" x14ac:dyDescent="0.3">
      <c r="A4441" t="s">
        <v>4440</v>
      </c>
      <c r="B4441">
        <f>0*(1-0.8198)</f>
        <v>0</v>
      </c>
      <c r="C4441" s="1">
        <v>3</v>
      </c>
    </row>
    <row r="4442" spans="1:3" x14ac:dyDescent="0.3">
      <c r="A4442" t="s">
        <v>4441</v>
      </c>
      <c r="B4442">
        <f>0*(1-0.8198)</f>
        <v>0</v>
      </c>
      <c r="C4442" s="1">
        <v>2</v>
      </c>
    </row>
    <row r="4443" spans="1:3" x14ac:dyDescent="0.3">
      <c r="A4443" t="s">
        <v>4442</v>
      </c>
      <c r="B4443">
        <f>0*(1-0.8198)</f>
        <v>0</v>
      </c>
      <c r="C4443" s="1">
        <v>2</v>
      </c>
    </row>
    <row r="4444" spans="1:3" x14ac:dyDescent="0.3">
      <c r="A4444" t="s">
        <v>4443</v>
      </c>
      <c r="B4444">
        <f>0*(1-0.8198)</f>
        <v>0</v>
      </c>
      <c r="C4444" s="1">
        <v>3</v>
      </c>
    </row>
    <row r="4445" spans="1:3" x14ac:dyDescent="0.3">
      <c r="A4445" t="s">
        <v>4444</v>
      </c>
      <c r="B4445">
        <f>0*(1-0.8198)</f>
        <v>0</v>
      </c>
      <c r="C4445" s="1">
        <v>2</v>
      </c>
    </row>
    <row r="4446" spans="1:3" x14ac:dyDescent="0.3">
      <c r="A4446" t="s">
        <v>4445</v>
      </c>
      <c r="B4446">
        <f>0*(1-0.8198)</f>
        <v>0</v>
      </c>
      <c r="C4446" s="1">
        <v>3</v>
      </c>
    </row>
    <row r="4447" spans="1:3" x14ac:dyDescent="0.3">
      <c r="A4447" t="s">
        <v>4446</v>
      </c>
      <c r="B4447">
        <f>2.19433803714286*(1-0.8198)</f>
        <v>0.39541971429314293</v>
      </c>
      <c r="C4447" s="1">
        <v>4</v>
      </c>
    </row>
    <row r="4448" spans="1:3" x14ac:dyDescent="0.3">
      <c r="A4448" t="s">
        <v>4447</v>
      </c>
      <c r="B4448">
        <f>5.73987103285714*(1-0.8198)</f>
        <v>1.0343247601208574</v>
      </c>
      <c r="C4448" s="1">
        <v>4</v>
      </c>
    </row>
    <row r="4449" spans="1:3" x14ac:dyDescent="0.3">
      <c r="A4449" t="s">
        <v>4448</v>
      </c>
      <c r="B4449">
        <f>0*(1-0.8198)</f>
        <v>0</v>
      </c>
      <c r="C4449" s="1">
        <v>3</v>
      </c>
    </row>
    <row r="4450" spans="1:3" x14ac:dyDescent="0.3">
      <c r="A4450" t="s">
        <v>4449</v>
      </c>
      <c r="B4450">
        <f>16.1541457071429*(1-0.8198)</f>
        <v>2.9109770564271429</v>
      </c>
      <c r="C4450" s="1">
        <v>4</v>
      </c>
    </row>
    <row r="4451" spans="1:3" x14ac:dyDescent="0.3">
      <c r="A4451" t="s">
        <v>4450</v>
      </c>
      <c r="B4451">
        <f>8.0754*(1-0.8198)</f>
        <v>1.4551870800000002</v>
      </c>
      <c r="C4451" s="1">
        <v>4</v>
      </c>
    </row>
    <row r="4452" spans="1:3" x14ac:dyDescent="0.3">
      <c r="A4452" t="s">
        <v>4451</v>
      </c>
      <c r="B4452">
        <f>51.2915062671429*(1-0.8198)</f>
        <v>9.2427294293391462</v>
      </c>
      <c r="C4452" s="1">
        <v>5</v>
      </c>
    </row>
    <row r="4453" spans="1:3" x14ac:dyDescent="0.3">
      <c r="A4453" t="s">
        <v>4452</v>
      </c>
      <c r="B4453">
        <f>32.6415890214286*(1-0.8198)</f>
        <v>5.8820143416614297</v>
      </c>
      <c r="C4453" s="1">
        <v>5</v>
      </c>
    </row>
    <row r="4454" spans="1:3" x14ac:dyDescent="0.3">
      <c r="A4454" t="s">
        <v>4453</v>
      </c>
      <c r="B4454">
        <f>14.0782*(1-0.8198)</f>
        <v>2.5368916400000003</v>
      </c>
      <c r="C4454" s="1">
        <v>5</v>
      </c>
    </row>
    <row r="4455" spans="1:3" x14ac:dyDescent="0.3">
      <c r="A4455" t="s">
        <v>4454</v>
      </c>
      <c r="B4455">
        <f>31.5022693142857*(1-0.8198)</f>
        <v>5.6767089304342866</v>
      </c>
      <c r="C4455" s="1">
        <v>3</v>
      </c>
    </row>
    <row r="4456" spans="1:3" x14ac:dyDescent="0.3">
      <c r="A4456" t="s">
        <v>4455</v>
      </c>
      <c r="B4456">
        <f>12.2464*(1-0.8198)</f>
        <v>2.2068012800000001</v>
      </c>
      <c r="C4456" s="1">
        <v>3</v>
      </c>
    </row>
    <row r="4457" spans="1:3" x14ac:dyDescent="0.3">
      <c r="A4457" t="s">
        <v>4456</v>
      </c>
      <c r="B4457">
        <f>30.1466013728571*(1-0.8198)</f>
        <v>5.4324175673888586</v>
      </c>
      <c r="C4457" s="1">
        <v>2</v>
      </c>
    </row>
    <row r="4458" spans="1:3" x14ac:dyDescent="0.3">
      <c r="A4458" t="s">
        <v>4457</v>
      </c>
      <c r="B4458">
        <f>25.8021264114286*(1-0.8198)</f>
        <v>4.6495431793394308</v>
      </c>
      <c r="C4458" s="1">
        <v>2</v>
      </c>
    </row>
    <row r="4459" spans="1:3" x14ac:dyDescent="0.3">
      <c r="A4459" t="s">
        <v>4458</v>
      </c>
      <c r="B4459">
        <f>18.9002161914286*(1-0.8198)</f>
        <v>3.4058189576954288</v>
      </c>
      <c r="C4459" s="1">
        <v>3</v>
      </c>
    </row>
    <row r="4460" spans="1:3" x14ac:dyDescent="0.3">
      <c r="A4460" t="s">
        <v>4459</v>
      </c>
      <c r="B4460">
        <f>4.81085204*(1-0.8198)</f>
        <v>0.86691553760800022</v>
      </c>
      <c r="C4460" s="1">
        <v>2</v>
      </c>
    </row>
    <row r="4461" spans="1:3" x14ac:dyDescent="0.3">
      <c r="A4461" t="s">
        <v>4460</v>
      </c>
      <c r="B4461">
        <f>0*(1-0.8198)</f>
        <v>0</v>
      </c>
      <c r="C4461" s="1">
        <v>2</v>
      </c>
    </row>
    <row r="4462" spans="1:3" x14ac:dyDescent="0.3">
      <c r="A4462" t="s">
        <v>4461</v>
      </c>
      <c r="B4462">
        <f>0*(1-0.8198)</f>
        <v>0</v>
      </c>
      <c r="C4462" s="1">
        <v>3</v>
      </c>
    </row>
    <row r="4463" spans="1:3" x14ac:dyDescent="0.3">
      <c r="A4463" t="s">
        <v>4462</v>
      </c>
      <c r="B4463">
        <f>0*(1-0.8198)</f>
        <v>0</v>
      </c>
      <c r="C4463" s="1">
        <v>2</v>
      </c>
    </row>
    <row r="4464" spans="1:3" x14ac:dyDescent="0.3">
      <c r="A4464" t="s">
        <v>4463</v>
      </c>
      <c r="B4464">
        <f>0*(1-0.8198)</f>
        <v>0</v>
      </c>
      <c r="C4464" s="1">
        <v>2</v>
      </c>
    </row>
    <row r="4465" spans="1:3" x14ac:dyDescent="0.3">
      <c r="A4465" t="s">
        <v>4464</v>
      </c>
      <c r="B4465">
        <f>0*(1-0.8198)</f>
        <v>0</v>
      </c>
      <c r="C4465" s="1">
        <v>3</v>
      </c>
    </row>
    <row r="4466" spans="1:3" x14ac:dyDescent="0.3">
      <c r="A4466" t="s">
        <v>4465</v>
      </c>
      <c r="B4466">
        <f>0*(1-0.8198)</f>
        <v>0</v>
      </c>
      <c r="C4466" s="1">
        <v>2</v>
      </c>
    </row>
    <row r="4467" spans="1:3" x14ac:dyDescent="0.3">
      <c r="A4467" t="s">
        <v>4466</v>
      </c>
      <c r="B4467">
        <f>0*(1-0.8198)</f>
        <v>0</v>
      </c>
      <c r="C4467" s="1">
        <v>2</v>
      </c>
    </row>
    <row r="4468" spans="1:3" x14ac:dyDescent="0.3">
      <c r="A4468" t="s">
        <v>4467</v>
      </c>
      <c r="B4468">
        <f>0*(1-0.8198)</f>
        <v>0</v>
      </c>
      <c r="C4468" s="1">
        <v>3</v>
      </c>
    </row>
    <row r="4469" spans="1:3" x14ac:dyDescent="0.3">
      <c r="A4469" t="s">
        <v>4468</v>
      </c>
      <c r="B4469">
        <f>0*(1-0.8198)</f>
        <v>0</v>
      </c>
      <c r="C4469" s="1">
        <v>2</v>
      </c>
    </row>
    <row r="4470" spans="1:3" x14ac:dyDescent="0.3">
      <c r="A4470" t="s">
        <v>4469</v>
      </c>
      <c r="B4470">
        <f>0*(1-0.8198)</f>
        <v>0</v>
      </c>
      <c r="C4470" s="1">
        <v>3</v>
      </c>
    </row>
    <row r="4471" spans="1:3" x14ac:dyDescent="0.3">
      <c r="A4471" t="s">
        <v>4470</v>
      </c>
      <c r="B4471">
        <f>1.82001333142857*(1-0.8198)</f>
        <v>0.32796640232342866</v>
      </c>
      <c r="C4471" s="1">
        <v>2</v>
      </c>
    </row>
    <row r="4472" spans="1:3" x14ac:dyDescent="0.3">
      <c r="A4472" t="s">
        <v>4471</v>
      </c>
      <c r="B4472">
        <f>11.6127250942857*(1-0.8198)</f>
        <v>2.0926130619902858</v>
      </c>
      <c r="C4472" s="1">
        <v>2</v>
      </c>
    </row>
    <row r="4473" spans="1:3" x14ac:dyDescent="0.3">
      <c r="A4473" t="s">
        <v>4472</v>
      </c>
      <c r="B4473">
        <f>22.5928650257143*(1-0.8198)</f>
        <v>4.0712342776337156</v>
      </c>
      <c r="C4473" s="1">
        <v>3</v>
      </c>
    </row>
    <row r="4474" spans="1:3" x14ac:dyDescent="0.3">
      <c r="A4474" t="s">
        <v>4473</v>
      </c>
      <c r="B4474">
        <f>39.5213512928571*(1-0.8198)</f>
        <v>7.1217475029728581</v>
      </c>
      <c r="C4474" s="1">
        <v>2</v>
      </c>
    </row>
    <row r="4475" spans="1:3" x14ac:dyDescent="0.3">
      <c r="A4475" t="s">
        <v>4474</v>
      </c>
      <c r="B4475">
        <f>48.0055632885714*(1-0.8198)</f>
        <v>8.6506025046005721</v>
      </c>
      <c r="C4475" s="1">
        <v>2</v>
      </c>
    </row>
    <row r="4476" spans="1:3" x14ac:dyDescent="0.3">
      <c r="A4476" t="s">
        <v>4475</v>
      </c>
      <c r="B4476">
        <f>55.2099607557143*(1-0.8198)</f>
        <v>9.9488349281797177</v>
      </c>
      <c r="C4476" s="1">
        <v>2</v>
      </c>
    </row>
    <row r="4477" spans="1:3" x14ac:dyDescent="0.3">
      <c r="A4477" t="s">
        <v>4476</v>
      </c>
      <c r="B4477">
        <f>60.6852064714286*(1-0.8198)</f>
        <v>10.935474206151429</v>
      </c>
      <c r="C4477" s="1">
        <v>3</v>
      </c>
    </row>
    <row r="4478" spans="1:3" x14ac:dyDescent="0.3">
      <c r="A4478" t="s">
        <v>4477</v>
      </c>
      <c r="B4478">
        <f>57.3511095128571*(1-0.8198)</f>
        <v>10.334669934216858</v>
      </c>
      <c r="C4478" s="1">
        <v>2</v>
      </c>
    </row>
    <row r="4479" spans="1:3" x14ac:dyDescent="0.3">
      <c r="A4479" t="s">
        <v>4478</v>
      </c>
      <c r="B4479">
        <f>58.0915438357143*(1-0.8198)</f>
        <v>10.468096199195719</v>
      </c>
      <c r="C4479" s="1">
        <v>2</v>
      </c>
    </row>
    <row r="4480" spans="1:3" x14ac:dyDescent="0.3">
      <c r="A4480" t="s">
        <v>4479</v>
      </c>
      <c r="B4480">
        <f>47.4730783785714*(1-0.8198)</f>
        <v>8.5546487238185733</v>
      </c>
      <c r="C4480" s="1">
        <v>3</v>
      </c>
    </row>
    <row r="4481" spans="1:3" x14ac:dyDescent="0.3">
      <c r="A4481" t="s">
        <v>4480</v>
      </c>
      <c r="B4481">
        <f>33.9724721928571*(1-0.8198)</f>
        <v>6.1218394891528591</v>
      </c>
      <c r="C4481" s="1">
        <v>2</v>
      </c>
    </row>
    <row r="4482" spans="1:3" x14ac:dyDescent="0.3">
      <c r="A4482" t="s">
        <v>4481</v>
      </c>
      <c r="B4482">
        <f>11.6255940728571*(1-0.8198)</f>
        <v>2.0949320519288572</v>
      </c>
      <c r="C4482" s="1">
        <v>3</v>
      </c>
    </row>
    <row r="4483" spans="1:3" x14ac:dyDescent="0.3">
      <c r="A4483" t="s">
        <v>4482</v>
      </c>
      <c r="B4483">
        <f>9.97290535142857*(1-0.8198)</f>
        <v>1.797117544327429</v>
      </c>
      <c r="C4483" s="1">
        <v>2</v>
      </c>
    </row>
    <row r="4484" spans="1:3" x14ac:dyDescent="0.3">
      <c r="A4484" t="s">
        <v>4483</v>
      </c>
      <c r="B4484">
        <f>3.17044694428571*(1-0.8198)</f>
        <v>0.57131453936028576</v>
      </c>
      <c r="C4484" s="1">
        <v>2</v>
      </c>
    </row>
    <row r="4485" spans="1:3" x14ac:dyDescent="0.3">
      <c r="A4485" t="s">
        <v>4484</v>
      </c>
      <c r="B4485">
        <f>0*(1-0.8198)</f>
        <v>0</v>
      </c>
      <c r="C4485" s="1">
        <v>2</v>
      </c>
    </row>
    <row r="4486" spans="1:3" x14ac:dyDescent="0.3">
      <c r="A4486" t="s">
        <v>4485</v>
      </c>
      <c r="B4486">
        <f>0*(1-0.8198)</f>
        <v>0</v>
      </c>
      <c r="C4486" s="1">
        <v>3</v>
      </c>
    </row>
    <row r="4487" spans="1:3" x14ac:dyDescent="0.3">
      <c r="A4487" t="s">
        <v>4486</v>
      </c>
      <c r="B4487">
        <f>0*(1-0.8198)</f>
        <v>0</v>
      </c>
      <c r="C4487" s="1">
        <v>2</v>
      </c>
    </row>
    <row r="4488" spans="1:3" x14ac:dyDescent="0.3">
      <c r="A4488" t="s">
        <v>4487</v>
      </c>
      <c r="B4488">
        <f>0*(1-0.8198)</f>
        <v>0</v>
      </c>
      <c r="C4488" s="1">
        <v>2</v>
      </c>
    </row>
    <row r="4489" spans="1:3" x14ac:dyDescent="0.3">
      <c r="A4489" t="s">
        <v>4488</v>
      </c>
      <c r="B4489">
        <f>0*(1-0.8198)</f>
        <v>0</v>
      </c>
      <c r="C4489" s="1">
        <v>3</v>
      </c>
    </row>
    <row r="4490" spans="1:3" x14ac:dyDescent="0.3">
      <c r="A4490" t="s">
        <v>4489</v>
      </c>
      <c r="B4490">
        <f>0*(1-0.8198)</f>
        <v>0</v>
      </c>
      <c r="C4490" s="1">
        <v>2</v>
      </c>
    </row>
    <row r="4491" spans="1:3" x14ac:dyDescent="0.3">
      <c r="A4491" t="s">
        <v>4490</v>
      </c>
      <c r="B4491">
        <f>0*(1-0.8198)</f>
        <v>0</v>
      </c>
      <c r="C4491" s="1">
        <v>2</v>
      </c>
    </row>
    <row r="4492" spans="1:3" x14ac:dyDescent="0.3">
      <c r="A4492" t="s">
        <v>4491</v>
      </c>
      <c r="B4492">
        <f>0*(1-0.8198)</f>
        <v>0</v>
      </c>
      <c r="C4492" s="1">
        <v>3</v>
      </c>
    </row>
    <row r="4493" spans="1:3" x14ac:dyDescent="0.3">
      <c r="A4493" t="s">
        <v>4492</v>
      </c>
      <c r="B4493">
        <f>0*(1-0.8198)</f>
        <v>0</v>
      </c>
      <c r="C4493" s="1">
        <v>2</v>
      </c>
    </row>
    <row r="4494" spans="1:3" x14ac:dyDescent="0.3">
      <c r="A4494" t="s">
        <v>4493</v>
      </c>
      <c r="B4494">
        <f>0*(1-0.8198)</f>
        <v>0</v>
      </c>
      <c r="C4494" s="1">
        <v>2</v>
      </c>
    </row>
    <row r="4495" spans="1:3" x14ac:dyDescent="0.3">
      <c r="A4495" t="s">
        <v>4494</v>
      </c>
      <c r="B4495">
        <f>3.18410859714286*(1-0.8198)</f>
        <v>0.57377636920514297</v>
      </c>
      <c r="C4495" s="1">
        <v>3</v>
      </c>
    </row>
    <row r="4496" spans="1:3" x14ac:dyDescent="0.3">
      <c r="A4496" t="s">
        <v>4495</v>
      </c>
      <c r="B4496">
        <f>13.6658137214286*(1-0.8198)</f>
        <v>2.4625796326014289</v>
      </c>
      <c r="C4496" s="1">
        <v>2</v>
      </c>
    </row>
    <row r="4497" spans="1:3" x14ac:dyDescent="0.3">
      <c r="A4497" t="s">
        <v>4496</v>
      </c>
      <c r="B4497">
        <f>28.1906272628571*(1-0.8198)</f>
        <v>5.079951032766858</v>
      </c>
      <c r="C4497" s="1">
        <v>2</v>
      </c>
    </row>
    <row r="4498" spans="1:3" x14ac:dyDescent="0.3">
      <c r="A4498" t="s">
        <v>4497</v>
      </c>
      <c r="B4498">
        <f>40.15201153*(1-0.8198)</f>
        <v>7.2353924777060001</v>
      </c>
      <c r="C4498" s="1">
        <v>3</v>
      </c>
    </row>
    <row r="4499" spans="1:3" x14ac:dyDescent="0.3">
      <c r="A4499" t="s">
        <v>4498</v>
      </c>
      <c r="B4499">
        <f>52.4006883185714*(1-0.8198)</f>
        <v>9.4426040350065747</v>
      </c>
      <c r="C4499" s="1">
        <v>2</v>
      </c>
    </row>
    <row r="4500" spans="1:3" x14ac:dyDescent="0.3">
      <c r="A4500" t="s">
        <v>4499</v>
      </c>
      <c r="B4500">
        <f>56.5202506742857*(1-0.8198)</f>
        <v>10.184949171506286</v>
      </c>
      <c r="C4500" s="1">
        <v>2</v>
      </c>
    </row>
    <row r="4501" spans="1:3" x14ac:dyDescent="0.3">
      <c r="A4501" t="s">
        <v>4500</v>
      </c>
      <c r="B4501">
        <f>33.0881196342857*(1-0.8198)</f>
        <v>5.9624791580982857</v>
      </c>
      <c r="C4501" s="1">
        <v>3</v>
      </c>
    </row>
    <row r="4502" spans="1:3" x14ac:dyDescent="0.3">
      <c r="A4502" t="s">
        <v>4501</v>
      </c>
      <c r="B4502">
        <f>16.8431*(1-0.8198)</f>
        <v>3.0351266200000002</v>
      </c>
      <c r="C4502" s="1">
        <v>2</v>
      </c>
    </row>
    <row r="4503" spans="1:3" x14ac:dyDescent="0.3">
      <c r="A4503" t="s">
        <v>4502</v>
      </c>
      <c r="B4503">
        <f>9.81088*(1-0.8198)</f>
        <v>1.7679205760000005</v>
      </c>
      <c r="C4503" s="1">
        <v>2</v>
      </c>
    </row>
    <row r="4504" spans="1:3" x14ac:dyDescent="0.3">
      <c r="A4504" t="s">
        <v>4503</v>
      </c>
      <c r="B4504">
        <f>41.94151243*(1-0.8198)</f>
        <v>7.5578605398860015</v>
      </c>
      <c r="C4504" s="1">
        <v>3</v>
      </c>
    </row>
    <row r="4505" spans="1:3" x14ac:dyDescent="0.3">
      <c r="A4505" t="s">
        <v>4504</v>
      </c>
      <c r="B4505">
        <f>43.7399843585714*(1-0.8198)</f>
        <v>7.8819451814145731</v>
      </c>
      <c r="C4505" s="1">
        <v>2</v>
      </c>
    </row>
    <row r="4506" spans="1:3" x14ac:dyDescent="0.3">
      <c r="A4506" t="s">
        <v>4505</v>
      </c>
      <c r="B4506">
        <f>33.1946338285714*(1-0.8198)</f>
        <v>5.981673015908572</v>
      </c>
      <c r="C4506" s="1">
        <v>2</v>
      </c>
    </row>
    <row r="4507" spans="1:3" x14ac:dyDescent="0.3">
      <c r="A4507" t="s">
        <v>4506</v>
      </c>
      <c r="B4507">
        <f>15.7772992971429*(1-0.8198)</f>
        <v>2.8430693333451433</v>
      </c>
      <c r="C4507" s="1">
        <v>3</v>
      </c>
    </row>
    <row r="4508" spans="1:3" x14ac:dyDescent="0.3">
      <c r="A4508" t="s">
        <v>4507</v>
      </c>
      <c r="B4508">
        <f>6.35389813285714*(1-0.8198)</f>
        <v>1.1449724435408573</v>
      </c>
      <c r="C4508" s="1">
        <v>2</v>
      </c>
    </row>
    <row r="4509" spans="1:3" x14ac:dyDescent="0.3">
      <c r="A4509" t="s">
        <v>4508</v>
      </c>
      <c r="B4509">
        <f>0.10234*(1-0.8198)</f>
        <v>1.8441668000000005E-2</v>
      </c>
      <c r="C4509" s="1">
        <v>2</v>
      </c>
    </row>
    <row r="4510" spans="1:3" x14ac:dyDescent="0.3">
      <c r="A4510" t="s">
        <v>4509</v>
      </c>
      <c r="B4510">
        <f>0*(1-0.8198)</f>
        <v>0</v>
      </c>
      <c r="C4510" s="1">
        <v>2</v>
      </c>
    </row>
    <row r="4511" spans="1:3" x14ac:dyDescent="0.3">
      <c r="A4511" t="s">
        <v>4510</v>
      </c>
      <c r="B4511">
        <f>0*(1-0.8198)</f>
        <v>0</v>
      </c>
      <c r="C4511" s="1">
        <v>3</v>
      </c>
    </row>
    <row r="4512" spans="1:3" x14ac:dyDescent="0.3">
      <c r="A4512" t="s">
        <v>4511</v>
      </c>
      <c r="B4512">
        <f>0*(1-0.8198)</f>
        <v>0</v>
      </c>
      <c r="C4512" s="1">
        <v>2</v>
      </c>
    </row>
    <row r="4513" spans="1:3" x14ac:dyDescent="0.3">
      <c r="A4513" t="s">
        <v>4512</v>
      </c>
      <c r="B4513">
        <f>0*(1-0.8198)</f>
        <v>0</v>
      </c>
      <c r="C4513" s="1">
        <v>2</v>
      </c>
    </row>
    <row r="4514" spans="1:3" x14ac:dyDescent="0.3">
      <c r="A4514" t="s">
        <v>4513</v>
      </c>
      <c r="B4514">
        <f>0*(1-0.8198)</f>
        <v>0</v>
      </c>
      <c r="C4514" s="1">
        <v>3</v>
      </c>
    </row>
    <row r="4515" spans="1:3" x14ac:dyDescent="0.3">
      <c r="A4515" t="s">
        <v>4514</v>
      </c>
      <c r="B4515">
        <f>0*(1-0.8198)</f>
        <v>0</v>
      </c>
      <c r="C4515" s="1">
        <v>2</v>
      </c>
    </row>
    <row r="4516" spans="1:3" x14ac:dyDescent="0.3">
      <c r="A4516" t="s">
        <v>4515</v>
      </c>
      <c r="B4516">
        <f>0*(1-0.8198)</f>
        <v>0</v>
      </c>
      <c r="C4516" s="1">
        <v>2</v>
      </c>
    </row>
    <row r="4517" spans="1:3" x14ac:dyDescent="0.3">
      <c r="A4517" t="s">
        <v>4516</v>
      </c>
      <c r="B4517">
        <f>0*(1-0.8198)</f>
        <v>0</v>
      </c>
      <c r="C4517" s="1">
        <v>3</v>
      </c>
    </row>
    <row r="4518" spans="1:3" x14ac:dyDescent="0.3">
      <c r="A4518" t="s">
        <v>4517</v>
      </c>
      <c r="B4518">
        <f>0*(1-0.8198)</f>
        <v>0</v>
      </c>
      <c r="C4518" s="1">
        <v>2</v>
      </c>
    </row>
    <row r="4519" spans="1:3" x14ac:dyDescent="0.3">
      <c r="A4519" t="s">
        <v>4518</v>
      </c>
      <c r="B4519">
        <f>3.23842552142857*(1-0.8198)</f>
        <v>0.58356427896142871</v>
      </c>
      <c r="C4519" s="1">
        <v>5</v>
      </c>
    </row>
    <row r="4520" spans="1:3" x14ac:dyDescent="0.3">
      <c r="A4520" t="s">
        <v>4519</v>
      </c>
      <c r="B4520">
        <f>14.41670761*(1-0.8198)</f>
        <v>2.5978907113220004</v>
      </c>
      <c r="C4520" s="1">
        <v>3</v>
      </c>
    </row>
    <row r="4521" spans="1:3" x14ac:dyDescent="0.3">
      <c r="A4521" t="s">
        <v>4520</v>
      </c>
      <c r="B4521">
        <f>28.4020535328571*(1-0.8198)</f>
        <v>5.1180500466208585</v>
      </c>
      <c r="C4521" s="1">
        <v>4</v>
      </c>
    </row>
    <row r="4522" spans="1:3" x14ac:dyDescent="0.3">
      <c r="A4522" t="s">
        <v>4521</v>
      </c>
      <c r="B4522">
        <f>40.77106232*(1-0.8198)</f>
        <v>7.3469454300640011</v>
      </c>
      <c r="C4522" s="1">
        <v>4</v>
      </c>
    </row>
    <row r="4523" spans="1:3" x14ac:dyDescent="0.3">
      <c r="A4523" t="s">
        <v>4522</v>
      </c>
      <c r="B4523">
        <f>49.53892744*(1-0.8198)</f>
        <v>8.9269147246880021</v>
      </c>
      <c r="C4523" s="1">
        <v>4</v>
      </c>
    </row>
    <row r="4524" spans="1:3" x14ac:dyDescent="0.3">
      <c r="A4524" t="s">
        <v>4523</v>
      </c>
      <c r="B4524">
        <f>56.3432409285714*(1-0.8198)</f>
        <v>10.153052015328575</v>
      </c>
      <c r="C4524" s="1">
        <v>7</v>
      </c>
    </row>
    <row r="4525" spans="1:3" x14ac:dyDescent="0.3">
      <c r="A4525" t="s">
        <v>4524</v>
      </c>
      <c r="B4525">
        <f>60.6541304942857*(1-0.8198)</f>
        <v>10.929874315070286</v>
      </c>
      <c r="C4525" s="1">
        <v>7</v>
      </c>
    </row>
    <row r="4526" spans="1:3" x14ac:dyDescent="0.3">
      <c r="A4526" t="s">
        <v>4525</v>
      </c>
      <c r="B4526">
        <f>61.0662449514286*(1-0.8198)</f>
        <v>11.00413734024743</v>
      </c>
      <c r="C4526" s="1">
        <v>6</v>
      </c>
    </row>
    <row r="4527" spans="1:3" x14ac:dyDescent="0.3">
      <c r="A4527" t="s">
        <v>4526</v>
      </c>
      <c r="B4527">
        <f>58.3221330557143*(1-0.8198)</f>
        <v>10.509648376639717</v>
      </c>
      <c r="C4527" s="1">
        <v>2</v>
      </c>
    </row>
    <row r="4528" spans="1:3" x14ac:dyDescent="0.3">
      <c r="A4528" t="s">
        <v>4527</v>
      </c>
      <c r="B4528">
        <f>52.7590584271429*(1-0.8198)</f>
        <v>9.5071823285711439</v>
      </c>
      <c r="C4528" s="1">
        <v>3</v>
      </c>
    </row>
    <row r="4529" spans="1:3" x14ac:dyDescent="0.3">
      <c r="A4529" t="s">
        <v>4528</v>
      </c>
      <c r="B4529">
        <f>43.2872654314286*(1-0.8198)</f>
        <v>7.8003652307434299</v>
      </c>
      <c r="C4529" s="1">
        <v>2</v>
      </c>
    </row>
    <row r="4530" spans="1:3" x14ac:dyDescent="0.3">
      <c r="A4530" t="s">
        <v>4529</v>
      </c>
      <c r="B4530">
        <f>31.48703251*(1-0.8198)</f>
        <v>5.6739632583020008</v>
      </c>
      <c r="C4530" s="1">
        <v>2</v>
      </c>
    </row>
    <row r="4531" spans="1:3" x14ac:dyDescent="0.3">
      <c r="A4531" t="s">
        <v>4530</v>
      </c>
      <c r="B4531">
        <f>18.3246662285714*(1-0.8198)</f>
        <v>3.3021048543885723</v>
      </c>
      <c r="C4531" s="1">
        <v>2</v>
      </c>
    </row>
    <row r="4532" spans="1:3" x14ac:dyDescent="0.3">
      <c r="A4532" t="s">
        <v>4531</v>
      </c>
      <c r="B4532">
        <f>6.71499315142857*(1-0.8198)</f>
        <v>1.2100417658874287</v>
      </c>
      <c r="C4532" s="1">
        <v>3</v>
      </c>
    </row>
    <row r="4533" spans="1:3" x14ac:dyDescent="0.3">
      <c r="A4533" t="s">
        <v>4532</v>
      </c>
      <c r="B4533">
        <f>0.10148*(1-0.8198)</f>
        <v>1.8286696000000002E-2</v>
      </c>
      <c r="C4533" s="1">
        <v>2</v>
      </c>
    </row>
    <row r="4534" spans="1:3" x14ac:dyDescent="0.3">
      <c r="A4534" t="s">
        <v>4533</v>
      </c>
      <c r="B4534">
        <f>0*(1-0.8198)</f>
        <v>0</v>
      </c>
      <c r="C4534" s="1">
        <v>2</v>
      </c>
    </row>
    <row r="4535" spans="1:3" x14ac:dyDescent="0.3">
      <c r="A4535" t="s">
        <v>4534</v>
      </c>
      <c r="B4535">
        <f>0*(1-0.8198)</f>
        <v>0</v>
      </c>
      <c r="C4535" s="1">
        <v>3</v>
      </c>
    </row>
    <row r="4536" spans="1:3" x14ac:dyDescent="0.3">
      <c r="A4536" t="s">
        <v>4535</v>
      </c>
      <c r="B4536">
        <f>0*(1-0.8198)</f>
        <v>0</v>
      </c>
      <c r="C4536" s="1">
        <v>2</v>
      </c>
    </row>
    <row r="4537" spans="1:3" x14ac:dyDescent="0.3">
      <c r="A4537" t="s">
        <v>4536</v>
      </c>
      <c r="B4537">
        <f>0*(1-0.8198)</f>
        <v>0</v>
      </c>
      <c r="C4537" s="1">
        <v>2</v>
      </c>
    </row>
    <row r="4538" spans="1:3" x14ac:dyDescent="0.3">
      <c r="A4538" t="s">
        <v>4537</v>
      </c>
      <c r="B4538">
        <f>0*(1-0.8198)</f>
        <v>0</v>
      </c>
      <c r="C4538" s="1">
        <v>2</v>
      </c>
    </row>
    <row r="4539" spans="1:3" x14ac:dyDescent="0.3">
      <c r="A4539" t="s">
        <v>4538</v>
      </c>
      <c r="B4539">
        <f>0*(1-0.8198)</f>
        <v>0</v>
      </c>
      <c r="C4539" s="1">
        <v>3</v>
      </c>
    </row>
    <row r="4540" spans="1:3" x14ac:dyDescent="0.3">
      <c r="A4540" t="s">
        <v>4539</v>
      </c>
      <c r="B4540">
        <f>0*(1-0.8198)</f>
        <v>0</v>
      </c>
      <c r="C4540" s="1">
        <v>2</v>
      </c>
    </row>
    <row r="4541" spans="1:3" x14ac:dyDescent="0.3">
      <c r="A4541" t="s">
        <v>4540</v>
      </c>
      <c r="B4541">
        <f>0*(1-0.8198)</f>
        <v>0</v>
      </c>
      <c r="C4541" s="1">
        <v>2</v>
      </c>
    </row>
    <row r="4542" spans="1:3" x14ac:dyDescent="0.3">
      <c r="A4542" t="s">
        <v>4541</v>
      </c>
      <c r="B4542">
        <f>0*(1-0.8198)</f>
        <v>0</v>
      </c>
      <c r="C4542" s="1">
        <v>3</v>
      </c>
    </row>
    <row r="4543" spans="1:3" x14ac:dyDescent="0.3">
      <c r="A4543" t="s">
        <v>4542</v>
      </c>
      <c r="B4543">
        <f>2.73741728714286*(1-0.8198)</f>
        <v>0.49328259514314304</v>
      </c>
      <c r="C4543" s="1">
        <v>3</v>
      </c>
    </row>
    <row r="4544" spans="1:3" x14ac:dyDescent="0.3">
      <c r="A4544" t="s">
        <v>4543</v>
      </c>
      <c r="B4544">
        <f>13.7732073885714*(1-0.8198)</f>
        <v>2.4819319714205723</v>
      </c>
      <c r="C4544" s="1">
        <v>4</v>
      </c>
    </row>
    <row r="4545" spans="1:3" x14ac:dyDescent="0.3">
      <c r="A4545" t="s">
        <v>4544</v>
      </c>
      <c r="B4545">
        <f>26.5513084085714*(1-0.8198)</f>
        <v>4.784545775224573</v>
      </c>
      <c r="C4545" s="1">
        <v>3</v>
      </c>
    </row>
    <row r="4546" spans="1:3" x14ac:dyDescent="0.3">
      <c r="A4546" t="s">
        <v>4545</v>
      </c>
      <c r="B4546">
        <f>38.7810517442857*(1-0.8198)</f>
        <v>6.9883455243202874</v>
      </c>
      <c r="C4546" s="1">
        <v>6</v>
      </c>
    </row>
    <row r="4547" spans="1:3" x14ac:dyDescent="0.3">
      <c r="A4547" t="s">
        <v>4546</v>
      </c>
      <c r="B4547">
        <f>47.9068805614286*(1-0.8198)</f>
        <v>8.6328198771694282</v>
      </c>
      <c r="C4547" s="1">
        <v>7</v>
      </c>
    </row>
    <row r="4548" spans="1:3" x14ac:dyDescent="0.3">
      <c r="A4548" t="s">
        <v>4547</v>
      </c>
      <c r="B4548">
        <f>55.2517175028571*(1-0.8198)</f>
        <v>9.9563594940148583</v>
      </c>
      <c r="C4548" s="1">
        <v>7</v>
      </c>
    </row>
    <row r="4549" spans="1:3" x14ac:dyDescent="0.3">
      <c r="A4549" t="s">
        <v>4548</v>
      </c>
      <c r="B4549">
        <f>59.49742816*(1-0.8198)</f>
        <v>10.721436554432003</v>
      </c>
      <c r="C4549" s="1">
        <v>7</v>
      </c>
    </row>
    <row r="4550" spans="1:3" x14ac:dyDescent="0.3">
      <c r="A4550" t="s">
        <v>4549</v>
      </c>
      <c r="B4550">
        <f>60.3719112357143*(1-0.8198)</f>
        <v>10.879018404675715</v>
      </c>
      <c r="C4550" s="1">
        <v>6</v>
      </c>
    </row>
    <row r="4551" spans="1:3" x14ac:dyDescent="0.3">
      <c r="A4551" t="s">
        <v>4550</v>
      </c>
      <c r="B4551">
        <f>56.2765795028571*(1-0.8198)</f>
        <v>10.141039626414859</v>
      </c>
      <c r="C4551" s="1">
        <v>4</v>
      </c>
    </row>
    <row r="4552" spans="1:3" x14ac:dyDescent="0.3">
      <c r="A4552" t="s">
        <v>4551</v>
      </c>
      <c r="B4552">
        <f>51.6033807214286*(1-0.8198)</f>
        <v>9.2989292060014321</v>
      </c>
      <c r="C4552" s="1">
        <v>2</v>
      </c>
    </row>
    <row r="4553" spans="1:3" x14ac:dyDescent="0.3">
      <c r="A4553" t="s">
        <v>4552</v>
      </c>
      <c r="B4553">
        <f>41.7049284571429*(1-0.8198)</f>
        <v>7.5152281079771441</v>
      </c>
      <c r="C4553" s="1">
        <v>2</v>
      </c>
    </row>
    <row r="4554" spans="1:3" x14ac:dyDescent="0.3">
      <c r="A4554" t="s">
        <v>4553</v>
      </c>
      <c r="B4554">
        <f>30.7166515128571*(1-0.8198)</f>
        <v>5.5351406026168588</v>
      </c>
      <c r="C4554" s="1">
        <v>3</v>
      </c>
    </row>
    <row r="4555" spans="1:3" x14ac:dyDescent="0.3">
      <c r="A4555" t="s">
        <v>4554</v>
      </c>
      <c r="B4555">
        <f>17.7382212942857*(1-0.8198)</f>
        <v>3.1964274772302863</v>
      </c>
      <c r="C4555" s="1">
        <v>2</v>
      </c>
    </row>
    <row r="4556" spans="1:3" x14ac:dyDescent="0.3">
      <c r="A4556" t="s">
        <v>4555</v>
      </c>
      <c r="B4556">
        <f>6.43747496*(1-0.8198)</f>
        <v>1.1600329877920004</v>
      </c>
      <c r="C4556" s="1">
        <v>3</v>
      </c>
    </row>
    <row r="4557" spans="1:3" x14ac:dyDescent="0.3">
      <c r="A4557" t="s">
        <v>4556</v>
      </c>
      <c r="B4557">
        <f>0.06536*(1-0.8198)</f>
        <v>1.1777872000000002E-2</v>
      </c>
      <c r="C4557" s="1">
        <v>3</v>
      </c>
    </row>
    <row r="4558" spans="1:3" x14ac:dyDescent="0.3">
      <c r="A4558" t="s">
        <v>4557</v>
      </c>
      <c r="B4558">
        <f>0*(1-0.8198)</f>
        <v>0</v>
      </c>
      <c r="C4558" s="1">
        <v>2</v>
      </c>
    </row>
    <row r="4559" spans="1:3" x14ac:dyDescent="0.3">
      <c r="A4559" t="s">
        <v>4558</v>
      </c>
      <c r="B4559">
        <f>0*(1-0.8198)</f>
        <v>0</v>
      </c>
      <c r="C4559" s="1">
        <v>2</v>
      </c>
    </row>
    <row r="4560" spans="1:3" x14ac:dyDescent="0.3">
      <c r="A4560" t="s">
        <v>4559</v>
      </c>
      <c r="B4560">
        <f>0*(1-0.8198)</f>
        <v>0</v>
      </c>
      <c r="C4560" s="1">
        <v>2</v>
      </c>
    </row>
    <row r="4561" spans="1:3" x14ac:dyDescent="0.3">
      <c r="A4561" t="s">
        <v>4560</v>
      </c>
      <c r="B4561">
        <f>0*(1-0.8198)</f>
        <v>0</v>
      </c>
      <c r="C4561" s="1">
        <v>3</v>
      </c>
    </row>
    <row r="4562" spans="1:3" x14ac:dyDescent="0.3">
      <c r="A4562" t="s">
        <v>4561</v>
      </c>
      <c r="B4562">
        <f>0*(1-0.8198)</f>
        <v>0</v>
      </c>
      <c r="C4562" s="1">
        <v>2</v>
      </c>
    </row>
    <row r="4563" spans="1:3" x14ac:dyDescent="0.3">
      <c r="A4563" t="s">
        <v>4562</v>
      </c>
      <c r="B4563">
        <f>0*(1-0.8198)</f>
        <v>0</v>
      </c>
      <c r="C4563" s="1">
        <v>2</v>
      </c>
    </row>
    <row r="4564" spans="1:3" x14ac:dyDescent="0.3">
      <c r="A4564" t="s">
        <v>4563</v>
      </c>
      <c r="B4564">
        <f>0*(1-0.8198)</f>
        <v>0</v>
      </c>
      <c r="C4564" s="1">
        <v>2</v>
      </c>
    </row>
    <row r="4565" spans="1:3" x14ac:dyDescent="0.3">
      <c r="A4565" t="s">
        <v>4564</v>
      </c>
      <c r="B4565">
        <f>0*(1-0.8198)</f>
        <v>0</v>
      </c>
      <c r="C4565" s="1">
        <v>2</v>
      </c>
    </row>
    <row r="4566" spans="1:3" x14ac:dyDescent="0.3">
      <c r="A4566" t="s">
        <v>4565</v>
      </c>
      <c r="B4566">
        <f>0*(1-0.8198)</f>
        <v>0</v>
      </c>
      <c r="C4566" s="1">
        <v>3</v>
      </c>
    </row>
    <row r="4567" spans="1:3" x14ac:dyDescent="0.3">
      <c r="A4567" t="s">
        <v>4566</v>
      </c>
      <c r="B4567">
        <f>2.16201155857143*(1-0.8198)</f>
        <v>0.38959448285457154</v>
      </c>
      <c r="C4567" s="1">
        <v>3</v>
      </c>
    </row>
    <row r="4568" spans="1:3" x14ac:dyDescent="0.3">
      <c r="A4568" t="s">
        <v>4567</v>
      </c>
      <c r="B4568">
        <f>12.9987141785714*(1-0.8198)</f>
        <v>2.3423682949785718</v>
      </c>
      <c r="C4568" s="1">
        <v>3</v>
      </c>
    </row>
    <row r="4569" spans="1:3" x14ac:dyDescent="0.3">
      <c r="A4569" t="s">
        <v>4568</v>
      </c>
      <c r="B4569">
        <f>26.6179087742857*(1-0.8198)</f>
        <v>4.796547161126286</v>
      </c>
      <c r="C4569" s="1">
        <v>4</v>
      </c>
    </row>
    <row r="4570" spans="1:3" x14ac:dyDescent="0.3">
      <c r="A4570" t="s">
        <v>4569</v>
      </c>
      <c r="B4570">
        <f>39.2379702357143*(1-0.8198)</f>
        <v>7.0706822364757169</v>
      </c>
      <c r="C4570" s="1">
        <v>4</v>
      </c>
    </row>
    <row r="4571" spans="1:3" x14ac:dyDescent="0.3">
      <c r="A4571" t="s">
        <v>4570</v>
      </c>
      <c r="B4571">
        <f>48.2212366071428*(1-0.8198)</f>
        <v>8.6894668366071421</v>
      </c>
      <c r="C4571" s="1">
        <v>4</v>
      </c>
    </row>
    <row r="4572" spans="1:3" x14ac:dyDescent="0.3">
      <c r="A4572" t="s">
        <v>4571</v>
      </c>
      <c r="B4572">
        <f>55.6498862614286*(1-0.8198)</f>
        <v>10.02810950430943</v>
      </c>
      <c r="C4572" s="1">
        <v>4</v>
      </c>
    </row>
    <row r="4573" spans="1:3" x14ac:dyDescent="0.3">
      <c r="A4573" t="s">
        <v>4572</v>
      </c>
      <c r="B4573">
        <f>59.6807618542857*(1-0.8198)</f>
        <v>10.754473286142288</v>
      </c>
      <c r="C4573" s="1">
        <v>5</v>
      </c>
    </row>
    <row r="4574" spans="1:3" x14ac:dyDescent="0.3">
      <c r="A4574" t="s">
        <v>4573</v>
      </c>
      <c r="B4574">
        <f>60.4008864171429*(1-0.8198)</f>
        <v>10.884239732369144</v>
      </c>
      <c r="C4574" s="1">
        <v>3</v>
      </c>
    </row>
    <row r="4575" spans="1:3" x14ac:dyDescent="0.3">
      <c r="A4575" t="s">
        <v>4574</v>
      </c>
      <c r="B4575">
        <f>57.0709451014286*(1-0.8198)</f>
        <v>10.28418430727743</v>
      </c>
      <c r="C4575" s="1">
        <v>3</v>
      </c>
    </row>
    <row r="4576" spans="1:3" x14ac:dyDescent="0.3">
      <c r="A4576" t="s">
        <v>4575</v>
      </c>
      <c r="B4576">
        <f>51.5850211957143*(1-0.8198)</f>
        <v>9.2956208194677163</v>
      </c>
      <c r="C4576" s="1">
        <v>3</v>
      </c>
    </row>
    <row r="4577" spans="1:3" x14ac:dyDescent="0.3">
      <c r="A4577" t="s">
        <v>4576</v>
      </c>
      <c r="B4577">
        <f>41.90688367*(1-0.8198)</f>
        <v>7.5516204373340026</v>
      </c>
      <c r="C4577" s="1">
        <v>2</v>
      </c>
    </row>
    <row r="4578" spans="1:3" x14ac:dyDescent="0.3">
      <c r="A4578" t="s">
        <v>4577</v>
      </c>
      <c r="B4578">
        <f>30.3243069814286*(1-0.8198)</f>
        <v>5.464440118053429</v>
      </c>
      <c r="C4578" s="1">
        <v>2</v>
      </c>
    </row>
    <row r="4579" spans="1:3" x14ac:dyDescent="0.3">
      <c r="A4579" t="s">
        <v>4578</v>
      </c>
      <c r="B4579">
        <f>17.39724315*(1-0.8198)</f>
        <v>3.1349832156300006</v>
      </c>
      <c r="C4579" s="1">
        <v>3</v>
      </c>
    </row>
    <row r="4580" spans="1:3" x14ac:dyDescent="0.3">
      <c r="A4580" t="s">
        <v>4579</v>
      </c>
      <c r="B4580">
        <f>6.28393645714286*(1-0.8198)</f>
        <v>1.1323653495771431</v>
      </c>
      <c r="C4580" s="1">
        <v>2</v>
      </c>
    </row>
    <row r="4581" spans="1:3" x14ac:dyDescent="0.3">
      <c r="A4581" t="s">
        <v>4580</v>
      </c>
      <c r="B4581">
        <f>0.03182*(1-0.8198)</f>
        <v>5.7339640000000011E-3</v>
      </c>
      <c r="C4581" s="1">
        <v>3</v>
      </c>
    </row>
    <row r="4582" spans="1:3" x14ac:dyDescent="0.3">
      <c r="A4582" t="s">
        <v>4581</v>
      </c>
      <c r="B4582">
        <f>0*(1-0.8198)</f>
        <v>0</v>
      </c>
      <c r="C4582" s="1">
        <v>2</v>
      </c>
    </row>
    <row r="4583" spans="1:3" x14ac:dyDescent="0.3">
      <c r="A4583" t="s">
        <v>4582</v>
      </c>
      <c r="B4583">
        <f>0*(1-0.8198)</f>
        <v>0</v>
      </c>
      <c r="C4583" s="1">
        <v>2</v>
      </c>
    </row>
    <row r="4584" spans="1:3" x14ac:dyDescent="0.3">
      <c r="A4584" t="s">
        <v>4583</v>
      </c>
      <c r="B4584">
        <f>0*(1-0.8198)</f>
        <v>0</v>
      </c>
      <c r="C4584" s="1">
        <v>2</v>
      </c>
    </row>
    <row r="4585" spans="1:3" x14ac:dyDescent="0.3">
      <c r="A4585" t="s">
        <v>4584</v>
      </c>
      <c r="B4585">
        <f>0*(1-0.8198)</f>
        <v>0</v>
      </c>
      <c r="C4585" s="1">
        <v>3</v>
      </c>
    </row>
    <row r="4586" spans="1:3" x14ac:dyDescent="0.3">
      <c r="A4586" t="s">
        <v>4585</v>
      </c>
      <c r="B4586">
        <f>0*(1-0.8198)</f>
        <v>0</v>
      </c>
      <c r="C4586" s="1">
        <v>2</v>
      </c>
    </row>
    <row r="4587" spans="1:3" x14ac:dyDescent="0.3">
      <c r="A4587" t="s">
        <v>4586</v>
      </c>
      <c r="B4587">
        <f>0*(1-0.8198)</f>
        <v>0</v>
      </c>
      <c r="C4587" s="1">
        <v>2</v>
      </c>
    </row>
    <row r="4588" spans="1:3" x14ac:dyDescent="0.3">
      <c r="A4588" t="s">
        <v>4587</v>
      </c>
      <c r="B4588">
        <f>0*(1-0.8198)</f>
        <v>0</v>
      </c>
      <c r="C4588" s="1">
        <v>3</v>
      </c>
    </row>
    <row r="4589" spans="1:3" x14ac:dyDescent="0.3">
      <c r="A4589" t="s">
        <v>4588</v>
      </c>
      <c r="B4589">
        <f>0*(1-0.8198)</f>
        <v>0</v>
      </c>
      <c r="C4589" s="1">
        <v>2</v>
      </c>
    </row>
    <row r="4590" spans="1:3" x14ac:dyDescent="0.3">
      <c r="A4590" t="s">
        <v>4589</v>
      </c>
      <c r="B4590">
        <f>0*(1-0.8198)</f>
        <v>0</v>
      </c>
      <c r="C4590" s="1">
        <v>3</v>
      </c>
    </row>
    <row r="4591" spans="1:3" x14ac:dyDescent="0.3">
      <c r="A4591" t="s">
        <v>4590</v>
      </c>
      <c r="B4591">
        <f>1.86893344857143*(1-0.8198)</f>
        <v>0.33678180743257163</v>
      </c>
      <c r="C4591" s="1">
        <v>4</v>
      </c>
    </row>
    <row r="4592" spans="1:3" x14ac:dyDescent="0.3">
      <c r="A4592" t="s">
        <v>4591</v>
      </c>
      <c r="B4592">
        <f>12.0908637171429*(1-0.8198)</f>
        <v>2.1787736418291428</v>
      </c>
      <c r="C4592" s="1">
        <v>4</v>
      </c>
    </row>
    <row r="4593" spans="1:3" x14ac:dyDescent="0.3">
      <c r="A4593" t="s">
        <v>4592</v>
      </c>
      <c r="B4593">
        <f>24.88237441*(1-0.8198)</f>
        <v>4.4838038686820001</v>
      </c>
      <c r="C4593" s="1">
        <v>4</v>
      </c>
    </row>
    <row r="4594" spans="1:3" x14ac:dyDescent="0.3">
      <c r="A4594" t="s">
        <v>4593</v>
      </c>
      <c r="B4594">
        <f>36.6994369785714*(1-0.8198)</f>
        <v>6.6132385435385723</v>
      </c>
      <c r="C4594" s="1">
        <v>3</v>
      </c>
    </row>
    <row r="4595" spans="1:3" x14ac:dyDescent="0.3">
      <c r="A4595" t="s">
        <v>4594</v>
      </c>
      <c r="B4595">
        <f>47.2943730814286*(1-0.8198)</f>
        <v>8.5224460292734285</v>
      </c>
      <c r="C4595" s="1">
        <v>3</v>
      </c>
    </row>
    <row r="4596" spans="1:3" x14ac:dyDescent="0.3">
      <c r="A4596" t="s">
        <v>4595</v>
      </c>
      <c r="B4596">
        <f>37.4257062414286*(1-0.8198)</f>
        <v>6.7441122647054295</v>
      </c>
      <c r="C4596" s="1">
        <v>3</v>
      </c>
    </row>
    <row r="4597" spans="1:3" x14ac:dyDescent="0.3">
      <c r="A4597" t="s">
        <v>4596</v>
      </c>
      <c r="B4597">
        <f>36.4491262385714*(1-0.8198)</f>
        <v>6.5681325481905732</v>
      </c>
      <c r="C4597" s="1">
        <v>3</v>
      </c>
    </row>
    <row r="4598" spans="1:3" x14ac:dyDescent="0.3">
      <c r="A4598" t="s">
        <v>4597</v>
      </c>
      <c r="B4598">
        <f>59.29122596*(1-0.8198)</f>
        <v>10.684278917992003</v>
      </c>
      <c r="C4598" s="1">
        <v>2</v>
      </c>
    </row>
    <row r="4599" spans="1:3" x14ac:dyDescent="0.3">
      <c r="A4599" t="s">
        <v>4598</v>
      </c>
      <c r="B4599">
        <f>56.4172699742857*(1-0.8198)</f>
        <v>10.166392049366289</v>
      </c>
      <c r="C4599" s="1">
        <v>3</v>
      </c>
    </row>
    <row r="4600" spans="1:3" x14ac:dyDescent="0.3">
      <c r="A4600" t="s">
        <v>4599</v>
      </c>
      <c r="B4600">
        <f>50.8745001914286*(1-0.8198)</f>
        <v>9.1675849344954301</v>
      </c>
      <c r="C4600" s="1">
        <v>2</v>
      </c>
    </row>
    <row r="4601" spans="1:3" x14ac:dyDescent="0.3">
      <c r="A4601" t="s">
        <v>4600</v>
      </c>
      <c r="B4601">
        <f>41.6720524385714*(1-0.8198)</f>
        <v>7.5093038494305748</v>
      </c>
      <c r="C4601" s="1">
        <v>2</v>
      </c>
    </row>
    <row r="4602" spans="1:3" x14ac:dyDescent="0.3">
      <c r="A4602" t="s">
        <v>4601</v>
      </c>
      <c r="B4602">
        <f>29.9947807814286*(1-0.8198)</f>
        <v>5.4050594968134291</v>
      </c>
      <c r="C4602" s="1">
        <v>3</v>
      </c>
    </row>
    <row r="4603" spans="1:3" x14ac:dyDescent="0.3">
      <c r="A4603" t="s">
        <v>4602</v>
      </c>
      <c r="B4603">
        <f>16.3204665128571*(1-0.8198)</f>
        <v>2.9409480656168578</v>
      </c>
      <c r="C4603" s="1">
        <v>2</v>
      </c>
    </row>
    <row r="4604" spans="1:3" x14ac:dyDescent="0.3">
      <c r="A4604" t="s">
        <v>4603</v>
      </c>
      <c r="B4604">
        <f>1.0148*(1-0.8198)</f>
        <v>0.18286696000000005</v>
      </c>
      <c r="C4604" s="1">
        <v>2</v>
      </c>
    </row>
    <row r="4605" spans="1:3" x14ac:dyDescent="0.3">
      <c r="A4605" t="s">
        <v>4604</v>
      </c>
      <c r="B4605">
        <f>0*(1-0.8198)</f>
        <v>0</v>
      </c>
      <c r="C4605" s="1">
        <v>3</v>
      </c>
    </row>
    <row r="4606" spans="1:3" x14ac:dyDescent="0.3">
      <c r="A4606" t="s">
        <v>4605</v>
      </c>
      <c r="B4606">
        <f>0*(1-0.8198)</f>
        <v>0</v>
      </c>
      <c r="C4606" s="1">
        <v>2</v>
      </c>
    </row>
    <row r="4607" spans="1:3" x14ac:dyDescent="0.3">
      <c r="A4607" t="s">
        <v>4606</v>
      </c>
      <c r="B4607">
        <f>0*(1-0.8198)</f>
        <v>0</v>
      </c>
      <c r="C4607" s="1">
        <v>2</v>
      </c>
    </row>
    <row r="4608" spans="1:3" x14ac:dyDescent="0.3">
      <c r="A4608" t="s">
        <v>4607</v>
      </c>
      <c r="B4608">
        <f>0*(1-0.8198)</f>
        <v>0</v>
      </c>
      <c r="C4608" s="1">
        <v>3</v>
      </c>
    </row>
    <row r="4609" spans="1:3" x14ac:dyDescent="0.3">
      <c r="A4609" t="s">
        <v>4608</v>
      </c>
      <c r="B4609">
        <f>0*(1-0.8198)</f>
        <v>0</v>
      </c>
      <c r="C4609" s="1">
        <v>2</v>
      </c>
    </row>
    <row r="4610" spans="1:3" x14ac:dyDescent="0.3">
      <c r="A4610" t="s">
        <v>4609</v>
      </c>
      <c r="B4610">
        <f>0*(1-0.8198)</f>
        <v>0</v>
      </c>
      <c r="C4610" s="1">
        <v>2</v>
      </c>
    </row>
    <row r="4611" spans="1:3" x14ac:dyDescent="0.3">
      <c r="A4611" t="s">
        <v>4610</v>
      </c>
      <c r="B4611">
        <f>0*(1-0.8198)</f>
        <v>0</v>
      </c>
      <c r="C4611" s="1">
        <v>3</v>
      </c>
    </row>
    <row r="4612" spans="1:3" x14ac:dyDescent="0.3">
      <c r="A4612" t="s">
        <v>4611</v>
      </c>
      <c r="B4612">
        <f>0*(1-0.8198)</f>
        <v>0</v>
      </c>
      <c r="C4612" s="1">
        <v>2</v>
      </c>
    </row>
    <row r="4613" spans="1:3" x14ac:dyDescent="0.3">
      <c r="A4613" t="s">
        <v>4612</v>
      </c>
      <c r="B4613">
        <f>0*(1-0.8198)</f>
        <v>0</v>
      </c>
      <c r="C4613" s="1">
        <v>2</v>
      </c>
    </row>
    <row r="4614" spans="1:3" x14ac:dyDescent="0.3">
      <c r="A4614" t="s">
        <v>4613</v>
      </c>
      <c r="B4614">
        <f>0*(1-0.8198)</f>
        <v>0</v>
      </c>
      <c r="C4614" s="1">
        <v>3</v>
      </c>
    </row>
    <row r="4615" spans="1:3" x14ac:dyDescent="0.3">
      <c r="A4615" t="s">
        <v>4614</v>
      </c>
      <c r="B4615">
        <f>1.85714512142857*(1-0.8198)</f>
        <v>0.33465755088142868</v>
      </c>
      <c r="C4615" s="1">
        <v>3</v>
      </c>
    </row>
    <row r="4616" spans="1:3" x14ac:dyDescent="0.3">
      <c r="A4616" t="s">
        <v>4615</v>
      </c>
      <c r="B4616">
        <f>11.7229148671429*(1-0.8198)</f>
        <v>2.1124692590591434</v>
      </c>
      <c r="C4616" s="1">
        <v>3</v>
      </c>
    </row>
    <row r="4617" spans="1:3" x14ac:dyDescent="0.3">
      <c r="A4617" t="s">
        <v>4616</v>
      </c>
      <c r="B4617">
        <f>26.3766381085714*(1-0.8198)</f>
        <v>4.7530701871645729</v>
      </c>
      <c r="C4617" s="1">
        <v>3</v>
      </c>
    </row>
    <row r="4618" spans="1:3" x14ac:dyDescent="0.3">
      <c r="A4618" t="s">
        <v>4617</v>
      </c>
      <c r="B4618">
        <f>38.2229715757143*(1-0.8198)</f>
        <v>6.8877794779437158</v>
      </c>
      <c r="C4618" s="1">
        <v>4</v>
      </c>
    </row>
    <row r="4619" spans="1:3" x14ac:dyDescent="0.3">
      <c r="A4619" t="s">
        <v>4618</v>
      </c>
      <c r="B4619">
        <f>47.3743772228572*(1-0.8198)</f>
        <v>8.5368627755588609</v>
      </c>
      <c r="C4619" s="1">
        <v>4</v>
      </c>
    </row>
    <row r="4620" spans="1:3" x14ac:dyDescent="0.3">
      <c r="A4620" t="s">
        <v>4619</v>
      </c>
      <c r="B4620">
        <f>55.7843981242857*(1-0.8198)</f>
        <v>10.052348541996288</v>
      </c>
      <c r="C4620" s="1">
        <v>5</v>
      </c>
    </row>
    <row r="4621" spans="1:3" x14ac:dyDescent="0.3">
      <c r="A4621" t="s">
        <v>4620</v>
      </c>
      <c r="B4621">
        <f>59.7952306185714*(1-0.8198)</f>
        <v>10.775100557466576</v>
      </c>
      <c r="C4621" s="1">
        <v>4</v>
      </c>
    </row>
    <row r="4622" spans="1:3" x14ac:dyDescent="0.3">
      <c r="A4622" t="s">
        <v>4621</v>
      </c>
      <c r="B4622">
        <f>54.3596858814286*(1-0.8198)</f>
        <v>9.7956153958334315</v>
      </c>
      <c r="C4622" s="1">
        <v>3</v>
      </c>
    </row>
    <row r="4623" spans="1:3" x14ac:dyDescent="0.3">
      <c r="A4623" t="s">
        <v>4622</v>
      </c>
      <c r="B4623">
        <f>52.5524168285714*(1-0.8198)</f>
        <v>9.4699455125085734</v>
      </c>
      <c r="C4623" s="1">
        <v>3</v>
      </c>
    </row>
    <row r="4624" spans="1:3" x14ac:dyDescent="0.3">
      <c r="A4624" t="s">
        <v>4623</v>
      </c>
      <c r="B4624">
        <f>36.3807887957143*(1-0.8198)</f>
        <v>6.555818140987717</v>
      </c>
      <c r="C4624" s="1">
        <v>2</v>
      </c>
    </row>
    <row r="4625" spans="1:3" x14ac:dyDescent="0.3">
      <c r="A4625" t="s">
        <v>4624</v>
      </c>
      <c r="B4625">
        <f>33.4275221971429*(1-0.8198)</f>
        <v>6.0236394999251432</v>
      </c>
      <c r="C4625" s="1">
        <v>2</v>
      </c>
    </row>
    <row r="4626" spans="1:3" x14ac:dyDescent="0.3">
      <c r="A4626" t="s">
        <v>4625</v>
      </c>
      <c r="B4626">
        <f>20.2210529657143*(1-0.8198)</f>
        <v>3.6438337444217153</v>
      </c>
      <c r="C4626" s="1">
        <v>2</v>
      </c>
    </row>
    <row r="4627" spans="1:3" x14ac:dyDescent="0.3">
      <c r="A4627" t="s">
        <v>4626</v>
      </c>
      <c r="B4627">
        <f>13.2319305142857*(1-0.8198)</f>
        <v>2.384393878674286</v>
      </c>
      <c r="C4627" s="1">
        <v>3</v>
      </c>
    </row>
    <row r="4628" spans="1:3" x14ac:dyDescent="0.3">
      <c r="A4628" t="s">
        <v>4627</v>
      </c>
      <c r="B4628">
        <f>1.60648*(1-0.8198)</f>
        <v>0.28948769600000007</v>
      </c>
      <c r="C4628" s="1">
        <v>2</v>
      </c>
    </row>
    <row r="4629" spans="1:3" x14ac:dyDescent="0.3">
      <c r="A4629" t="s">
        <v>4628</v>
      </c>
      <c r="B4629">
        <f>0*(1-0.8198)</f>
        <v>0</v>
      </c>
      <c r="C4629" s="1">
        <v>2</v>
      </c>
    </row>
    <row r="4630" spans="1:3" x14ac:dyDescent="0.3">
      <c r="A4630" t="s">
        <v>4629</v>
      </c>
      <c r="B4630">
        <f>0*(1-0.8198)</f>
        <v>0</v>
      </c>
      <c r="C4630" s="1">
        <v>2</v>
      </c>
    </row>
    <row r="4631" spans="1:3" x14ac:dyDescent="0.3">
      <c r="A4631" t="s">
        <v>4630</v>
      </c>
      <c r="B4631">
        <f>0*(1-0.8198)</f>
        <v>0</v>
      </c>
      <c r="C4631" s="1">
        <v>3</v>
      </c>
    </row>
    <row r="4632" spans="1:3" x14ac:dyDescent="0.3">
      <c r="A4632" t="s">
        <v>4631</v>
      </c>
      <c r="B4632">
        <f>0*(1-0.8198)</f>
        <v>0</v>
      </c>
      <c r="C4632" s="1">
        <v>2</v>
      </c>
    </row>
    <row r="4633" spans="1:3" x14ac:dyDescent="0.3">
      <c r="A4633" t="s">
        <v>4632</v>
      </c>
      <c r="B4633">
        <f>0*(1-0.8198)</f>
        <v>0</v>
      </c>
      <c r="C4633" s="1">
        <v>3</v>
      </c>
    </row>
    <row r="4634" spans="1:3" x14ac:dyDescent="0.3">
      <c r="A4634" t="s">
        <v>4633</v>
      </c>
      <c r="B4634">
        <f>0*(1-0.8198)</f>
        <v>0</v>
      </c>
      <c r="C4634" s="1">
        <v>2</v>
      </c>
    </row>
    <row r="4635" spans="1:3" x14ac:dyDescent="0.3">
      <c r="A4635" t="s">
        <v>4634</v>
      </c>
      <c r="B4635">
        <f>0*(1-0.8198)</f>
        <v>0</v>
      </c>
      <c r="C4635" s="1">
        <v>2</v>
      </c>
    </row>
    <row r="4636" spans="1:3" x14ac:dyDescent="0.3">
      <c r="A4636" t="s">
        <v>4635</v>
      </c>
      <c r="B4636">
        <f>0*(1-0.8198)</f>
        <v>0</v>
      </c>
      <c r="C4636" s="1">
        <v>3</v>
      </c>
    </row>
    <row r="4637" spans="1:3" x14ac:dyDescent="0.3">
      <c r="A4637" t="s">
        <v>4636</v>
      </c>
      <c r="B4637">
        <f>0*(1-0.8198)</f>
        <v>0</v>
      </c>
      <c r="C4637" s="1">
        <v>2</v>
      </c>
    </row>
    <row r="4638" spans="1:3" x14ac:dyDescent="0.3">
      <c r="A4638" t="s">
        <v>4637</v>
      </c>
      <c r="B4638">
        <f>0*(1-0.8198)</f>
        <v>0</v>
      </c>
      <c r="C4638" s="1">
        <v>2</v>
      </c>
    </row>
    <row r="4639" spans="1:3" x14ac:dyDescent="0.3">
      <c r="A4639" t="s">
        <v>4638</v>
      </c>
      <c r="B4639">
        <f>2.48262103285714*(1-0.8198)</f>
        <v>0.44736831012085726</v>
      </c>
      <c r="C4639" s="1">
        <v>2</v>
      </c>
    </row>
    <row r="4640" spans="1:3" x14ac:dyDescent="0.3">
      <c r="A4640" t="s">
        <v>4639</v>
      </c>
      <c r="B4640">
        <f>12.9573248357143*(1-0.8198)</f>
        <v>2.3349099353957143</v>
      </c>
      <c r="C4640" s="1">
        <v>3</v>
      </c>
    </row>
    <row r="4641" spans="1:3" x14ac:dyDescent="0.3">
      <c r="A4641" t="s">
        <v>4640</v>
      </c>
      <c r="B4641">
        <f>25.4174888928572*(1-0.8198)</f>
        <v>4.5802314984928589</v>
      </c>
      <c r="C4641" s="1">
        <v>2</v>
      </c>
    </row>
    <row r="4642" spans="1:3" x14ac:dyDescent="0.3">
      <c r="A4642" t="s">
        <v>4641</v>
      </c>
      <c r="B4642">
        <f>32.3469132157143*(1-0.8198)</f>
        <v>5.8289137614717159</v>
      </c>
      <c r="C4642" s="1">
        <v>2</v>
      </c>
    </row>
    <row r="4643" spans="1:3" x14ac:dyDescent="0.3">
      <c r="A4643" t="s">
        <v>4642</v>
      </c>
      <c r="B4643">
        <f>39.97918808*(1-0.8198)</f>
        <v>7.2042496920160026</v>
      </c>
      <c r="C4643" s="1">
        <v>2</v>
      </c>
    </row>
    <row r="4644" spans="1:3" x14ac:dyDescent="0.3">
      <c r="A4644" t="s">
        <v>4643</v>
      </c>
      <c r="B4644">
        <f>46.8393761985714*(1-0.8198)</f>
        <v>8.4404555909825749</v>
      </c>
      <c r="C4644" s="1">
        <v>3</v>
      </c>
    </row>
    <row r="4645" spans="1:3" x14ac:dyDescent="0.3">
      <c r="A4645" t="s">
        <v>4644</v>
      </c>
      <c r="B4645">
        <f>56.7759186*(1-0.8198)</f>
        <v>10.23102053172</v>
      </c>
      <c r="C4645" s="1">
        <v>2</v>
      </c>
    </row>
    <row r="4646" spans="1:3" x14ac:dyDescent="0.3">
      <c r="A4646" t="s">
        <v>4645</v>
      </c>
      <c r="B4646">
        <f>61.4285714285714*(1-0.8198)</f>
        <v>11.069428571428574</v>
      </c>
      <c r="C4646" s="1">
        <v>2</v>
      </c>
    </row>
    <row r="4647" spans="1:3" x14ac:dyDescent="0.3">
      <c r="A4647" t="s">
        <v>4646</v>
      </c>
      <c r="B4647">
        <f>58.8133390714286*(1-0.8198)</f>
        <v>10.59816370067143</v>
      </c>
      <c r="C4647" s="1">
        <v>2</v>
      </c>
    </row>
    <row r="4648" spans="1:3" x14ac:dyDescent="0.3">
      <c r="A4648" t="s">
        <v>4647</v>
      </c>
      <c r="B4648">
        <f>53.5189091542857*(1-0.8198)</f>
        <v>9.6441074296022862</v>
      </c>
      <c r="C4648" s="1">
        <v>3</v>
      </c>
    </row>
    <row r="4649" spans="1:3" x14ac:dyDescent="0.3">
      <c r="A4649" t="s">
        <v>4648</v>
      </c>
      <c r="B4649">
        <f>43.9885219628571*(1-0.8198)</f>
        <v>7.9267316577068598</v>
      </c>
      <c r="C4649" s="1">
        <v>2</v>
      </c>
    </row>
    <row r="4650" spans="1:3" x14ac:dyDescent="0.3">
      <c r="A4650" t="s">
        <v>4649</v>
      </c>
      <c r="B4650">
        <f>31.9132564957143*(1-0.8198)</f>
        <v>5.750768820527715</v>
      </c>
      <c r="C4650" s="1">
        <v>2</v>
      </c>
    </row>
    <row r="4651" spans="1:3" x14ac:dyDescent="0.3">
      <c r="A4651" t="s">
        <v>4650</v>
      </c>
      <c r="B4651">
        <f>18.03285539*(1-0.8198)</f>
        <v>3.2495205412780006</v>
      </c>
      <c r="C4651" s="1">
        <v>2</v>
      </c>
    </row>
    <row r="4652" spans="1:3" x14ac:dyDescent="0.3">
      <c r="A4652" t="s">
        <v>4651</v>
      </c>
      <c r="B4652">
        <f>4.79470910285714*(1-0.8198)</f>
        <v>0.86400658033485733</v>
      </c>
      <c r="C4652" s="1">
        <v>3</v>
      </c>
    </row>
    <row r="4653" spans="1:3" x14ac:dyDescent="0.3">
      <c r="A4653" t="s">
        <v>4652</v>
      </c>
      <c r="B4653">
        <f>0*(1-0.8198)</f>
        <v>0</v>
      </c>
      <c r="C4653" s="1">
        <v>2</v>
      </c>
    </row>
    <row r="4654" spans="1:3" x14ac:dyDescent="0.3">
      <c r="A4654" t="s">
        <v>4653</v>
      </c>
      <c r="B4654">
        <f>0*(1-0.8198)</f>
        <v>0</v>
      </c>
      <c r="C4654" s="1">
        <v>2</v>
      </c>
    </row>
    <row r="4655" spans="1:3" x14ac:dyDescent="0.3">
      <c r="A4655" t="s">
        <v>4654</v>
      </c>
      <c r="B4655">
        <f>0*(1-0.8198)</f>
        <v>0</v>
      </c>
      <c r="C4655" s="1">
        <v>2</v>
      </c>
    </row>
    <row r="4656" spans="1:3" x14ac:dyDescent="0.3">
      <c r="A4656" t="s">
        <v>4655</v>
      </c>
      <c r="B4656">
        <f>0*(1-0.8198)</f>
        <v>0</v>
      </c>
      <c r="C4656" s="1">
        <v>3</v>
      </c>
    </row>
    <row r="4657" spans="1:3" x14ac:dyDescent="0.3">
      <c r="A4657" t="s">
        <v>4656</v>
      </c>
      <c r="B4657">
        <f>0*(1-0.8198)</f>
        <v>0</v>
      </c>
      <c r="C4657" s="1">
        <v>2</v>
      </c>
    </row>
    <row r="4658" spans="1:3" x14ac:dyDescent="0.3">
      <c r="A4658" t="s">
        <v>4657</v>
      </c>
      <c r="B4658">
        <f>0*(1-0.8198)</f>
        <v>0</v>
      </c>
      <c r="C4658" s="1">
        <v>2</v>
      </c>
    </row>
    <row r="4659" spans="1:3" x14ac:dyDescent="0.3">
      <c r="A4659" t="s">
        <v>4658</v>
      </c>
      <c r="B4659">
        <f>0*(1-0.8198)</f>
        <v>0</v>
      </c>
      <c r="C4659" s="1">
        <v>2</v>
      </c>
    </row>
    <row r="4660" spans="1:3" x14ac:dyDescent="0.3">
      <c r="A4660" t="s">
        <v>4659</v>
      </c>
      <c r="B4660">
        <f>0*(1-0.8198)</f>
        <v>0</v>
      </c>
      <c r="C4660" s="1">
        <v>3</v>
      </c>
    </row>
    <row r="4661" spans="1:3" x14ac:dyDescent="0.3">
      <c r="A4661" t="s">
        <v>4660</v>
      </c>
      <c r="B4661">
        <f>0*(1-0.8198)</f>
        <v>0</v>
      </c>
      <c r="C4661" s="1">
        <v>2</v>
      </c>
    </row>
    <row r="4662" spans="1:3" x14ac:dyDescent="0.3">
      <c r="A4662" t="s">
        <v>4661</v>
      </c>
      <c r="B4662">
        <f>0*(1-0.8198)</f>
        <v>0</v>
      </c>
      <c r="C4662" s="1">
        <v>2</v>
      </c>
    </row>
    <row r="4663" spans="1:3" x14ac:dyDescent="0.3">
      <c r="A4663" t="s">
        <v>4662</v>
      </c>
      <c r="B4663">
        <f>1.69644607428571*(1-0.8198)</f>
        <v>0.30569958258628577</v>
      </c>
      <c r="C4663" s="1">
        <v>2</v>
      </c>
    </row>
    <row r="4664" spans="1:3" x14ac:dyDescent="0.3">
      <c r="A4664" t="s">
        <v>4663</v>
      </c>
      <c r="B4664">
        <f>13.3554672414286*(1-0.8198)</f>
        <v>2.4066551969054291</v>
      </c>
      <c r="C4664" s="1">
        <v>3</v>
      </c>
    </row>
    <row r="4665" spans="1:3" x14ac:dyDescent="0.3">
      <c r="A4665" t="s">
        <v>4664</v>
      </c>
      <c r="B4665">
        <f>24.4175851985714*(1-0.8198)</f>
        <v>4.4000488527825734</v>
      </c>
      <c r="C4665" s="1">
        <v>2</v>
      </c>
    </row>
    <row r="4666" spans="1:3" x14ac:dyDescent="0.3">
      <c r="A4666" t="s">
        <v>4665</v>
      </c>
      <c r="B4666">
        <f>36.8501420271429*(1-0.8198)</f>
        <v>6.640395593291144</v>
      </c>
      <c r="C4666" s="1">
        <v>2</v>
      </c>
    </row>
    <row r="4667" spans="1:3" x14ac:dyDescent="0.3">
      <c r="A4667" t="s">
        <v>4666</v>
      </c>
      <c r="B4667">
        <f>47.6750614185714*(1-0.8198)</f>
        <v>8.5910460676265714</v>
      </c>
      <c r="C4667" s="1">
        <v>2</v>
      </c>
    </row>
    <row r="4668" spans="1:3" x14ac:dyDescent="0.3">
      <c r="A4668" t="s">
        <v>4667</v>
      </c>
      <c r="B4668">
        <f>55.0160004714286*(1-0.8198)</f>
        <v>9.9138832849514316</v>
      </c>
      <c r="C4668" s="1">
        <v>3</v>
      </c>
    </row>
    <row r="4669" spans="1:3" x14ac:dyDescent="0.3">
      <c r="A4669" t="s">
        <v>4668</v>
      </c>
      <c r="B4669">
        <f>59.97932916*(1-0.8198)</f>
        <v>10.808275114632002</v>
      </c>
      <c r="C4669" s="1">
        <v>2</v>
      </c>
    </row>
    <row r="4670" spans="1:3" x14ac:dyDescent="0.3">
      <c r="A4670" t="s">
        <v>4669</v>
      </c>
      <c r="B4670">
        <f>61.4285714285714*(1-0.8198)</f>
        <v>11.069428571428574</v>
      </c>
      <c r="C4670" s="1">
        <v>2</v>
      </c>
    </row>
    <row r="4671" spans="1:3" x14ac:dyDescent="0.3">
      <c r="A4671" t="s">
        <v>4670</v>
      </c>
      <c r="B4671">
        <f>59.21606755*(1-0.8198)</f>
        <v>10.670735372510004</v>
      </c>
      <c r="C4671" s="1">
        <v>2</v>
      </c>
    </row>
    <row r="4672" spans="1:3" x14ac:dyDescent="0.3">
      <c r="A4672" t="s">
        <v>4671</v>
      </c>
      <c r="B4672">
        <f>53.5384248271429*(1-0.8198)</f>
        <v>9.6476241538511438</v>
      </c>
      <c r="C4672" s="1">
        <v>3</v>
      </c>
    </row>
    <row r="4673" spans="1:3" x14ac:dyDescent="0.3">
      <c r="A4673" t="s">
        <v>4672</v>
      </c>
      <c r="B4673">
        <f>43.8579200285714*(1-0.8198)</f>
        <v>7.9031971891485737</v>
      </c>
      <c r="C4673" s="1">
        <v>2</v>
      </c>
    </row>
    <row r="4674" spans="1:3" x14ac:dyDescent="0.3">
      <c r="A4674" t="s">
        <v>4673</v>
      </c>
      <c r="B4674">
        <f>32.0695380914286*(1-0.8198)</f>
        <v>5.7789307640754304</v>
      </c>
      <c r="C4674" s="1">
        <v>2</v>
      </c>
    </row>
    <row r="4675" spans="1:3" x14ac:dyDescent="0.3">
      <c r="A4675" t="s">
        <v>4674</v>
      </c>
      <c r="B4675">
        <f>18.3900635771429*(1-0.8198)</f>
        <v>3.3138894566011436</v>
      </c>
      <c r="C4675" s="1">
        <v>2</v>
      </c>
    </row>
    <row r="4676" spans="1:3" x14ac:dyDescent="0.3">
      <c r="A4676" t="s">
        <v>4675</v>
      </c>
      <c r="B4676">
        <f>6.48294813571429*(1-0.8198)</f>
        <v>1.1682272540557144</v>
      </c>
      <c r="C4676" s="1">
        <v>3</v>
      </c>
    </row>
    <row r="4677" spans="1:3" x14ac:dyDescent="0.3">
      <c r="A4677" t="s">
        <v>4676</v>
      </c>
      <c r="B4677">
        <f>0*(1-0.8198)</f>
        <v>0</v>
      </c>
      <c r="C4677" s="1">
        <v>2</v>
      </c>
    </row>
    <row r="4678" spans="1:3" x14ac:dyDescent="0.3">
      <c r="A4678" t="s">
        <v>4677</v>
      </c>
      <c r="B4678">
        <f>0*(1-0.8198)</f>
        <v>0</v>
      </c>
      <c r="C4678" s="1">
        <v>2</v>
      </c>
    </row>
    <row r="4679" spans="1:3" x14ac:dyDescent="0.3">
      <c r="A4679" t="s">
        <v>4678</v>
      </c>
      <c r="B4679">
        <f>0*(1-0.8198)</f>
        <v>0</v>
      </c>
      <c r="C4679" s="1">
        <v>3</v>
      </c>
    </row>
    <row r="4680" spans="1:3" x14ac:dyDescent="0.3">
      <c r="A4680" t="s">
        <v>4679</v>
      </c>
      <c r="B4680">
        <f>0*(1-0.8198)</f>
        <v>0</v>
      </c>
      <c r="C4680" s="1">
        <v>2</v>
      </c>
    </row>
    <row r="4681" spans="1:3" x14ac:dyDescent="0.3">
      <c r="A4681" t="s">
        <v>4680</v>
      </c>
      <c r="B4681">
        <f>0*(1-0.8198)</f>
        <v>0</v>
      </c>
      <c r="C4681" s="1">
        <v>2</v>
      </c>
    </row>
    <row r="4682" spans="1:3" x14ac:dyDescent="0.3">
      <c r="A4682" t="s">
        <v>4681</v>
      </c>
      <c r="B4682">
        <f>0*(1-0.8198)</f>
        <v>0</v>
      </c>
      <c r="C4682" s="1">
        <v>3</v>
      </c>
    </row>
    <row r="4683" spans="1:3" x14ac:dyDescent="0.3">
      <c r="A4683" t="s">
        <v>4682</v>
      </c>
      <c r="B4683">
        <f>0*(1-0.8198)</f>
        <v>0</v>
      </c>
      <c r="C4683" s="1">
        <v>2</v>
      </c>
    </row>
    <row r="4684" spans="1:3" x14ac:dyDescent="0.3">
      <c r="A4684" t="s">
        <v>4683</v>
      </c>
      <c r="B4684">
        <f>0*(1-0.8198)</f>
        <v>0</v>
      </c>
      <c r="C4684" s="1">
        <v>2</v>
      </c>
    </row>
    <row r="4685" spans="1:3" x14ac:dyDescent="0.3">
      <c r="A4685" t="s">
        <v>4684</v>
      </c>
      <c r="B4685">
        <f>0*(1-0.8198)</f>
        <v>0</v>
      </c>
      <c r="C4685" s="1">
        <v>2</v>
      </c>
    </row>
    <row r="4686" spans="1:3" x14ac:dyDescent="0.3">
      <c r="A4686" t="s">
        <v>4685</v>
      </c>
      <c r="B4686">
        <f>0*(1-0.8198)</f>
        <v>0</v>
      </c>
      <c r="C4686" s="1">
        <v>3</v>
      </c>
    </row>
    <row r="4687" spans="1:3" x14ac:dyDescent="0.3">
      <c r="A4687" t="s">
        <v>4686</v>
      </c>
      <c r="B4687">
        <f>2.21409715142857*(1-0.8198)</f>
        <v>0.39898030668742868</v>
      </c>
      <c r="C4687" s="1">
        <v>3</v>
      </c>
    </row>
    <row r="4688" spans="1:3" x14ac:dyDescent="0.3">
      <c r="A4688" t="s">
        <v>4687</v>
      </c>
      <c r="B4688">
        <f>11.5634207414286*(1-0.8198)</f>
        <v>2.0837284176054292</v>
      </c>
      <c r="C4688" s="1">
        <v>3</v>
      </c>
    </row>
    <row r="4689" spans="1:3" x14ac:dyDescent="0.3">
      <c r="A4689" t="s">
        <v>4688</v>
      </c>
      <c r="B4689">
        <f>24.4406254585714*(1-0.8198)</f>
        <v>4.4042007076345726</v>
      </c>
      <c r="C4689" s="1">
        <v>3</v>
      </c>
    </row>
    <row r="4690" spans="1:3" x14ac:dyDescent="0.3">
      <c r="A4690" t="s">
        <v>4689</v>
      </c>
      <c r="B4690">
        <f>35.2955167714286*(1-0.8198)</f>
        <v>6.3602521222114312</v>
      </c>
      <c r="C4690" s="1">
        <v>4</v>
      </c>
    </row>
    <row r="4691" spans="1:3" x14ac:dyDescent="0.3">
      <c r="A4691" t="s">
        <v>4690</v>
      </c>
      <c r="B4691">
        <f>44.5318941042857*(1-0.8198)</f>
        <v>8.0246473175922883</v>
      </c>
      <c r="C4691" s="1">
        <v>4</v>
      </c>
    </row>
    <row r="4692" spans="1:3" x14ac:dyDescent="0.3">
      <c r="A4692" t="s">
        <v>4691</v>
      </c>
      <c r="B4692">
        <f>52.9615768785714*(1-0.8198)</f>
        <v>9.5436761535185735</v>
      </c>
      <c r="C4692" s="1">
        <v>4</v>
      </c>
    </row>
    <row r="4693" spans="1:3" x14ac:dyDescent="0.3">
      <c r="A4693" t="s">
        <v>4692</v>
      </c>
      <c r="B4693">
        <f>59.5937789357143*(1-0.8198)</f>
        <v>10.738798964215716</v>
      </c>
      <c r="C4693" s="1">
        <v>4</v>
      </c>
    </row>
    <row r="4694" spans="1:3" x14ac:dyDescent="0.3">
      <c r="A4694" t="s">
        <v>4693</v>
      </c>
      <c r="B4694">
        <f>59.2458189428571*(1-0.8198)</f>
        <v>10.676096573502861</v>
      </c>
      <c r="C4694" s="1">
        <v>4</v>
      </c>
    </row>
    <row r="4695" spans="1:3" x14ac:dyDescent="0.3">
      <c r="A4695" t="s">
        <v>4694</v>
      </c>
      <c r="B4695">
        <f>57.8128215214286*(1-0.8198)</f>
        <v>10.417870438161431</v>
      </c>
      <c r="C4695" s="1">
        <v>3</v>
      </c>
    </row>
    <row r="4696" spans="1:3" x14ac:dyDescent="0.3">
      <c r="A4696" t="s">
        <v>4695</v>
      </c>
      <c r="B4696">
        <f>52.8096283314286*(1-0.8198)</f>
        <v>9.5162950253234317</v>
      </c>
      <c r="C4696" s="1">
        <v>2</v>
      </c>
    </row>
    <row r="4697" spans="1:3" x14ac:dyDescent="0.3">
      <c r="A4697" t="s">
        <v>4696</v>
      </c>
      <c r="B4697">
        <f>43.3675127685714*(1-0.8198)</f>
        <v>7.814825800896573</v>
      </c>
      <c r="C4697" s="1">
        <v>2</v>
      </c>
    </row>
    <row r="4698" spans="1:3" x14ac:dyDescent="0.3">
      <c r="A4698" t="s">
        <v>4697</v>
      </c>
      <c r="B4698">
        <f>31.49442378*(1-0.8198)</f>
        <v>5.6752951651560011</v>
      </c>
      <c r="C4698" s="1">
        <v>3</v>
      </c>
    </row>
    <row r="4699" spans="1:3" x14ac:dyDescent="0.3">
      <c r="A4699" t="s">
        <v>4698</v>
      </c>
      <c r="B4699">
        <f>18.3701147714286*(1-0.8198)</f>
        <v>3.3102946818114289</v>
      </c>
      <c r="C4699" s="1">
        <v>2</v>
      </c>
    </row>
    <row r="4700" spans="1:3" x14ac:dyDescent="0.3">
      <c r="A4700" t="s">
        <v>4699</v>
      </c>
      <c r="B4700">
        <f>6.39563215142857*(1-0.8198)</f>
        <v>1.1524929136874289</v>
      </c>
      <c r="C4700" s="1">
        <v>2</v>
      </c>
    </row>
    <row r="4701" spans="1:3" x14ac:dyDescent="0.3">
      <c r="A4701" t="s">
        <v>4700</v>
      </c>
      <c r="B4701">
        <f>0*(1-0.8198)</f>
        <v>0</v>
      </c>
      <c r="C4701" s="1">
        <v>3</v>
      </c>
    </row>
    <row r="4702" spans="1:3" x14ac:dyDescent="0.3">
      <c r="A4702" t="s">
        <v>4701</v>
      </c>
      <c r="B4702">
        <f>0*(1-0.8198)</f>
        <v>0</v>
      </c>
      <c r="C4702" s="1">
        <v>2</v>
      </c>
    </row>
    <row r="4703" spans="1:3" x14ac:dyDescent="0.3">
      <c r="A4703" t="s">
        <v>4702</v>
      </c>
      <c r="B4703">
        <f>0*(1-0.8198)</f>
        <v>0</v>
      </c>
      <c r="C4703" s="1">
        <v>2</v>
      </c>
    </row>
    <row r="4704" spans="1:3" x14ac:dyDescent="0.3">
      <c r="A4704" t="s">
        <v>4703</v>
      </c>
      <c r="B4704">
        <f>0*(1-0.8198)</f>
        <v>0</v>
      </c>
      <c r="C4704" s="1">
        <v>3</v>
      </c>
    </row>
    <row r="4705" spans="1:3" x14ac:dyDescent="0.3">
      <c r="A4705" t="s">
        <v>4704</v>
      </c>
      <c r="B4705">
        <f>0*(1-0.8198)</f>
        <v>0</v>
      </c>
      <c r="C4705" s="1">
        <v>2</v>
      </c>
    </row>
    <row r="4706" spans="1:3" x14ac:dyDescent="0.3">
      <c r="A4706" t="s">
        <v>4705</v>
      </c>
      <c r="B4706">
        <f>0*(1-0.8198)</f>
        <v>0</v>
      </c>
      <c r="C4706" s="1">
        <v>2</v>
      </c>
    </row>
    <row r="4707" spans="1:3" x14ac:dyDescent="0.3">
      <c r="A4707" t="s">
        <v>4706</v>
      </c>
      <c r="B4707">
        <f>0*(1-0.8198)</f>
        <v>0</v>
      </c>
      <c r="C4707" s="1">
        <v>3</v>
      </c>
    </row>
    <row r="4708" spans="1:3" x14ac:dyDescent="0.3">
      <c r="A4708" t="s">
        <v>4707</v>
      </c>
      <c r="B4708">
        <f>0*(1-0.8198)</f>
        <v>0</v>
      </c>
      <c r="C4708" s="1">
        <v>2</v>
      </c>
    </row>
    <row r="4709" spans="1:3" x14ac:dyDescent="0.3">
      <c r="A4709" t="s">
        <v>4708</v>
      </c>
      <c r="B4709">
        <f>0*(1-0.8198)</f>
        <v>0</v>
      </c>
      <c r="C4709" s="1">
        <v>2</v>
      </c>
    </row>
    <row r="4710" spans="1:3" x14ac:dyDescent="0.3">
      <c r="A4710" t="s">
        <v>4709</v>
      </c>
      <c r="B4710">
        <f>0*(1-0.8198)</f>
        <v>0</v>
      </c>
      <c r="C4710" s="1">
        <v>3</v>
      </c>
    </row>
    <row r="4711" spans="1:3" x14ac:dyDescent="0.3">
      <c r="A4711" t="s">
        <v>4710</v>
      </c>
      <c r="B4711">
        <f>1.50454291*(1-0.8198)</f>
        <v>0.27111863238200007</v>
      </c>
      <c r="C4711" s="1">
        <v>3</v>
      </c>
    </row>
    <row r="4712" spans="1:3" x14ac:dyDescent="0.3">
      <c r="A4712" t="s">
        <v>4711</v>
      </c>
      <c r="B4712">
        <f>8.94018645285714*(1-0.8198)</f>
        <v>1.6110215988048577</v>
      </c>
      <c r="C4712" s="1">
        <v>3</v>
      </c>
    </row>
    <row r="4713" spans="1:3" x14ac:dyDescent="0.3">
      <c r="A4713" t="s">
        <v>4712</v>
      </c>
      <c r="B4713">
        <f>16.94308188*(1-0.8198)</f>
        <v>3.0531433547760005</v>
      </c>
      <c r="C4713" s="1">
        <v>4</v>
      </c>
    </row>
    <row r="4714" spans="1:3" x14ac:dyDescent="0.3">
      <c r="A4714" t="s">
        <v>4713</v>
      </c>
      <c r="B4714">
        <f>23.9832724214286*(1-0.8198)</f>
        <v>4.3217856903414305</v>
      </c>
      <c r="C4714" s="1">
        <v>5</v>
      </c>
    </row>
    <row r="4715" spans="1:3" x14ac:dyDescent="0.3">
      <c r="A4715" t="s">
        <v>4714</v>
      </c>
      <c r="B4715">
        <f>37.0669315642857*(1-0.8198)</f>
        <v>6.6794610678842874</v>
      </c>
      <c r="C4715" s="1">
        <v>6</v>
      </c>
    </row>
    <row r="4716" spans="1:3" x14ac:dyDescent="0.3">
      <c r="A4716" t="s">
        <v>4715</v>
      </c>
      <c r="B4716">
        <f>50.6654012657143*(1-0.8198)</f>
        <v>9.1299053080817139</v>
      </c>
      <c r="C4716" s="1">
        <v>4</v>
      </c>
    </row>
    <row r="4717" spans="1:3" x14ac:dyDescent="0.3">
      <c r="A4717" t="s">
        <v>4716</v>
      </c>
      <c r="B4717">
        <f>59.65680508*(1-0.8198)</f>
        <v>10.750156275416003</v>
      </c>
      <c r="C4717" s="1">
        <v>5</v>
      </c>
    </row>
    <row r="4718" spans="1:3" x14ac:dyDescent="0.3">
      <c r="A4718" t="s">
        <v>4717</v>
      </c>
      <c r="B4718">
        <f>60.43136881*(1-0.8198)</f>
        <v>10.889732659562002</v>
      </c>
      <c r="C4718" s="1">
        <v>3</v>
      </c>
    </row>
    <row r="4719" spans="1:3" x14ac:dyDescent="0.3">
      <c r="A4719" t="s">
        <v>4718</v>
      </c>
      <c r="B4719">
        <f>58.0552374*(1-0.8198)</f>
        <v>10.461553779480003</v>
      </c>
      <c r="C4719" s="1">
        <v>2</v>
      </c>
    </row>
    <row r="4720" spans="1:3" x14ac:dyDescent="0.3">
      <c r="A4720" t="s">
        <v>4719</v>
      </c>
      <c r="B4720">
        <f>52.4899607414286*(1-0.8198)</f>
        <v>9.4586909256054295</v>
      </c>
      <c r="C4720" s="1">
        <v>3</v>
      </c>
    </row>
    <row r="4721" spans="1:3" x14ac:dyDescent="0.3">
      <c r="A4721" t="s">
        <v>4720</v>
      </c>
      <c r="B4721">
        <f>42.6300320542857*(1-0.8198)</f>
        <v>7.681931776182287</v>
      </c>
      <c r="C4721" s="1">
        <v>2</v>
      </c>
    </row>
    <row r="4722" spans="1:3" x14ac:dyDescent="0.3">
      <c r="A4722" t="s">
        <v>4721</v>
      </c>
      <c r="B4722">
        <f>30.8380990542857*(1-0.8198)</f>
        <v>5.5570254495822864</v>
      </c>
      <c r="C4722" s="1">
        <v>2</v>
      </c>
    </row>
    <row r="4723" spans="1:3" x14ac:dyDescent="0.3">
      <c r="A4723" t="s">
        <v>4722</v>
      </c>
      <c r="B4723">
        <f>17.11653958*(1-0.8198)</f>
        <v>3.0844004323160008</v>
      </c>
      <c r="C4723" s="1">
        <v>3</v>
      </c>
    </row>
    <row r="4724" spans="1:3" x14ac:dyDescent="0.3">
      <c r="A4724" t="s">
        <v>4723</v>
      </c>
      <c r="B4724">
        <f>5.95402313428572*(1-0.8198)</f>
        <v>1.072914968798286</v>
      </c>
      <c r="C4724" s="1">
        <v>2</v>
      </c>
    </row>
    <row r="4725" spans="1:3" x14ac:dyDescent="0.3">
      <c r="A4725" t="s">
        <v>4724</v>
      </c>
      <c r="B4725">
        <f>0*(1-0.8198)</f>
        <v>0</v>
      </c>
      <c r="C4725" s="1">
        <v>2</v>
      </c>
    </row>
    <row r="4726" spans="1:3" x14ac:dyDescent="0.3">
      <c r="A4726" t="s">
        <v>4725</v>
      </c>
      <c r="B4726">
        <f>0*(1-0.8198)</f>
        <v>0</v>
      </c>
      <c r="C4726" s="1">
        <v>3</v>
      </c>
    </row>
    <row r="4727" spans="1:3" x14ac:dyDescent="0.3">
      <c r="A4727" t="s">
        <v>4726</v>
      </c>
      <c r="B4727">
        <f>0*(1-0.8198)</f>
        <v>0</v>
      </c>
      <c r="C4727" s="1">
        <v>2</v>
      </c>
    </row>
    <row r="4728" spans="1:3" x14ac:dyDescent="0.3">
      <c r="A4728" t="s">
        <v>4727</v>
      </c>
      <c r="B4728">
        <f>0*(1-0.8198)</f>
        <v>0</v>
      </c>
      <c r="C4728" s="1">
        <v>2</v>
      </c>
    </row>
    <row r="4729" spans="1:3" x14ac:dyDescent="0.3">
      <c r="A4729" t="s">
        <v>4728</v>
      </c>
      <c r="B4729">
        <f>0*(1-0.8198)</f>
        <v>0</v>
      </c>
      <c r="C4729" s="1">
        <v>3</v>
      </c>
    </row>
    <row r="4730" spans="1:3" x14ac:dyDescent="0.3">
      <c r="A4730" t="s">
        <v>4729</v>
      </c>
      <c r="B4730">
        <f>0*(1-0.8198)</f>
        <v>0</v>
      </c>
      <c r="C4730" s="1">
        <v>2</v>
      </c>
    </row>
    <row r="4731" spans="1:3" x14ac:dyDescent="0.3">
      <c r="A4731" t="s">
        <v>4730</v>
      </c>
      <c r="B4731">
        <f>0*(1-0.8198)</f>
        <v>0</v>
      </c>
      <c r="C4731" s="1">
        <v>2</v>
      </c>
    </row>
    <row r="4732" spans="1:3" x14ac:dyDescent="0.3">
      <c r="A4732" t="s">
        <v>4731</v>
      </c>
      <c r="B4732">
        <f>0*(1-0.8198)</f>
        <v>0</v>
      </c>
      <c r="C4732" s="1">
        <v>2</v>
      </c>
    </row>
    <row r="4733" spans="1:3" x14ac:dyDescent="0.3">
      <c r="A4733" t="s">
        <v>4732</v>
      </c>
      <c r="B4733">
        <f>0*(1-0.8198)</f>
        <v>0</v>
      </c>
      <c r="C4733" s="1">
        <v>3</v>
      </c>
    </row>
    <row r="4734" spans="1:3" x14ac:dyDescent="0.3">
      <c r="A4734" t="s">
        <v>4733</v>
      </c>
      <c r="B4734">
        <f>0*(1-0.8198)</f>
        <v>0</v>
      </c>
      <c r="C4734" s="1">
        <v>3</v>
      </c>
    </row>
    <row r="4735" spans="1:3" x14ac:dyDescent="0.3">
      <c r="A4735" t="s">
        <v>4734</v>
      </c>
      <c r="B4735">
        <f>1.24404289*(1-0.8198)</f>
        <v>0.22417652877800007</v>
      </c>
      <c r="C4735" s="1">
        <v>3</v>
      </c>
    </row>
    <row r="4736" spans="1:3" x14ac:dyDescent="0.3">
      <c r="A4736" t="s">
        <v>4735</v>
      </c>
      <c r="B4736">
        <f>8.80106241*(1-0.8198)</f>
        <v>1.5859514462820004</v>
      </c>
      <c r="C4736" s="1">
        <v>3</v>
      </c>
    </row>
    <row r="4737" spans="1:3" x14ac:dyDescent="0.3">
      <c r="A4737" t="s">
        <v>4736</v>
      </c>
      <c r="B4737">
        <f>26.0934419514286*(1-0.8198)</f>
        <v>4.7020382396474298</v>
      </c>
      <c r="C4737" s="1">
        <v>3</v>
      </c>
    </row>
    <row r="4738" spans="1:3" x14ac:dyDescent="0.3">
      <c r="A4738" t="s">
        <v>4737</v>
      </c>
      <c r="B4738">
        <f>38.2337557914286*(1-0.8198)</f>
        <v>6.8897227936154293</v>
      </c>
      <c r="C4738" s="1">
        <v>3</v>
      </c>
    </row>
    <row r="4739" spans="1:3" x14ac:dyDescent="0.3">
      <c r="A4739" t="s">
        <v>4738</v>
      </c>
      <c r="B4739">
        <f>48.3946780285714*(1-0.8198)</f>
        <v>8.7207209807485739</v>
      </c>
      <c r="C4739" s="1">
        <v>5</v>
      </c>
    </row>
    <row r="4740" spans="1:3" x14ac:dyDescent="0.3">
      <c r="A4740" t="s">
        <v>4739</v>
      </c>
      <c r="B4740">
        <f>56.1980492785714*(1-0.8198)</f>
        <v>10.126888479998573</v>
      </c>
      <c r="C4740" s="1">
        <v>4</v>
      </c>
    </row>
    <row r="4741" spans="1:3" x14ac:dyDescent="0.3">
      <c r="A4741" t="s">
        <v>4740</v>
      </c>
      <c r="B4741">
        <f>57.8019522271428*(1-0.8198)</f>
        <v>10.415911791331142</v>
      </c>
      <c r="C4741" s="1">
        <v>4</v>
      </c>
    </row>
    <row r="4742" spans="1:3" x14ac:dyDescent="0.3">
      <c r="A4742" t="s">
        <v>4741</v>
      </c>
      <c r="B4742">
        <f>53.2137037542857*(1-0.8198)</f>
        <v>9.5891094165222892</v>
      </c>
      <c r="C4742" s="1">
        <v>3</v>
      </c>
    </row>
    <row r="4743" spans="1:3" x14ac:dyDescent="0.3">
      <c r="A4743" t="s">
        <v>4742</v>
      </c>
      <c r="B4743">
        <f>56.3602852071429*(1-0.8198)</f>
        <v>10.156123394327144</v>
      </c>
      <c r="C4743" s="1">
        <v>2</v>
      </c>
    </row>
    <row r="4744" spans="1:3" x14ac:dyDescent="0.3">
      <c r="A4744" t="s">
        <v>4743</v>
      </c>
      <c r="B4744">
        <f>51.2189425385714*(1-0.8198)</f>
        <v>9.2296534454505732</v>
      </c>
      <c r="C4744" s="1">
        <v>3</v>
      </c>
    </row>
    <row r="4745" spans="1:3" x14ac:dyDescent="0.3">
      <c r="A4745" t="s">
        <v>4744</v>
      </c>
      <c r="B4745">
        <f>32.7544935685714*(1-0.8198)</f>
        <v>5.9023597410565731</v>
      </c>
      <c r="C4745" s="1">
        <v>2</v>
      </c>
    </row>
    <row r="4746" spans="1:3" x14ac:dyDescent="0.3">
      <c r="A4746" t="s">
        <v>4745</v>
      </c>
      <c r="B4746">
        <f>28.90551461*(1-0.8198)</f>
        <v>5.2087737327220012</v>
      </c>
      <c r="C4746" s="1">
        <v>2</v>
      </c>
    </row>
    <row r="4747" spans="1:3" x14ac:dyDescent="0.3">
      <c r="A4747" t="s">
        <v>4746</v>
      </c>
      <c r="B4747">
        <f>17.8321075557143*(1-0.8198)</f>
        <v>3.2133457815397151</v>
      </c>
      <c r="C4747" s="1">
        <v>2</v>
      </c>
    </row>
    <row r="4748" spans="1:3" x14ac:dyDescent="0.3">
      <c r="A4748" t="s">
        <v>4747</v>
      </c>
      <c r="B4748">
        <f>6.41051033571429*(1-0.8198)</f>
        <v>1.1551739624957145</v>
      </c>
      <c r="C4748" s="1">
        <v>2</v>
      </c>
    </row>
    <row r="4749" spans="1:3" x14ac:dyDescent="0.3">
      <c r="A4749" t="s">
        <v>4748</v>
      </c>
      <c r="B4749">
        <f>0*(1-0.8198)</f>
        <v>0</v>
      </c>
      <c r="C4749" s="1">
        <v>3</v>
      </c>
    </row>
    <row r="4750" spans="1:3" x14ac:dyDescent="0.3">
      <c r="A4750" t="s">
        <v>4749</v>
      </c>
      <c r="B4750">
        <f>0*(1-0.8198)</f>
        <v>0</v>
      </c>
      <c r="C4750" s="1">
        <v>2</v>
      </c>
    </row>
    <row r="4751" spans="1:3" x14ac:dyDescent="0.3">
      <c r="A4751" t="s">
        <v>4750</v>
      </c>
      <c r="B4751">
        <f>0*(1-0.8198)</f>
        <v>0</v>
      </c>
      <c r="C4751" s="1">
        <v>2</v>
      </c>
    </row>
    <row r="4752" spans="1:3" x14ac:dyDescent="0.3">
      <c r="A4752" t="s">
        <v>4751</v>
      </c>
      <c r="B4752">
        <f>0*(1-0.8198)</f>
        <v>0</v>
      </c>
      <c r="C4752" s="1">
        <v>2</v>
      </c>
    </row>
    <row r="4753" spans="1:3" x14ac:dyDescent="0.3">
      <c r="A4753" t="s">
        <v>4752</v>
      </c>
      <c r="B4753">
        <f>0*(1-0.8198)</f>
        <v>0</v>
      </c>
      <c r="C4753" s="1">
        <v>2</v>
      </c>
    </row>
    <row r="4754" spans="1:3" x14ac:dyDescent="0.3">
      <c r="A4754" t="s">
        <v>4753</v>
      </c>
      <c r="B4754">
        <f>0*(1-0.8198)</f>
        <v>0</v>
      </c>
      <c r="C4754" s="1">
        <v>2</v>
      </c>
    </row>
    <row r="4755" spans="1:3" x14ac:dyDescent="0.3">
      <c r="A4755" t="s">
        <v>4754</v>
      </c>
      <c r="B4755">
        <f>0*(1-0.8198)</f>
        <v>0</v>
      </c>
      <c r="C4755" s="1">
        <v>3</v>
      </c>
    </row>
    <row r="4756" spans="1:3" x14ac:dyDescent="0.3">
      <c r="A4756" t="s">
        <v>4755</v>
      </c>
      <c r="B4756">
        <f>0*(1-0.8198)</f>
        <v>0</v>
      </c>
      <c r="C4756" s="1">
        <v>2</v>
      </c>
    </row>
    <row r="4757" spans="1:3" x14ac:dyDescent="0.3">
      <c r="A4757" t="s">
        <v>4756</v>
      </c>
      <c r="B4757">
        <f>0*(1-0.8198)</f>
        <v>0</v>
      </c>
      <c r="C4757" s="1">
        <v>2</v>
      </c>
    </row>
    <row r="4758" spans="1:3" x14ac:dyDescent="0.3">
      <c r="A4758" t="s">
        <v>4757</v>
      </c>
      <c r="B4758">
        <f>0*(1-0.8198)</f>
        <v>0</v>
      </c>
      <c r="C4758" s="1">
        <v>3</v>
      </c>
    </row>
    <row r="4759" spans="1:3" x14ac:dyDescent="0.3">
      <c r="A4759" t="s">
        <v>4758</v>
      </c>
      <c r="B4759">
        <f>1.94750833142857*(1-0.8198)</f>
        <v>0.35094100132342865</v>
      </c>
      <c r="C4759" s="1">
        <v>4</v>
      </c>
    </row>
    <row r="4760" spans="1:3" x14ac:dyDescent="0.3">
      <c r="A4760" t="s">
        <v>4759</v>
      </c>
      <c r="B4760">
        <f>13.2024470114286*(1-0.8198)</f>
        <v>2.3790809514594291</v>
      </c>
      <c r="C4760" s="1">
        <v>3</v>
      </c>
    </row>
    <row r="4761" spans="1:3" x14ac:dyDescent="0.3">
      <c r="A4761" t="s">
        <v>4760</v>
      </c>
      <c r="B4761">
        <f>26.4130291314286*(1-0.8198)</f>
        <v>4.7596278494834312</v>
      </c>
      <c r="C4761" s="1">
        <v>3</v>
      </c>
    </row>
    <row r="4762" spans="1:3" x14ac:dyDescent="0.3">
      <c r="A4762" t="s">
        <v>4761</v>
      </c>
      <c r="B4762">
        <f>38.5446647114286*(1-0.8198)</f>
        <v>6.9457485809994299</v>
      </c>
      <c r="C4762" s="1">
        <v>4</v>
      </c>
    </row>
    <row r="4763" spans="1:3" x14ac:dyDescent="0.3">
      <c r="A4763" t="s">
        <v>4762</v>
      </c>
      <c r="B4763">
        <f>48.5881461471429*(1-0.8198)</f>
        <v>8.7555839357151424</v>
      </c>
      <c r="C4763" s="1">
        <v>3</v>
      </c>
    </row>
    <row r="4764" spans="1:3" x14ac:dyDescent="0.3">
      <c r="A4764" t="s">
        <v>4763</v>
      </c>
      <c r="B4764">
        <f>55.94894303*(1-0.8198)</f>
        <v>10.081999534006004</v>
      </c>
      <c r="C4764" s="1">
        <v>4</v>
      </c>
    </row>
    <row r="4765" spans="1:3" x14ac:dyDescent="0.3">
      <c r="A4765" t="s">
        <v>4764</v>
      </c>
      <c r="B4765">
        <f>60.10921754*(1-0.8198)</f>
        <v>10.831681000708</v>
      </c>
      <c r="C4765" s="1">
        <v>6</v>
      </c>
    </row>
    <row r="4766" spans="1:3" x14ac:dyDescent="0.3">
      <c r="A4766" t="s">
        <v>4765</v>
      </c>
      <c r="B4766">
        <f>60.3700321971429*(1-0.8198)</f>
        <v>10.878679801925145</v>
      </c>
      <c r="C4766" s="1">
        <v>3</v>
      </c>
    </row>
    <row r="4767" spans="1:3" x14ac:dyDescent="0.3">
      <c r="A4767" t="s">
        <v>4766</v>
      </c>
      <c r="B4767">
        <f>57.7921549228571*(1-0.8198)</f>
        <v>10.414146317098858</v>
      </c>
      <c r="C4767" s="1">
        <v>2</v>
      </c>
    </row>
    <row r="4768" spans="1:3" x14ac:dyDescent="0.3">
      <c r="A4768" t="s">
        <v>4767</v>
      </c>
      <c r="B4768">
        <f>52.1469100585714*(1-0.8198)</f>
        <v>9.3968731925545743</v>
      </c>
      <c r="C4768" s="1">
        <v>3</v>
      </c>
    </row>
    <row r="4769" spans="1:3" x14ac:dyDescent="0.3">
      <c r="A4769" t="s">
        <v>4768</v>
      </c>
      <c r="B4769">
        <f>43.1240273571429*(1-0.8198)</f>
        <v>7.7709497297571453</v>
      </c>
      <c r="C4769" s="1">
        <v>2</v>
      </c>
    </row>
    <row r="4770" spans="1:3" x14ac:dyDescent="0.3">
      <c r="A4770" t="s">
        <v>4769</v>
      </c>
      <c r="B4770">
        <f>31.1054567142857*(1-0.8198)</f>
        <v>5.6052032999142867</v>
      </c>
      <c r="C4770" s="1">
        <v>2</v>
      </c>
    </row>
    <row r="4771" spans="1:3" x14ac:dyDescent="0.3">
      <c r="A4771" t="s">
        <v>4770</v>
      </c>
      <c r="B4771">
        <f>18.79149192*(1-0.8198)</f>
        <v>3.3862268439840011</v>
      </c>
      <c r="C4771" s="1">
        <v>2</v>
      </c>
    </row>
    <row r="4772" spans="1:3" x14ac:dyDescent="0.3">
      <c r="A4772" t="s">
        <v>4771</v>
      </c>
      <c r="B4772">
        <f>6.14268225571429*(1-0.8198)</f>
        <v>1.1069113424797146</v>
      </c>
      <c r="C4772" s="1">
        <v>3</v>
      </c>
    </row>
    <row r="4773" spans="1:3" x14ac:dyDescent="0.3">
      <c r="A4773" t="s">
        <v>4772</v>
      </c>
      <c r="B4773">
        <f>0*(1-0.8198)</f>
        <v>0</v>
      </c>
      <c r="C4773" s="1">
        <v>2</v>
      </c>
    </row>
    <row r="4774" spans="1:3" x14ac:dyDescent="0.3">
      <c r="A4774" t="s">
        <v>4773</v>
      </c>
      <c r="B4774">
        <f>0*(1-0.8198)</f>
        <v>0</v>
      </c>
      <c r="C4774" s="1">
        <v>2</v>
      </c>
    </row>
    <row r="4775" spans="1:3" x14ac:dyDescent="0.3">
      <c r="A4775" t="s">
        <v>4774</v>
      </c>
      <c r="B4775">
        <f>0*(1-0.8198)</f>
        <v>0</v>
      </c>
      <c r="C4775" s="1">
        <v>3</v>
      </c>
    </row>
    <row r="4776" spans="1:3" x14ac:dyDescent="0.3">
      <c r="A4776" t="s">
        <v>4775</v>
      </c>
      <c r="B4776">
        <f>0*(1-0.8198)</f>
        <v>0</v>
      </c>
      <c r="C4776" s="1">
        <v>2</v>
      </c>
    </row>
    <row r="4777" spans="1:3" x14ac:dyDescent="0.3">
      <c r="A4777" t="s">
        <v>4776</v>
      </c>
      <c r="B4777">
        <f>0*(1-0.8198)</f>
        <v>0</v>
      </c>
      <c r="C4777" s="1">
        <v>2</v>
      </c>
    </row>
    <row r="4778" spans="1:3" x14ac:dyDescent="0.3">
      <c r="A4778" t="s">
        <v>4777</v>
      </c>
      <c r="B4778">
        <f>0*(1-0.8198)</f>
        <v>0</v>
      </c>
      <c r="C4778" s="1">
        <v>3</v>
      </c>
    </row>
    <row r="4779" spans="1:3" x14ac:dyDescent="0.3">
      <c r="A4779" t="s">
        <v>4778</v>
      </c>
      <c r="B4779">
        <f>0*(1-0.8198)</f>
        <v>0</v>
      </c>
      <c r="C4779" s="1">
        <v>2</v>
      </c>
    </row>
    <row r="4780" spans="1:3" x14ac:dyDescent="0.3">
      <c r="A4780" t="s">
        <v>4779</v>
      </c>
      <c r="B4780">
        <f>0*(1-0.8198)</f>
        <v>0</v>
      </c>
      <c r="C4780" s="1">
        <v>2</v>
      </c>
    </row>
    <row r="4781" spans="1:3" x14ac:dyDescent="0.3">
      <c r="A4781" t="s">
        <v>4780</v>
      </c>
      <c r="B4781">
        <f>0*(1-0.8198)</f>
        <v>0</v>
      </c>
      <c r="C4781" s="1">
        <v>2</v>
      </c>
    </row>
    <row r="4782" spans="1:3" x14ac:dyDescent="0.3">
      <c r="A4782" t="s">
        <v>4781</v>
      </c>
      <c r="B4782">
        <f>0*(1-0.8198)</f>
        <v>0</v>
      </c>
      <c r="C4782" s="1">
        <v>3</v>
      </c>
    </row>
    <row r="4783" spans="1:3" x14ac:dyDescent="0.3">
      <c r="A4783" t="s">
        <v>4782</v>
      </c>
      <c r="B4783">
        <f>0.45408*(1-0.8198)</f>
        <v>8.1825216000000006E-2</v>
      </c>
      <c r="C4783" s="1">
        <v>3</v>
      </c>
    </row>
    <row r="4784" spans="1:3" x14ac:dyDescent="0.3">
      <c r="A4784" t="s">
        <v>4783</v>
      </c>
      <c r="B4784">
        <f>11.5178927714286*(1-0.8198)</f>
        <v>2.0755242774114295</v>
      </c>
      <c r="C4784" s="1">
        <v>4</v>
      </c>
    </row>
    <row r="4785" spans="1:3" x14ac:dyDescent="0.3">
      <c r="A4785" t="s">
        <v>4784</v>
      </c>
      <c r="B4785">
        <f>24.7826854828571*(1-0.8198)</f>
        <v>4.4658399240108579</v>
      </c>
      <c r="C4785" s="1">
        <v>3</v>
      </c>
    </row>
    <row r="4786" spans="1:3" x14ac:dyDescent="0.3">
      <c r="A4786" t="s">
        <v>4785</v>
      </c>
      <c r="B4786">
        <f>37.2300152685714*(1-0.8198)</f>
        <v>6.7088487513965722</v>
      </c>
      <c r="C4786" s="1">
        <v>4</v>
      </c>
    </row>
    <row r="4787" spans="1:3" x14ac:dyDescent="0.3">
      <c r="A4787" t="s">
        <v>4786</v>
      </c>
      <c r="B4787">
        <f>45.6187863685714*(1-0.8198)</f>
        <v>8.2205053036165712</v>
      </c>
      <c r="C4787" s="1">
        <v>3</v>
      </c>
    </row>
    <row r="4788" spans="1:3" x14ac:dyDescent="0.3">
      <c r="A4788" t="s">
        <v>4787</v>
      </c>
      <c r="B4788">
        <f>53.3616198842857*(1-0.8198)</f>
        <v>9.615763903148288</v>
      </c>
      <c r="C4788" s="1">
        <v>4</v>
      </c>
    </row>
    <row r="4789" spans="1:3" x14ac:dyDescent="0.3">
      <c r="A4789" t="s">
        <v>4788</v>
      </c>
      <c r="B4789">
        <f>57.3766344357143*(1-0.8198)</f>
        <v>10.339269525315718</v>
      </c>
      <c r="C4789" s="1">
        <v>4</v>
      </c>
    </row>
    <row r="4790" spans="1:3" x14ac:dyDescent="0.3">
      <c r="A4790" t="s">
        <v>4789</v>
      </c>
      <c r="B4790">
        <f>58.1655499071429*(1-0.8198)</f>
        <v>10.481432093267145</v>
      </c>
      <c r="C4790" s="1">
        <v>3</v>
      </c>
    </row>
    <row r="4791" spans="1:3" x14ac:dyDescent="0.3">
      <c r="A4791" t="s">
        <v>4790</v>
      </c>
      <c r="B4791">
        <f>56.3769148428571*(1-0.8198)</f>
        <v>10.159120054682859</v>
      </c>
      <c r="C4791" s="1">
        <v>3</v>
      </c>
    </row>
    <row r="4792" spans="1:3" x14ac:dyDescent="0.3">
      <c r="A4792" t="s">
        <v>4791</v>
      </c>
      <c r="B4792">
        <f>50.1928517828571*(1-0.8198)</f>
        <v>9.0447518912708595</v>
      </c>
      <c r="C4792" s="1">
        <v>2</v>
      </c>
    </row>
    <row r="4793" spans="1:3" x14ac:dyDescent="0.3">
      <c r="A4793" t="s">
        <v>4792</v>
      </c>
      <c r="B4793">
        <f>40.9881739885714*(1-0.8198)</f>
        <v>7.3860689527405734</v>
      </c>
      <c r="C4793" s="1">
        <v>2</v>
      </c>
    </row>
    <row r="4794" spans="1:3" x14ac:dyDescent="0.3">
      <c r="A4794" t="s">
        <v>4793</v>
      </c>
      <c r="B4794">
        <f>29.4409945928571*(1-0.8198)</f>
        <v>5.3052672256328579</v>
      </c>
      <c r="C4794" s="1">
        <v>2</v>
      </c>
    </row>
    <row r="4795" spans="1:3" x14ac:dyDescent="0.3">
      <c r="A4795" t="s">
        <v>4794</v>
      </c>
      <c r="B4795">
        <f>12.3634235171429*(1-0.8198)</f>
        <v>2.2278889177891434</v>
      </c>
      <c r="C4795" s="1">
        <v>2</v>
      </c>
    </row>
    <row r="4796" spans="1:3" x14ac:dyDescent="0.3">
      <c r="A4796" t="s">
        <v>4795</v>
      </c>
      <c r="B4796">
        <f>5.58439888142857*(1-0.8198)</f>
        <v>1.0063086784334287</v>
      </c>
      <c r="C4796" s="1">
        <v>3</v>
      </c>
    </row>
    <row r="4797" spans="1:3" x14ac:dyDescent="0.3">
      <c r="A4797" t="s">
        <v>4796</v>
      </c>
      <c r="B4797">
        <f>0*(1-0.8198)</f>
        <v>0</v>
      </c>
      <c r="C4797" s="1">
        <v>2</v>
      </c>
    </row>
    <row r="4798" spans="1:3" x14ac:dyDescent="0.3">
      <c r="A4798" t="s">
        <v>4797</v>
      </c>
      <c r="B4798">
        <f>0*(1-0.8198)</f>
        <v>0</v>
      </c>
      <c r="C4798" s="1">
        <v>3</v>
      </c>
    </row>
    <row r="4799" spans="1:3" x14ac:dyDescent="0.3">
      <c r="A4799" t="s">
        <v>4798</v>
      </c>
      <c r="B4799">
        <f>0*(1-0.8198)</f>
        <v>0</v>
      </c>
      <c r="C4799" s="1">
        <v>2</v>
      </c>
    </row>
    <row r="4800" spans="1:3" x14ac:dyDescent="0.3">
      <c r="A4800" t="s">
        <v>4799</v>
      </c>
      <c r="B4800">
        <f>0*(1-0.8198)</f>
        <v>0</v>
      </c>
      <c r="C4800" s="1">
        <v>2</v>
      </c>
    </row>
    <row r="4801" spans="1:3" x14ac:dyDescent="0.3">
      <c r="A4801" t="s">
        <v>4800</v>
      </c>
      <c r="B4801">
        <f>0*(1-0.8198)</f>
        <v>0</v>
      </c>
      <c r="C4801" s="1">
        <v>2</v>
      </c>
    </row>
    <row r="4802" spans="1:3" x14ac:dyDescent="0.3">
      <c r="A4802" t="s">
        <v>4801</v>
      </c>
      <c r="B4802">
        <f>0*(1-0.8198)</f>
        <v>0</v>
      </c>
      <c r="C4802" s="1">
        <v>3</v>
      </c>
    </row>
    <row r="4803" spans="1:3" x14ac:dyDescent="0.3">
      <c r="A4803" t="s">
        <v>4802</v>
      </c>
      <c r="B4803">
        <f>0*(1-0.8198)</f>
        <v>0</v>
      </c>
      <c r="C4803" s="1">
        <v>2</v>
      </c>
    </row>
    <row r="4804" spans="1:3" x14ac:dyDescent="0.3">
      <c r="A4804" t="s">
        <v>4803</v>
      </c>
      <c r="B4804">
        <f>0*(1-0.8198)</f>
        <v>0</v>
      </c>
      <c r="C4804" s="1">
        <v>2</v>
      </c>
    </row>
    <row r="4805" spans="1:3" x14ac:dyDescent="0.3">
      <c r="A4805" t="s">
        <v>4804</v>
      </c>
      <c r="B4805">
        <f>0*(1-0.8198)</f>
        <v>0</v>
      </c>
      <c r="C4805" s="1">
        <v>3</v>
      </c>
    </row>
    <row r="4806" spans="1:3" x14ac:dyDescent="0.3">
      <c r="A4806" t="s">
        <v>4805</v>
      </c>
      <c r="B4806">
        <f>0*(1-0.8198)</f>
        <v>0</v>
      </c>
      <c r="C4806" s="1">
        <v>2</v>
      </c>
    </row>
    <row r="4807" spans="1:3" x14ac:dyDescent="0.3">
      <c r="A4807" t="s">
        <v>4806</v>
      </c>
      <c r="B4807">
        <f>1.09134*(1-0.8198)</f>
        <v>0.19665946800000006</v>
      </c>
      <c r="C4807" s="1">
        <v>2</v>
      </c>
    </row>
    <row r="4808" spans="1:3" x14ac:dyDescent="0.3">
      <c r="A4808" t="s">
        <v>4807</v>
      </c>
      <c r="B4808">
        <f>11.3402326814286*(1-0.8198)</f>
        <v>2.0435099291934287</v>
      </c>
      <c r="C4808" s="1">
        <v>2</v>
      </c>
    </row>
    <row r="4809" spans="1:3" x14ac:dyDescent="0.3">
      <c r="A4809" t="s">
        <v>4808</v>
      </c>
      <c r="B4809">
        <f>24.80572347*(1-0.8198)</f>
        <v>4.469991369294001</v>
      </c>
      <c r="C4809" s="1">
        <v>2</v>
      </c>
    </row>
    <row r="4810" spans="1:3" x14ac:dyDescent="0.3">
      <c r="A4810" t="s">
        <v>4809</v>
      </c>
      <c r="B4810">
        <f>37.4680038671429*(1-0.8198)</f>
        <v>6.7517342968591443</v>
      </c>
      <c r="C4810" s="1">
        <v>2</v>
      </c>
    </row>
    <row r="4811" spans="1:3" x14ac:dyDescent="0.3">
      <c r="A4811" t="s">
        <v>4810</v>
      </c>
      <c r="B4811">
        <f>47.3888566128571*(1-0.8198)</f>
        <v>8.5394719616368597</v>
      </c>
      <c r="C4811" s="1">
        <v>2</v>
      </c>
    </row>
    <row r="4812" spans="1:3" x14ac:dyDescent="0.3">
      <c r="A4812" t="s">
        <v>4811</v>
      </c>
      <c r="B4812">
        <f>49.7080334785714*(1-0.8198)</f>
        <v>8.9573876328385751</v>
      </c>
      <c r="C4812" s="1">
        <v>3</v>
      </c>
    </row>
    <row r="4813" spans="1:3" x14ac:dyDescent="0.3">
      <c r="A4813" t="s">
        <v>4812</v>
      </c>
      <c r="B4813">
        <f>56.3464764942857*(1-0.8198)</f>
        <v>10.153635064270288</v>
      </c>
      <c r="C4813" s="1">
        <v>2</v>
      </c>
    </row>
    <row r="4814" spans="1:3" x14ac:dyDescent="0.3">
      <c r="A4814" t="s">
        <v>4813</v>
      </c>
      <c r="B4814">
        <f>59.5076284971429*(1-0.8198)</f>
        <v>10.723274655185143</v>
      </c>
      <c r="C4814" s="1">
        <v>2</v>
      </c>
    </row>
    <row r="4815" spans="1:3" x14ac:dyDescent="0.3">
      <c r="A4815" t="s">
        <v>4814</v>
      </c>
      <c r="B4815">
        <f>57.3370742514286*(1-0.8198)</f>
        <v>10.33214078010743</v>
      </c>
      <c r="C4815" s="1">
        <v>3</v>
      </c>
    </row>
    <row r="4816" spans="1:3" x14ac:dyDescent="0.3">
      <c r="A4816" t="s">
        <v>4815</v>
      </c>
      <c r="B4816">
        <f>51.45738448*(1-0.8198)</f>
        <v>9.272620683296001</v>
      </c>
      <c r="C4816" s="1">
        <v>2</v>
      </c>
    </row>
    <row r="4817" spans="1:3" x14ac:dyDescent="0.3">
      <c r="A4817" t="s">
        <v>4816</v>
      </c>
      <c r="B4817">
        <f>41.0989258328571*(1-0.8198)</f>
        <v>7.4060264350808591</v>
      </c>
      <c r="C4817" s="1">
        <v>2</v>
      </c>
    </row>
    <row r="4818" spans="1:3" x14ac:dyDescent="0.3">
      <c r="A4818" t="s">
        <v>4817</v>
      </c>
      <c r="B4818">
        <f>30.0606228728571*(1-0.8198)</f>
        <v>5.4169242416888581</v>
      </c>
      <c r="C4818" s="1">
        <v>2</v>
      </c>
    </row>
    <row r="4819" spans="1:3" x14ac:dyDescent="0.3">
      <c r="A4819" t="s">
        <v>4818</v>
      </c>
      <c r="B4819">
        <f>16.72950776*(1-0.8198)</f>
        <v>3.0146572983520006</v>
      </c>
      <c r="C4819" s="1">
        <v>3</v>
      </c>
    </row>
    <row r="4820" spans="1:3" x14ac:dyDescent="0.3">
      <c r="A4820" t="s">
        <v>4819</v>
      </c>
      <c r="B4820">
        <f>5.61755851571429*(1-0.8198)</f>
        <v>1.0122840445317145</v>
      </c>
      <c r="C4820" s="1">
        <v>2</v>
      </c>
    </row>
    <row r="4821" spans="1:3" x14ac:dyDescent="0.3">
      <c r="A4821" t="s">
        <v>4820</v>
      </c>
      <c r="B4821">
        <f>0*(1-0.8198)</f>
        <v>0</v>
      </c>
      <c r="C4821" s="1">
        <v>2</v>
      </c>
    </row>
    <row r="4822" spans="1:3" x14ac:dyDescent="0.3">
      <c r="A4822" t="s">
        <v>4821</v>
      </c>
      <c r="B4822">
        <f>0*(1-0.8198)</f>
        <v>0</v>
      </c>
      <c r="C4822" s="1">
        <v>3</v>
      </c>
    </row>
    <row r="4823" spans="1:3" x14ac:dyDescent="0.3">
      <c r="A4823" t="s">
        <v>4822</v>
      </c>
      <c r="B4823">
        <f>0*(1-0.8198)</f>
        <v>0</v>
      </c>
      <c r="C4823" s="1">
        <v>2</v>
      </c>
    </row>
    <row r="4824" spans="1:3" x14ac:dyDescent="0.3">
      <c r="A4824" t="s">
        <v>4823</v>
      </c>
      <c r="B4824">
        <f>0*(1-0.8198)</f>
        <v>0</v>
      </c>
      <c r="C4824" s="1">
        <v>2</v>
      </c>
    </row>
    <row r="4825" spans="1:3" x14ac:dyDescent="0.3">
      <c r="A4825" t="s">
        <v>4824</v>
      </c>
      <c r="B4825">
        <f>0*(1-0.8198)</f>
        <v>0</v>
      </c>
      <c r="C4825" s="1">
        <v>2</v>
      </c>
    </row>
    <row r="4826" spans="1:3" x14ac:dyDescent="0.3">
      <c r="A4826" t="s">
        <v>4825</v>
      </c>
      <c r="B4826">
        <f>0*(1-0.8198)</f>
        <v>0</v>
      </c>
      <c r="C4826" s="1">
        <v>3</v>
      </c>
    </row>
    <row r="4827" spans="1:3" x14ac:dyDescent="0.3">
      <c r="A4827" t="s">
        <v>4826</v>
      </c>
      <c r="B4827">
        <f>0*(1-0.8198)</f>
        <v>0</v>
      </c>
      <c r="C4827" s="1">
        <v>2</v>
      </c>
    </row>
    <row r="4828" spans="1:3" x14ac:dyDescent="0.3">
      <c r="A4828" t="s">
        <v>4827</v>
      </c>
      <c r="B4828">
        <f>0*(1-0.8198)</f>
        <v>0</v>
      </c>
      <c r="C4828" s="1">
        <v>2</v>
      </c>
    </row>
    <row r="4829" spans="1:3" x14ac:dyDescent="0.3">
      <c r="A4829" t="s">
        <v>4828</v>
      </c>
      <c r="B4829">
        <f>0*(1-0.8198)</f>
        <v>0</v>
      </c>
      <c r="C4829" s="1">
        <v>3</v>
      </c>
    </row>
    <row r="4830" spans="1:3" x14ac:dyDescent="0.3">
      <c r="A4830" t="s">
        <v>4829</v>
      </c>
      <c r="B4830">
        <f>0*(1-0.8198)</f>
        <v>0</v>
      </c>
      <c r="C4830" s="1">
        <v>2</v>
      </c>
    </row>
    <row r="4831" spans="1:3" x14ac:dyDescent="0.3">
      <c r="A4831" t="s">
        <v>4830</v>
      </c>
      <c r="B4831">
        <f>1.03888*(1-0.8198)</f>
        <v>0.18720617600000009</v>
      </c>
      <c r="C4831" s="1">
        <v>2</v>
      </c>
    </row>
    <row r="4832" spans="1:3" x14ac:dyDescent="0.3">
      <c r="A4832" t="s">
        <v>4831</v>
      </c>
      <c r="B4832">
        <f>7.05195706142857*(1-0.8198)</f>
        <v>1.270762662469429</v>
      </c>
      <c r="C4832" s="1">
        <v>2</v>
      </c>
    </row>
    <row r="4833" spans="1:3" x14ac:dyDescent="0.3">
      <c r="A4833" t="s">
        <v>4832</v>
      </c>
      <c r="B4833">
        <f>25.1749563*(1-0.8198)</f>
        <v>4.536527125260001</v>
      </c>
      <c r="C4833" s="1">
        <v>2</v>
      </c>
    </row>
    <row r="4834" spans="1:3" x14ac:dyDescent="0.3">
      <c r="A4834" t="s">
        <v>4833</v>
      </c>
      <c r="B4834">
        <f>14.7364397614286*(1-0.8198)</f>
        <v>2.6555064450094292</v>
      </c>
      <c r="C4834" s="1">
        <v>3</v>
      </c>
    </row>
    <row r="4835" spans="1:3" x14ac:dyDescent="0.3">
      <c r="A4835" t="s">
        <v>4834</v>
      </c>
      <c r="B4835">
        <f>27.27006981*(1-0.8198)</f>
        <v>4.9140665797620002</v>
      </c>
      <c r="C4835" s="1">
        <v>2</v>
      </c>
    </row>
    <row r="4836" spans="1:3" x14ac:dyDescent="0.3">
      <c r="A4836" t="s">
        <v>4835</v>
      </c>
      <c r="B4836">
        <f>46.46973536*(1-0.8198)</f>
        <v>8.3738463118720023</v>
      </c>
      <c r="C4836" s="1">
        <v>2</v>
      </c>
    </row>
    <row r="4837" spans="1:3" x14ac:dyDescent="0.3">
      <c r="A4837" t="s">
        <v>4836</v>
      </c>
      <c r="B4837">
        <f>54.5003079214286*(1-0.8198)</f>
        <v>9.8209554874414309</v>
      </c>
      <c r="C4837" s="1">
        <v>2</v>
      </c>
    </row>
    <row r="4838" spans="1:3" x14ac:dyDescent="0.3">
      <c r="A4838" t="s">
        <v>4837</v>
      </c>
      <c r="B4838">
        <f>59.9734525342857*(1-0.8198)</f>
        <v>10.807216146678288</v>
      </c>
      <c r="C4838" s="1">
        <v>3</v>
      </c>
    </row>
    <row r="4839" spans="1:3" x14ac:dyDescent="0.3">
      <c r="A4839" t="s">
        <v>4838</v>
      </c>
      <c r="B4839">
        <f>57.68872303*(1-0.8198)</f>
        <v>10.395507890006003</v>
      </c>
      <c r="C4839" s="1">
        <v>2</v>
      </c>
    </row>
    <row r="4840" spans="1:3" x14ac:dyDescent="0.3">
      <c r="A4840" t="s">
        <v>4839</v>
      </c>
      <c r="B4840">
        <f>52.5471710128572*(1-0.8198)</f>
        <v>9.4690002165168607</v>
      </c>
      <c r="C4840" s="1">
        <v>2</v>
      </c>
    </row>
    <row r="4841" spans="1:3" x14ac:dyDescent="0.3">
      <c r="A4841" t="s">
        <v>4840</v>
      </c>
      <c r="B4841">
        <f>43.3284854771429*(1-0.8198)</f>
        <v>7.8077930829811439</v>
      </c>
      <c r="C4841" s="1">
        <v>2</v>
      </c>
    </row>
    <row r="4842" spans="1:3" x14ac:dyDescent="0.3">
      <c r="A4842" t="s">
        <v>4841</v>
      </c>
      <c r="B4842">
        <f>29.6535188371429*(1-0.8198)</f>
        <v>5.3435640944531455</v>
      </c>
      <c r="C4842" s="1">
        <v>3</v>
      </c>
    </row>
    <row r="4843" spans="1:3" x14ac:dyDescent="0.3">
      <c r="A4843" t="s">
        <v>4842</v>
      </c>
      <c r="B4843">
        <f>17.0164809142857*(1-0.8198)</f>
        <v>3.0663698607542855</v>
      </c>
      <c r="C4843" s="1">
        <v>2</v>
      </c>
    </row>
    <row r="4844" spans="1:3" x14ac:dyDescent="0.3">
      <c r="A4844" t="s">
        <v>4843</v>
      </c>
      <c r="B4844">
        <f>5.43052405714286*(1-0.8198)</f>
        <v>0.9785804350971431</v>
      </c>
      <c r="C4844" s="1">
        <v>2</v>
      </c>
    </row>
    <row r="4845" spans="1:3" x14ac:dyDescent="0.3">
      <c r="A4845" t="s">
        <v>4844</v>
      </c>
      <c r="B4845">
        <f>0*(1-0.8198)</f>
        <v>0</v>
      </c>
      <c r="C4845" s="1">
        <v>3</v>
      </c>
    </row>
    <row r="4846" spans="1:3" x14ac:dyDescent="0.3">
      <c r="A4846" t="s">
        <v>4845</v>
      </c>
      <c r="B4846">
        <f>0*(1-0.8198)</f>
        <v>0</v>
      </c>
      <c r="C4846" s="1">
        <v>2</v>
      </c>
    </row>
    <row r="4847" spans="1:3" x14ac:dyDescent="0.3">
      <c r="A4847" t="s">
        <v>4846</v>
      </c>
      <c r="B4847">
        <f>0*(1-0.8198)</f>
        <v>0</v>
      </c>
      <c r="C4847" s="1">
        <v>2</v>
      </c>
    </row>
    <row r="4848" spans="1:3" x14ac:dyDescent="0.3">
      <c r="A4848" t="s">
        <v>4847</v>
      </c>
      <c r="B4848">
        <f>0*(1-0.8198)</f>
        <v>0</v>
      </c>
      <c r="C4848" s="1">
        <v>2</v>
      </c>
    </row>
    <row r="4849" spans="1:3" x14ac:dyDescent="0.3">
      <c r="A4849" t="s">
        <v>4848</v>
      </c>
      <c r="B4849">
        <f>0*(1-0.8198)</f>
        <v>0</v>
      </c>
      <c r="C4849" s="1">
        <v>2</v>
      </c>
    </row>
    <row r="4850" spans="1:3" x14ac:dyDescent="0.3">
      <c r="A4850" t="s">
        <v>4849</v>
      </c>
      <c r="B4850">
        <f>0*(1-0.8198)</f>
        <v>0</v>
      </c>
      <c r="C4850" s="1">
        <v>3</v>
      </c>
    </row>
    <row r="4851" spans="1:3" x14ac:dyDescent="0.3">
      <c r="A4851" t="s">
        <v>4850</v>
      </c>
      <c r="B4851">
        <f>0*(1-0.8198)</f>
        <v>0</v>
      </c>
      <c r="C4851" s="1">
        <v>2</v>
      </c>
    </row>
    <row r="4852" spans="1:3" x14ac:dyDescent="0.3">
      <c r="A4852" t="s">
        <v>4851</v>
      </c>
      <c r="B4852">
        <f>0*(1-0.8198)</f>
        <v>0</v>
      </c>
      <c r="C4852" s="1">
        <v>2</v>
      </c>
    </row>
    <row r="4853" spans="1:3" x14ac:dyDescent="0.3">
      <c r="A4853" t="s">
        <v>4852</v>
      </c>
      <c r="B4853">
        <f>0*(1-0.8198)</f>
        <v>0</v>
      </c>
      <c r="C4853" s="1">
        <v>2</v>
      </c>
    </row>
    <row r="4854" spans="1:3" x14ac:dyDescent="0.3">
      <c r="A4854" t="s">
        <v>4853</v>
      </c>
      <c r="B4854">
        <f>0*(1-0.8198)</f>
        <v>0</v>
      </c>
      <c r="C4854" s="1">
        <v>3</v>
      </c>
    </row>
    <row r="4855" spans="1:3" x14ac:dyDescent="0.3">
      <c r="A4855" t="s">
        <v>4854</v>
      </c>
      <c r="B4855">
        <f>0.98814*(1-0.8198)</f>
        <v>0.17806282800000003</v>
      </c>
      <c r="C4855" s="1">
        <v>4</v>
      </c>
    </row>
    <row r="4856" spans="1:3" x14ac:dyDescent="0.3">
      <c r="A4856" t="s">
        <v>4855</v>
      </c>
      <c r="B4856">
        <f>12.1105103557143*(1-0.8198)</f>
        <v>2.1823139660997146</v>
      </c>
      <c r="C4856" s="1">
        <v>3</v>
      </c>
    </row>
    <row r="4857" spans="1:3" x14ac:dyDescent="0.3">
      <c r="A4857" t="s">
        <v>4856</v>
      </c>
      <c r="B4857">
        <f>25.7207228042857*(1-0.8198)</f>
        <v>4.6348742493322863</v>
      </c>
      <c r="C4857" s="1">
        <v>2</v>
      </c>
    </row>
    <row r="4858" spans="1:3" x14ac:dyDescent="0.3">
      <c r="A4858" t="s">
        <v>4857</v>
      </c>
      <c r="B4858">
        <f>21.1722756228571*(1-0.8198)</f>
        <v>3.8152440672388583</v>
      </c>
      <c r="C4858" s="1">
        <v>3</v>
      </c>
    </row>
    <row r="4859" spans="1:3" x14ac:dyDescent="0.3">
      <c r="A4859" t="s">
        <v>4858</v>
      </c>
      <c r="B4859">
        <f>21.9632825528571*(1-0.8198)</f>
        <v>3.9577835160248567</v>
      </c>
      <c r="C4859" s="1">
        <v>2</v>
      </c>
    </row>
    <row r="4860" spans="1:3" x14ac:dyDescent="0.3">
      <c r="A4860" t="s">
        <v>4859</v>
      </c>
      <c r="B4860">
        <f>50.4641790185714*(1-0.8198)</f>
        <v>9.0936450591465725</v>
      </c>
      <c r="C4860" s="1">
        <v>3</v>
      </c>
    </row>
    <row r="4861" spans="1:3" x14ac:dyDescent="0.3">
      <c r="A4861" t="s">
        <v>4860</v>
      </c>
      <c r="B4861">
        <f>52.7690301271429*(1-0.8198)</f>
        <v>9.5089792289111443</v>
      </c>
      <c r="C4861" s="1">
        <v>2</v>
      </c>
    </row>
    <row r="4862" spans="1:3" x14ac:dyDescent="0.3">
      <c r="A4862" t="s">
        <v>4861</v>
      </c>
      <c r="B4862">
        <f>60.4013220071429*(1-0.8198)</f>
        <v>10.884318225687144</v>
      </c>
      <c r="C4862" s="1">
        <v>3</v>
      </c>
    </row>
    <row r="4863" spans="1:3" x14ac:dyDescent="0.3">
      <c r="A4863" t="s">
        <v>4862</v>
      </c>
      <c r="B4863">
        <f>58.0079540471429*(1-0.8198)</f>
        <v>10.453033319295145</v>
      </c>
      <c r="C4863" s="1">
        <v>2</v>
      </c>
    </row>
    <row r="4864" spans="1:3" x14ac:dyDescent="0.3">
      <c r="A4864" t="s">
        <v>4863</v>
      </c>
      <c r="B4864">
        <f>52.1881734114286*(1-0.8198)</f>
        <v>9.4043088487394311</v>
      </c>
      <c r="C4864" s="1">
        <v>3</v>
      </c>
    </row>
    <row r="4865" spans="1:3" x14ac:dyDescent="0.3">
      <c r="A4865" t="s">
        <v>4864</v>
      </c>
      <c r="B4865">
        <f>42.6195939271429*(1-0.8198)</f>
        <v>7.6800508256711444</v>
      </c>
      <c r="C4865" s="1">
        <v>2</v>
      </c>
    </row>
    <row r="4866" spans="1:3" x14ac:dyDescent="0.3">
      <c r="A4866" t="s">
        <v>4865</v>
      </c>
      <c r="B4866">
        <f>30.58939375*(1-0.8198)</f>
        <v>5.5122087537500022</v>
      </c>
      <c r="C4866" s="1">
        <v>2</v>
      </c>
    </row>
    <row r="4867" spans="1:3" x14ac:dyDescent="0.3">
      <c r="A4867" t="s">
        <v>4866</v>
      </c>
      <c r="B4867">
        <f>17.2395444585714*(1-0.8198)</f>
        <v>3.1065659114345716</v>
      </c>
      <c r="C4867" s="1">
        <v>2</v>
      </c>
    </row>
    <row r="4868" spans="1:3" x14ac:dyDescent="0.3">
      <c r="A4868" t="s">
        <v>4867</v>
      </c>
      <c r="B4868">
        <f>6.01785448428571*(1-0.8198)</f>
        <v>1.0844173780682858</v>
      </c>
      <c r="C4868" s="1">
        <v>3</v>
      </c>
    </row>
    <row r="4869" spans="1:3" x14ac:dyDescent="0.3">
      <c r="A4869" t="s">
        <v>4868</v>
      </c>
      <c r="B4869">
        <f>0*(1-0.8198)</f>
        <v>0</v>
      </c>
      <c r="C4869" s="1">
        <v>2</v>
      </c>
    </row>
    <row r="4870" spans="1:3" x14ac:dyDescent="0.3">
      <c r="A4870" t="s">
        <v>4869</v>
      </c>
      <c r="B4870">
        <f>0*(1-0.8198)</f>
        <v>0</v>
      </c>
      <c r="C4870" s="1">
        <v>2</v>
      </c>
    </row>
    <row r="4871" spans="1:3" x14ac:dyDescent="0.3">
      <c r="A4871" t="s">
        <v>4870</v>
      </c>
      <c r="B4871">
        <f>0*(1-0.8198)</f>
        <v>0</v>
      </c>
      <c r="C4871" s="1">
        <v>2</v>
      </c>
    </row>
    <row r="4872" spans="1:3" x14ac:dyDescent="0.3">
      <c r="A4872" t="s">
        <v>4871</v>
      </c>
      <c r="B4872">
        <f>0*(1-0.8198)</f>
        <v>0</v>
      </c>
      <c r="C4872" s="1">
        <v>2</v>
      </c>
    </row>
    <row r="4873" spans="1:3" x14ac:dyDescent="0.3">
      <c r="A4873" t="s">
        <v>4872</v>
      </c>
      <c r="B4873">
        <f>0*(1-0.8198)</f>
        <v>0</v>
      </c>
      <c r="C4873" s="1">
        <v>2</v>
      </c>
    </row>
    <row r="4874" spans="1:3" x14ac:dyDescent="0.3">
      <c r="A4874" t="s">
        <v>4873</v>
      </c>
      <c r="B4874">
        <f>0*(1-0.8198)</f>
        <v>0</v>
      </c>
      <c r="C4874" s="1">
        <v>3</v>
      </c>
    </row>
    <row r="4875" spans="1:3" x14ac:dyDescent="0.3">
      <c r="A4875" t="s">
        <v>4874</v>
      </c>
      <c r="B4875">
        <f>0*(1-0.8198)</f>
        <v>0</v>
      </c>
      <c r="C4875" s="1">
        <v>2</v>
      </c>
    </row>
    <row r="4876" spans="1:3" x14ac:dyDescent="0.3">
      <c r="A4876" t="s">
        <v>4875</v>
      </c>
      <c r="B4876">
        <f>0*(1-0.8198)</f>
        <v>0</v>
      </c>
      <c r="C4876" s="1">
        <v>2</v>
      </c>
    </row>
    <row r="4877" spans="1:3" x14ac:dyDescent="0.3">
      <c r="A4877" t="s">
        <v>4876</v>
      </c>
      <c r="B4877">
        <f>0*(1-0.8198)</f>
        <v>0</v>
      </c>
      <c r="C4877" s="1">
        <v>2</v>
      </c>
    </row>
    <row r="4878" spans="1:3" x14ac:dyDescent="0.3">
      <c r="A4878" t="s">
        <v>4877</v>
      </c>
      <c r="B4878">
        <f>0*(1-0.8198)</f>
        <v>0</v>
      </c>
      <c r="C4878" s="1">
        <v>3</v>
      </c>
    </row>
    <row r="4879" spans="1:3" x14ac:dyDescent="0.3">
      <c r="A4879" t="s">
        <v>4878</v>
      </c>
      <c r="B4879">
        <f>0.71896*(1-0.8198)</f>
        <v>0.129556592</v>
      </c>
      <c r="C4879" s="1">
        <v>2</v>
      </c>
    </row>
    <row r="4880" spans="1:3" x14ac:dyDescent="0.3">
      <c r="A4880" t="s">
        <v>4879</v>
      </c>
      <c r="B4880">
        <f>11.7299004014286*(1-0.8198)</f>
        <v>2.1137280523374287</v>
      </c>
      <c r="C4880" s="1">
        <v>2</v>
      </c>
    </row>
    <row r="4881" spans="1:3" x14ac:dyDescent="0.3">
      <c r="A4881" t="s">
        <v>4880</v>
      </c>
      <c r="B4881">
        <f>25.0427170485714*(1-0.8198)</f>
        <v>4.5126976121525733</v>
      </c>
      <c r="C4881" s="1">
        <v>2</v>
      </c>
    </row>
    <row r="4882" spans="1:3" x14ac:dyDescent="0.3">
      <c r="A4882" t="s">
        <v>4881</v>
      </c>
      <c r="B4882">
        <f>34.8854402685714*(1-0.8198)</f>
        <v>6.2863563363965724</v>
      </c>
      <c r="C4882" s="1">
        <v>3</v>
      </c>
    </row>
    <row r="4883" spans="1:3" x14ac:dyDescent="0.3">
      <c r="A4883" t="s">
        <v>4882</v>
      </c>
      <c r="B4883">
        <f>47.81991601*(1-0.8198)</f>
        <v>8.6171488650020009</v>
      </c>
      <c r="C4883" s="1">
        <v>2</v>
      </c>
    </row>
    <row r="4884" spans="1:3" x14ac:dyDescent="0.3">
      <c r="A4884" t="s">
        <v>4883</v>
      </c>
      <c r="B4884">
        <f>54.9597212728571*(1-0.8198)</f>
        <v>9.9037417733688589</v>
      </c>
      <c r="C4884" s="1">
        <v>3</v>
      </c>
    </row>
    <row r="4885" spans="1:3" x14ac:dyDescent="0.3">
      <c r="A4885" t="s">
        <v>4884</v>
      </c>
      <c r="B4885">
        <f>58.4693997628571*(1-0.8198)</f>
        <v>10.536185837266858</v>
      </c>
      <c r="C4885" s="1">
        <v>2</v>
      </c>
    </row>
    <row r="4886" spans="1:3" x14ac:dyDescent="0.3">
      <c r="A4886" t="s">
        <v>4885</v>
      </c>
      <c r="B4886">
        <f>59.97574468*(1-0.8198)</f>
        <v>10.807629191336003</v>
      </c>
      <c r="C4886" s="1">
        <v>3</v>
      </c>
    </row>
    <row r="4887" spans="1:3" x14ac:dyDescent="0.3">
      <c r="A4887" t="s">
        <v>4886</v>
      </c>
      <c r="B4887">
        <f>55.9385349414286*(1-0.8198)</f>
        <v>10.080123996445433</v>
      </c>
      <c r="C4887" s="1">
        <v>2</v>
      </c>
    </row>
    <row r="4888" spans="1:3" x14ac:dyDescent="0.3">
      <c r="A4888" t="s">
        <v>4887</v>
      </c>
      <c r="B4888">
        <f>49.9344738128571*(1-0.8198)</f>
        <v>8.9981921810768597</v>
      </c>
      <c r="C4888" s="1">
        <v>3</v>
      </c>
    </row>
    <row r="4889" spans="1:3" x14ac:dyDescent="0.3">
      <c r="A4889" t="s">
        <v>4888</v>
      </c>
      <c r="B4889">
        <f>41.0448349657143*(1-0.8198)</f>
        <v>7.3962792608217161</v>
      </c>
      <c r="C4889" s="1">
        <v>2</v>
      </c>
    </row>
    <row r="4890" spans="1:3" x14ac:dyDescent="0.3">
      <c r="A4890" t="s">
        <v>4889</v>
      </c>
      <c r="B4890">
        <f>29.7961554885714*(1-0.8198)</f>
        <v>5.369267219040573</v>
      </c>
      <c r="C4890" s="1">
        <v>2</v>
      </c>
    </row>
    <row r="4891" spans="1:3" x14ac:dyDescent="0.3">
      <c r="A4891" t="s">
        <v>4890</v>
      </c>
      <c r="B4891">
        <f>16.2168136*(1-0.8198)</f>
        <v>2.9222698107200009</v>
      </c>
      <c r="C4891" s="1">
        <v>2</v>
      </c>
    </row>
    <row r="4892" spans="1:3" x14ac:dyDescent="0.3">
      <c r="A4892" t="s">
        <v>4891</v>
      </c>
      <c r="B4892">
        <f>5.27459340285714*(1-0.8198)</f>
        <v>0.95048173119485724</v>
      </c>
      <c r="C4892" s="1">
        <v>3</v>
      </c>
    </row>
    <row r="4893" spans="1:3" x14ac:dyDescent="0.3">
      <c r="A4893" t="s">
        <v>4892</v>
      </c>
      <c r="B4893">
        <f>0*(1-0.8198)</f>
        <v>0</v>
      </c>
      <c r="C4893" s="1">
        <v>3</v>
      </c>
    </row>
    <row r="4894" spans="1:3" x14ac:dyDescent="0.3">
      <c r="A4894" t="s">
        <v>4893</v>
      </c>
      <c r="B4894">
        <f>0*(1-0.8198)</f>
        <v>0</v>
      </c>
      <c r="C4894" s="1">
        <v>2</v>
      </c>
    </row>
    <row r="4895" spans="1:3" x14ac:dyDescent="0.3">
      <c r="A4895" t="s">
        <v>4894</v>
      </c>
      <c r="B4895">
        <f>0*(1-0.8198)</f>
        <v>0</v>
      </c>
      <c r="C4895" s="1">
        <v>2</v>
      </c>
    </row>
    <row r="4896" spans="1:3" x14ac:dyDescent="0.3">
      <c r="A4896" t="s">
        <v>4895</v>
      </c>
      <c r="B4896">
        <f>0*(1-0.8198)</f>
        <v>0</v>
      </c>
      <c r="C4896" s="1">
        <v>3</v>
      </c>
    </row>
    <row r="4897" spans="1:3" x14ac:dyDescent="0.3">
      <c r="A4897" t="s">
        <v>4896</v>
      </c>
      <c r="B4897">
        <f>0*(1-0.8198)</f>
        <v>0</v>
      </c>
      <c r="C4897" s="1">
        <v>2</v>
      </c>
    </row>
    <row r="4898" spans="1:3" x14ac:dyDescent="0.3">
      <c r="A4898" t="s">
        <v>4897</v>
      </c>
      <c r="B4898">
        <f>0*(1-0.8198)</f>
        <v>0</v>
      </c>
      <c r="C4898" s="1">
        <v>2</v>
      </c>
    </row>
    <row r="4899" spans="1:3" x14ac:dyDescent="0.3">
      <c r="A4899" t="s">
        <v>4898</v>
      </c>
      <c r="B4899">
        <f>0*(1-0.8198)</f>
        <v>0</v>
      </c>
      <c r="C4899" s="1">
        <v>2</v>
      </c>
    </row>
    <row r="4900" spans="1:3" x14ac:dyDescent="0.3">
      <c r="A4900" t="s">
        <v>4899</v>
      </c>
      <c r="B4900">
        <f>0*(1-0.8198)</f>
        <v>0</v>
      </c>
      <c r="C4900" s="1">
        <v>3</v>
      </c>
    </row>
    <row r="4901" spans="1:3" x14ac:dyDescent="0.3">
      <c r="A4901" t="s">
        <v>4900</v>
      </c>
      <c r="B4901">
        <f>0*(1-0.8198)</f>
        <v>0</v>
      </c>
      <c r="C4901" s="1">
        <v>2</v>
      </c>
    </row>
    <row r="4902" spans="1:3" x14ac:dyDescent="0.3">
      <c r="A4902" t="s">
        <v>4901</v>
      </c>
      <c r="B4902">
        <f>0*(1-0.8198)</f>
        <v>0</v>
      </c>
      <c r="C4902" s="1">
        <v>2</v>
      </c>
    </row>
    <row r="4903" spans="1:3" x14ac:dyDescent="0.3">
      <c r="A4903" t="s">
        <v>4902</v>
      </c>
      <c r="B4903">
        <f>0.18318*(1-0.8198)</f>
        <v>3.3009036000000005E-2</v>
      </c>
      <c r="C4903" s="1">
        <v>2</v>
      </c>
    </row>
    <row r="4904" spans="1:3" x14ac:dyDescent="0.3">
      <c r="A4904" t="s">
        <v>4903</v>
      </c>
      <c r="B4904">
        <f>0.50912*(1-0.8198)</f>
        <v>9.1743424000000018E-2</v>
      </c>
      <c r="C4904" s="1">
        <v>2</v>
      </c>
    </row>
    <row r="4905" spans="1:3" x14ac:dyDescent="0.3">
      <c r="A4905" t="s">
        <v>4904</v>
      </c>
      <c r="B4905">
        <f>13.8116423857143*(1-0.8198)</f>
        <v>2.4888579579057146</v>
      </c>
      <c r="C4905" s="1">
        <v>3</v>
      </c>
    </row>
    <row r="4906" spans="1:3" x14ac:dyDescent="0.3">
      <c r="A4906" t="s">
        <v>4905</v>
      </c>
      <c r="B4906">
        <f>28.9714621128571*(1-0.8198)</f>
        <v>5.2206574727368578</v>
      </c>
      <c r="C4906" s="1">
        <v>2</v>
      </c>
    </row>
    <row r="4907" spans="1:3" x14ac:dyDescent="0.3">
      <c r="A4907" t="s">
        <v>4906</v>
      </c>
      <c r="B4907">
        <f>40.6807693228571*(1-0.8198)</f>
        <v>7.3306746319788587</v>
      </c>
      <c r="C4907" s="1">
        <v>2</v>
      </c>
    </row>
    <row r="4908" spans="1:3" x14ac:dyDescent="0.3">
      <c r="A4908" t="s">
        <v>4907</v>
      </c>
      <c r="B4908">
        <f>42.8126600571429*(1-0.8198)</f>
        <v>7.7148413422971451</v>
      </c>
      <c r="C4908" s="1">
        <v>3</v>
      </c>
    </row>
    <row r="4909" spans="1:3" x14ac:dyDescent="0.3">
      <c r="A4909" t="s">
        <v>4908</v>
      </c>
      <c r="B4909">
        <f>58.7712243185714*(1-0.8198)</f>
        <v>10.590574622206571</v>
      </c>
      <c r="C4909" s="1">
        <v>2</v>
      </c>
    </row>
    <row r="4910" spans="1:3" x14ac:dyDescent="0.3">
      <c r="A4910" t="s">
        <v>4909</v>
      </c>
      <c r="B4910">
        <f>44.8797235614286*(1-0.8198)</f>
        <v>8.0873261857694292</v>
      </c>
      <c r="C4910" s="1">
        <v>3</v>
      </c>
    </row>
    <row r="4911" spans="1:3" x14ac:dyDescent="0.3">
      <c r="A4911" t="s">
        <v>4910</v>
      </c>
      <c r="B4911">
        <f>46.3939055971429*(1-0.8198)</f>
        <v>8.3601817886051464</v>
      </c>
      <c r="C4911" s="1">
        <v>2</v>
      </c>
    </row>
    <row r="4912" spans="1:3" x14ac:dyDescent="0.3">
      <c r="A4912" t="s">
        <v>4911</v>
      </c>
      <c r="B4912">
        <f>36.1208460557143*(1-0.8198)</f>
        <v>6.5089764592397161</v>
      </c>
      <c r="C4912" s="1">
        <v>3</v>
      </c>
    </row>
    <row r="4913" spans="1:3" x14ac:dyDescent="0.3">
      <c r="A4913" t="s">
        <v>4912</v>
      </c>
      <c r="B4913">
        <f>32.5303542871429*(1-0.8198)</f>
        <v>5.8619698425431439</v>
      </c>
      <c r="C4913" s="1">
        <v>3</v>
      </c>
    </row>
    <row r="4914" spans="1:3" x14ac:dyDescent="0.3">
      <c r="A4914" t="s">
        <v>4913</v>
      </c>
      <c r="B4914">
        <f>5.87552*(1-0.8198)</f>
        <v>1.058768704</v>
      </c>
      <c r="C4914" s="1">
        <v>2</v>
      </c>
    </row>
    <row r="4915" spans="1:3" x14ac:dyDescent="0.3">
      <c r="A4915" t="s">
        <v>4914</v>
      </c>
      <c r="B4915">
        <f>12.0311006585714*(1-0.8198)</f>
        <v>2.1680043386745722</v>
      </c>
      <c r="C4915" s="1">
        <v>2</v>
      </c>
    </row>
    <row r="4916" spans="1:3" x14ac:dyDescent="0.3">
      <c r="A4916" t="s">
        <v>4915</v>
      </c>
      <c r="B4916">
        <f>4.66773673714286*(1-0.8198)</f>
        <v>0.841126160033143</v>
      </c>
      <c r="C4916" s="1">
        <v>2</v>
      </c>
    </row>
    <row r="4917" spans="1:3" x14ac:dyDescent="0.3">
      <c r="A4917" t="s">
        <v>4916</v>
      </c>
      <c r="B4917">
        <f>0*(1-0.8198)</f>
        <v>0</v>
      </c>
      <c r="C4917" s="1">
        <v>3</v>
      </c>
    </row>
    <row r="4918" spans="1:3" x14ac:dyDescent="0.3">
      <c r="A4918" t="s">
        <v>4917</v>
      </c>
      <c r="B4918">
        <f>0*(1-0.8198)</f>
        <v>0</v>
      </c>
      <c r="C4918" s="1">
        <v>2</v>
      </c>
    </row>
    <row r="4919" spans="1:3" x14ac:dyDescent="0.3">
      <c r="A4919" t="s">
        <v>4918</v>
      </c>
      <c r="B4919">
        <f>0*(1-0.8198)</f>
        <v>0</v>
      </c>
      <c r="C4919" s="1">
        <v>2</v>
      </c>
    </row>
    <row r="4920" spans="1:3" x14ac:dyDescent="0.3">
      <c r="A4920" t="s">
        <v>4919</v>
      </c>
      <c r="B4920">
        <f>0*(1-0.8198)</f>
        <v>0</v>
      </c>
      <c r="C4920" s="1">
        <v>3</v>
      </c>
    </row>
    <row r="4921" spans="1:3" x14ac:dyDescent="0.3">
      <c r="A4921" t="s">
        <v>4920</v>
      </c>
      <c r="B4921">
        <f>0*(1-0.8198)</f>
        <v>0</v>
      </c>
      <c r="C4921" s="1">
        <v>2</v>
      </c>
    </row>
    <row r="4922" spans="1:3" x14ac:dyDescent="0.3">
      <c r="A4922" t="s">
        <v>4921</v>
      </c>
      <c r="B4922">
        <f>0*(1-0.8198)</f>
        <v>0</v>
      </c>
      <c r="C4922" s="1">
        <v>2</v>
      </c>
    </row>
    <row r="4923" spans="1:3" x14ac:dyDescent="0.3">
      <c r="A4923" t="s">
        <v>4922</v>
      </c>
      <c r="B4923">
        <f>0*(1-0.8198)</f>
        <v>0</v>
      </c>
      <c r="C4923" s="1">
        <v>3</v>
      </c>
    </row>
    <row r="4924" spans="1:3" x14ac:dyDescent="0.3">
      <c r="A4924" t="s">
        <v>4923</v>
      </c>
      <c r="B4924">
        <f>0*(1-0.8198)</f>
        <v>0</v>
      </c>
      <c r="C4924" s="1">
        <v>2</v>
      </c>
    </row>
    <row r="4925" spans="1:3" x14ac:dyDescent="0.3">
      <c r="A4925" t="s">
        <v>4924</v>
      </c>
      <c r="B4925">
        <f>0*(1-0.8198)</f>
        <v>0</v>
      </c>
      <c r="C4925" s="1">
        <v>2</v>
      </c>
    </row>
    <row r="4926" spans="1:3" x14ac:dyDescent="0.3">
      <c r="A4926" t="s">
        <v>4925</v>
      </c>
      <c r="B4926">
        <f>0*(1-0.8198)</f>
        <v>0</v>
      </c>
      <c r="C4926" s="1">
        <v>3</v>
      </c>
    </row>
    <row r="4927" spans="1:3" x14ac:dyDescent="0.3">
      <c r="A4927" t="s">
        <v>4926</v>
      </c>
      <c r="B4927">
        <f>0.8213*(1-0.8198)</f>
        <v>0.14799826000000005</v>
      </c>
      <c r="C4927" s="1">
        <v>2</v>
      </c>
    </row>
    <row r="4928" spans="1:3" x14ac:dyDescent="0.3">
      <c r="A4928" t="s">
        <v>4927</v>
      </c>
      <c r="B4928">
        <f>12.8967790542857*(1-0.8198)</f>
        <v>2.3239995855822864</v>
      </c>
      <c r="C4928" s="1">
        <v>2</v>
      </c>
    </row>
    <row r="4929" spans="1:3" x14ac:dyDescent="0.3">
      <c r="A4929" t="s">
        <v>4928</v>
      </c>
      <c r="B4929">
        <f>27.1982650928571*(1-0.8198)</f>
        <v>4.9011273697328583</v>
      </c>
      <c r="C4929" s="1">
        <v>3</v>
      </c>
    </row>
    <row r="4930" spans="1:3" x14ac:dyDescent="0.3">
      <c r="A4930" t="s">
        <v>4929</v>
      </c>
      <c r="B4930">
        <f>40.3781978571428*(1-0.8198)</f>
        <v>7.2761512538571411</v>
      </c>
      <c r="C4930" s="1">
        <v>3</v>
      </c>
    </row>
    <row r="4931" spans="1:3" x14ac:dyDescent="0.3">
      <c r="A4931" t="s">
        <v>4930</v>
      </c>
      <c r="B4931">
        <f>50.5451736342857*(1-0.8198)</f>
        <v>9.1082402888982887</v>
      </c>
      <c r="C4931" s="1">
        <v>3</v>
      </c>
    </row>
    <row r="4932" spans="1:3" x14ac:dyDescent="0.3">
      <c r="A4932" t="s">
        <v>4931</v>
      </c>
      <c r="B4932">
        <f>57.0378540828572*(1-0.8198)</f>
        <v>10.27822130573086</v>
      </c>
      <c r="C4932" s="1">
        <v>3</v>
      </c>
    </row>
    <row r="4933" spans="1:3" x14ac:dyDescent="0.3">
      <c r="A4933" t="s">
        <v>4932</v>
      </c>
      <c r="B4933">
        <f>59.5161404085714*(1-0.8198)</f>
        <v>10.724808501624572</v>
      </c>
      <c r="C4933" s="1">
        <v>4</v>
      </c>
    </row>
    <row r="4934" spans="1:3" x14ac:dyDescent="0.3">
      <c r="A4934" t="s">
        <v>4933</v>
      </c>
      <c r="B4934">
        <f>61.0931690942857*(1-0.8198)</f>
        <v>11.008989070790289</v>
      </c>
      <c r="C4934" s="1">
        <v>2</v>
      </c>
    </row>
    <row r="4935" spans="1:3" x14ac:dyDescent="0.3">
      <c r="A4935" t="s">
        <v>4934</v>
      </c>
      <c r="B4935">
        <f>57.9937502871429*(1-0.8198)</f>
        <v>10.450473801743145</v>
      </c>
      <c r="C4935" s="1">
        <v>3</v>
      </c>
    </row>
    <row r="4936" spans="1:3" x14ac:dyDescent="0.3">
      <c r="A4936" t="s">
        <v>4935</v>
      </c>
      <c r="B4936">
        <f>52.00537605*(1-0.8198)</f>
        <v>9.3713687642100023</v>
      </c>
      <c r="C4936" s="1">
        <v>2</v>
      </c>
    </row>
    <row r="4937" spans="1:3" x14ac:dyDescent="0.3">
      <c r="A4937" t="s">
        <v>4936</v>
      </c>
      <c r="B4937">
        <f>42.0255700585714*(1-0.8198)</f>
        <v>7.5730077245545733</v>
      </c>
      <c r="C4937" s="1">
        <v>3</v>
      </c>
    </row>
    <row r="4938" spans="1:3" x14ac:dyDescent="0.3">
      <c r="A4938" t="s">
        <v>4937</v>
      </c>
      <c r="B4938">
        <f>30.4597673014286*(1-0.8198)</f>
        <v>5.4888500677174301</v>
      </c>
      <c r="C4938" s="1">
        <v>3</v>
      </c>
    </row>
    <row r="4939" spans="1:3" x14ac:dyDescent="0.3">
      <c r="A4939" t="s">
        <v>4938</v>
      </c>
      <c r="B4939">
        <f>17.0081298842857*(1-0.8198)</f>
        <v>3.0648650051482864</v>
      </c>
      <c r="C4939" s="1">
        <v>2</v>
      </c>
    </row>
    <row r="4940" spans="1:3" x14ac:dyDescent="0.3">
      <c r="A4940" t="s">
        <v>4939</v>
      </c>
      <c r="B4940">
        <f>5.56359879857143*(1-0.8198)</f>
        <v>1.0025605035025718</v>
      </c>
      <c r="C4940" s="1">
        <v>2</v>
      </c>
    </row>
    <row r="4941" spans="1:3" x14ac:dyDescent="0.3">
      <c r="A4941" t="s">
        <v>4940</v>
      </c>
      <c r="B4941">
        <f>0*(1-0.8198)</f>
        <v>0</v>
      </c>
      <c r="C4941" s="1">
        <v>3</v>
      </c>
    </row>
    <row r="4942" spans="1:3" x14ac:dyDescent="0.3">
      <c r="A4942" t="s">
        <v>4941</v>
      </c>
      <c r="B4942">
        <f>0*(1-0.8198)</f>
        <v>0</v>
      </c>
      <c r="C4942" s="1">
        <v>2</v>
      </c>
    </row>
    <row r="4943" spans="1:3" x14ac:dyDescent="0.3">
      <c r="A4943" t="s">
        <v>4942</v>
      </c>
      <c r="B4943">
        <f>0*(1-0.8198)</f>
        <v>0</v>
      </c>
      <c r="C4943" s="1">
        <v>3</v>
      </c>
    </row>
    <row r="4944" spans="1:3" x14ac:dyDescent="0.3">
      <c r="A4944" t="s">
        <v>4943</v>
      </c>
      <c r="B4944">
        <f>0*(1-0.8198)</f>
        <v>0</v>
      </c>
      <c r="C4944" s="1">
        <v>2</v>
      </c>
    </row>
    <row r="4945" spans="1:3" x14ac:dyDescent="0.3">
      <c r="A4945" t="s">
        <v>4944</v>
      </c>
      <c r="B4945">
        <f>0*(1-0.8198)</f>
        <v>0</v>
      </c>
      <c r="C4945" s="1">
        <v>2</v>
      </c>
    </row>
    <row r="4946" spans="1:3" x14ac:dyDescent="0.3">
      <c r="A4946" t="s">
        <v>4945</v>
      </c>
      <c r="B4946">
        <f>0*(1-0.8198)</f>
        <v>0</v>
      </c>
      <c r="C4946" s="1">
        <v>3</v>
      </c>
    </row>
    <row r="4947" spans="1:3" x14ac:dyDescent="0.3">
      <c r="A4947" t="s">
        <v>4946</v>
      </c>
      <c r="B4947">
        <f>0*(1-0.8198)</f>
        <v>0</v>
      </c>
      <c r="C4947" s="1">
        <v>2</v>
      </c>
    </row>
    <row r="4948" spans="1:3" x14ac:dyDescent="0.3">
      <c r="A4948" t="s">
        <v>4947</v>
      </c>
      <c r="B4948">
        <f>0*(1-0.8198)</f>
        <v>0</v>
      </c>
      <c r="C4948" s="1">
        <v>3</v>
      </c>
    </row>
    <row r="4949" spans="1:3" x14ac:dyDescent="0.3">
      <c r="A4949" t="s">
        <v>4948</v>
      </c>
      <c r="B4949">
        <f>0*(1-0.8198)</f>
        <v>0</v>
      </c>
      <c r="C4949" s="1">
        <v>2</v>
      </c>
    </row>
    <row r="4950" spans="1:3" x14ac:dyDescent="0.3">
      <c r="A4950" t="s">
        <v>4949</v>
      </c>
      <c r="B4950">
        <f>0*(1-0.8198)</f>
        <v>0</v>
      </c>
      <c r="C4950" s="1">
        <v>2</v>
      </c>
    </row>
    <row r="4951" spans="1:3" x14ac:dyDescent="0.3">
      <c r="A4951" t="s">
        <v>4950</v>
      </c>
      <c r="B4951">
        <f>0.56244*(1-0.8198)</f>
        <v>0.10135168800000002</v>
      </c>
      <c r="C4951" s="1">
        <v>3</v>
      </c>
    </row>
    <row r="4952" spans="1:3" x14ac:dyDescent="0.3">
      <c r="A4952" t="s">
        <v>4951</v>
      </c>
      <c r="B4952">
        <f>4.93086424142857*(1-0.8198)</f>
        <v>0.88854173630542865</v>
      </c>
      <c r="C4952" s="1">
        <v>2</v>
      </c>
    </row>
    <row r="4953" spans="1:3" x14ac:dyDescent="0.3">
      <c r="A4953" t="s">
        <v>4952</v>
      </c>
      <c r="B4953">
        <f>14.17874862*(1-0.8198)</f>
        <v>2.5550105013240003</v>
      </c>
      <c r="C4953" s="1">
        <v>2</v>
      </c>
    </row>
    <row r="4954" spans="1:3" x14ac:dyDescent="0.3">
      <c r="A4954" t="s">
        <v>4953</v>
      </c>
      <c r="B4954">
        <f>20.8085193957143*(1-0.8198)</f>
        <v>3.7496951951077153</v>
      </c>
      <c r="C4954" s="1">
        <v>3</v>
      </c>
    </row>
    <row r="4955" spans="1:3" x14ac:dyDescent="0.3">
      <c r="A4955" t="s">
        <v>4954</v>
      </c>
      <c r="B4955">
        <f>35.8824217442857*(1-0.8198)</f>
        <v>6.4660123983202871</v>
      </c>
      <c r="C4955" s="1">
        <v>2</v>
      </c>
    </row>
    <row r="4956" spans="1:3" x14ac:dyDescent="0.3">
      <c r="A4956" t="s">
        <v>4955</v>
      </c>
      <c r="B4956">
        <f>34.3336725614286*(1-0.8198)</f>
        <v>6.1869277955694306</v>
      </c>
      <c r="C4956" s="1">
        <v>3</v>
      </c>
    </row>
    <row r="4957" spans="1:3" x14ac:dyDescent="0.3">
      <c r="A4957" t="s">
        <v>4956</v>
      </c>
      <c r="B4957">
        <f>40.5105083657143*(1-0.8198)</f>
        <v>7.2999936075017153</v>
      </c>
      <c r="C4957" s="1">
        <v>2</v>
      </c>
    </row>
    <row r="4958" spans="1:3" x14ac:dyDescent="0.3">
      <c r="A4958" t="s">
        <v>4957</v>
      </c>
      <c r="B4958">
        <f>26.86848464*(1-0.8198)</f>
        <v>4.8417009321280009</v>
      </c>
      <c r="C4958" s="1">
        <v>3</v>
      </c>
    </row>
    <row r="4959" spans="1:3" x14ac:dyDescent="0.3">
      <c r="A4959" t="s">
        <v>4958</v>
      </c>
      <c r="B4959">
        <f>52.4405766542857*(1-0.8198)</f>
        <v>9.4497919131022865</v>
      </c>
      <c r="C4959" s="1">
        <v>2</v>
      </c>
    </row>
    <row r="4960" spans="1:3" x14ac:dyDescent="0.3">
      <c r="A4960" t="s">
        <v>4959</v>
      </c>
      <c r="B4960">
        <f>44.5513345271429*(1-0.8198)</f>
        <v>8.028150481791144</v>
      </c>
      <c r="C4960" s="1">
        <v>3</v>
      </c>
    </row>
    <row r="4961" spans="1:3" x14ac:dyDescent="0.3">
      <c r="A4961" t="s">
        <v>4960</v>
      </c>
      <c r="B4961">
        <f>37.67709278*(1-0.8198)</f>
        <v>6.7894121189560028</v>
      </c>
      <c r="C4961" s="1">
        <v>2</v>
      </c>
    </row>
    <row r="4962" spans="1:3" x14ac:dyDescent="0.3">
      <c r="A4962" t="s">
        <v>4961</v>
      </c>
      <c r="B4962">
        <f>28.5558728871429*(1-0.8198)</f>
        <v>5.145768294263144</v>
      </c>
      <c r="C4962" s="1">
        <v>2</v>
      </c>
    </row>
    <row r="4963" spans="1:3" x14ac:dyDescent="0.3">
      <c r="A4963" t="s">
        <v>4962</v>
      </c>
      <c r="B4963">
        <f>15.4399014557143*(1-0.8198)</f>
        <v>2.7822702423197145</v>
      </c>
      <c r="C4963" s="1">
        <v>3</v>
      </c>
    </row>
    <row r="4964" spans="1:3" x14ac:dyDescent="0.3">
      <c r="A4964" t="s">
        <v>4963</v>
      </c>
      <c r="B4964">
        <f>4.91206230714286*(1-0.8198)</f>
        <v>0.88515362774714301</v>
      </c>
      <c r="C4964" s="1">
        <v>2</v>
      </c>
    </row>
    <row r="4965" spans="1:3" x14ac:dyDescent="0.3">
      <c r="A4965" t="s">
        <v>4964</v>
      </c>
      <c r="B4965">
        <f>0*(1-0.8198)</f>
        <v>0</v>
      </c>
      <c r="C4965" s="1">
        <v>2</v>
      </c>
    </row>
    <row r="4966" spans="1:3" x14ac:dyDescent="0.3">
      <c r="A4966" t="s">
        <v>4965</v>
      </c>
      <c r="B4966">
        <f>0*(1-0.8198)</f>
        <v>0</v>
      </c>
      <c r="C4966" s="1">
        <v>3</v>
      </c>
    </row>
    <row r="4967" spans="1:3" x14ac:dyDescent="0.3">
      <c r="A4967" t="s">
        <v>4966</v>
      </c>
      <c r="B4967">
        <f>0*(1-0.8198)</f>
        <v>0</v>
      </c>
      <c r="C4967" s="1">
        <v>2</v>
      </c>
    </row>
    <row r="4968" spans="1:3" x14ac:dyDescent="0.3">
      <c r="A4968" t="s">
        <v>4967</v>
      </c>
      <c r="B4968">
        <f>0*(1-0.8198)</f>
        <v>0</v>
      </c>
      <c r="C4968" s="1">
        <v>2</v>
      </c>
    </row>
    <row r="4969" spans="1:3" x14ac:dyDescent="0.3">
      <c r="A4969" t="s">
        <v>4968</v>
      </c>
      <c r="B4969">
        <f>0*(1-0.8198)</f>
        <v>0</v>
      </c>
      <c r="C4969" s="1">
        <v>2</v>
      </c>
    </row>
    <row r="4970" spans="1:3" x14ac:dyDescent="0.3">
      <c r="A4970" t="s">
        <v>4969</v>
      </c>
      <c r="B4970">
        <f>0*(1-0.8198)</f>
        <v>0</v>
      </c>
      <c r="C4970" s="1">
        <v>3</v>
      </c>
    </row>
    <row r="4971" spans="1:3" x14ac:dyDescent="0.3">
      <c r="A4971" t="s">
        <v>4970</v>
      </c>
      <c r="B4971">
        <f>0*(1-0.8198)</f>
        <v>0</v>
      </c>
      <c r="C4971" s="1">
        <v>2</v>
      </c>
    </row>
    <row r="4972" spans="1:3" x14ac:dyDescent="0.3">
      <c r="A4972" t="s">
        <v>4971</v>
      </c>
      <c r="B4972">
        <f>0*(1-0.8198)</f>
        <v>0</v>
      </c>
      <c r="C4972" s="1">
        <v>2</v>
      </c>
    </row>
    <row r="4973" spans="1:3" x14ac:dyDescent="0.3">
      <c r="A4973" t="s">
        <v>4972</v>
      </c>
      <c r="B4973">
        <f>0*(1-0.8198)</f>
        <v>0</v>
      </c>
      <c r="C4973" s="1">
        <v>3</v>
      </c>
    </row>
    <row r="4974" spans="1:3" x14ac:dyDescent="0.3">
      <c r="A4974" t="s">
        <v>4973</v>
      </c>
      <c r="B4974">
        <f>0*(1-0.8198)</f>
        <v>0</v>
      </c>
      <c r="C4974" s="1">
        <v>2</v>
      </c>
    </row>
    <row r="4975" spans="1:3" x14ac:dyDescent="0.3">
      <c r="A4975" t="s">
        <v>4974</v>
      </c>
      <c r="B4975">
        <f>0.56674*(1-0.8198)</f>
        <v>0.10212654800000003</v>
      </c>
      <c r="C4975" s="1">
        <v>3</v>
      </c>
    </row>
    <row r="4976" spans="1:3" x14ac:dyDescent="0.3">
      <c r="A4976" t="s">
        <v>4975</v>
      </c>
      <c r="B4976">
        <f>12.1749848014286*(1-0.8198)</f>
        <v>2.1939322612174288</v>
      </c>
      <c r="C4976" s="1">
        <v>2</v>
      </c>
    </row>
    <row r="4977" spans="1:3" x14ac:dyDescent="0.3">
      <c r="A4977" t="s">
        <v>4976</v>
      </c>
      <c r="B4977">
        <f>20.1062288371429*(1-0.8198)</f>
        <v>3.623142436453143</v>
      </c>
      <c r="C4977" s="1">
        <v>2</v>
      </c>
    </row>
    <row r="4978" spans="1:3" x14ac:dyDescent="0.3">
      <c r="A4978" t="s">
        <v>4977</v>
      </c>
      <c r="B4978">
        <f>38.5808837957143*(1-0.8198)</f>
        <v>6.9522752599877169</v>
      </c>
      <c r="C4978" s="1">
        <v>2</v>
      </c>
    </row>
    <row r="4979" spans="1:3" x14ac:dyDescent="0.3">
      <c r="A4979" t="s">
        <v>4978</v>
      </c>
      <c r="B4979">
        <f>21.1136379971429*(1-0.8198)</f>
        <v>3.804677567085144</v>
      </c>
      <c r="C4979" s="1">
        <v>3</v>
      </c>
    </row>
    <row r="4980" spans="1:3" x14ac:dyDescent="0.3">
      <c r="A4980" t="s">
        <v>4979</v>
      </c>
      <c r="B4980">
        <f>19.3316937328571*(1-0.8198)</f>
        <v>3.4835712106608576</v>
      </c>
      <c r="C4980" s="1">
        <v>2</v>
      </c>
    </row>
    <row r="4981" spans="1:3" x14ac:dyDescent="0.3">
      <c r="A4981" t="s">
        <v>4980</v>
      </c>
      <c r="B4981">
        <f>35.65589498*(1-0.8198)</f>
        <v>6.4251922753960011</v>
      </c>
      <c r="C4981" s="1">
        <v>2</v>
      </c>
    </row>
    <row r="4982" spans="1:3" x14ac:dyDescent="0.3">
      <c r="A4982" t="s">
        <v>4981</v>
      </c>
      <c r="B4982">
        <f>46.8713019785714*(1-0.8198)</f>
        <v>8.4462086165385735</v>
      </c>
      <c r="C4982" s="1">
        <v>2</v>
      </c>
    </row>
    <row r="4983" spans="1:3" x14ac:dyDescent="0.3">
      <c r="A4983" t="s">
        <v>4982</v>
      </c>
      <c r="B4983">
        <f>32.7294937985714*(1-0.8198)</f>
        <v>5.8978547825025744</v>
      </c>
      <c r="C4983" s="1">
        <v>3</v>
      </c>
    </row>
    <row r="4984" spans="1:3" x14ac:dyDescent="0.3">
      <c r="A4984" t="s">
        <v>4983</v>
      </c>
      <c r="B4984">
        <f>48.4054591114286*(1-0.8198)</f>
        <v>8.7226637318794307</v>
      </c>
      <c r="C4984" s="1">
        <v>2</v>
      </c>
    </row>
    <row r="4985" spans="1:3" x14ac:dyDescent="0.3">
      <c r="A4985" t="s">
        <v>4984</v>
      </c>
      <c r="B4985">
        <f>40.36099153*(1-0.8198)</f>
        <v>7.2730506737060026</v>
      </c>
      <c r="C4985" s="1">
        <v>3</v>
      </c>
    </row>
    <row r="4986" spans="1:3" x14ac:dyDescent="0.3">
      <c r="A4986" t="s">
        <v>4985</v>
      </c>
      <c r="B4986">
        <f>22.9613027857143*(1-0.8198)</f>
        <v>4.1376267619857154</v>
      </c>
      <c r="C4986" s="1">
        <v>2</v>
      </c>
    </row>
    <row r="4987" spans="1:3" x14ac:dyDescent="0.3">
      <c r="A4987" t="s">
        <v>4986</v>
      </c>
      <c r="B4987">
        <f>3.62576*(1-0.8198)</f>
        <v>0.65336195200000013</v>
      </c>
      <c r="C4987" s="1">
        <v>2</v>
      </c>
    </row>
    <row r="4988" spans="1:3" x14ac:dyDescent="0.3">
      <c r="A4988" t="s">
        <v>4987</v>
      </c>
      <c r="B4988">
        <f>2.38574903571429*(1-0.8198)</f>
        <v>0.42991197623571448</v>
      </c>
      <c r="C4988" s="1">
        <v>3</v>
      </c>
    </row>
    <row r="4989" spans="1:3" x14ac:dyDescent="0.3">
      <c r="A4989" t="s">
        <v>4988</v>
      </c>
      <c r="B4989">
        <f>0*(1-0.8198)</f>
        <v>0</v>
      </c>
      <c r="C4989" s="1">
        <v>2</v>
      </c>
    </row>
    <row r="4990" spans="1:3" x14ac:dyDescent="0.3">
      <c r="A4990" t="s">
        <v>4989</v>
      </c>
      <c r="B4990">
        <f>0*(1-0.8198)</f>
        <v>0</v>
      </c>
      <c r="C4990" s="1">
        <v>2</v>
      </c>
    </row>
    <row r="4991" spans="1:3" x14ac:dyDescent="0.3">
      <c r="A4991" t="s">
        <v>4990</v>
      </c>
      <c r="B4991">
        <f>0*(1-0.8198)</f>
        <v>0</v>
      </c>
      <c r="C4991" s="1">
        <v>2</v>
      </c>
    </row>
    <row r="4992" spans="1:3" x14ac:dyDescent="0.3">
      <c r="A4992" t="s">
        <v>4991</v>
      </c>
      <c r="B4992">
        <f>0*(1-0.8198)</f>
        <v>0</v>
      </c>
      <c r="C4992" s="1">
        <v>3</v>
      </c>
    </row>
    <row r="4993" spans="1:3" x14ac:dyDescent="0.3">
      <c r="A4993" t="s">
        <v>4992</v>
      </c>
      <c r="B4993">
        <f>0*(1-0.8198)</f>
        <v>0</v>
      </c>
      <c r="C4993" s="1">
        <v>2</v>
      </c>
    </row>
    <row r="4994" spans="1:3" x14ac:dyDescent="0.3">
      <c r="A4994" t="s">
        <v>4993</v>
      </c>
      <c r="B4994">
        <f>0*(1-0.8198)</f>
        <v>0</v>
      </c>
      <c r="C4994" s="1">
        <v>2</v>
      </c>
    </row>
    <row r="4995" spans="1:3" x14ac:dyDescent="0.3">
      <c r="A4995" t="s">
        <v>4994</v>
      </c>
      <c r="B4995">
        <f>0*(1-0.8198)</f>
        <v>0</v>
      </c>
      <c r="C4995" s="1">
        <v>3</v>
      </c>
    </row>
    <row r="4996" spans="1:3" x14ac:dyDescent="0.3">
      <c r="A4996" t="s">
        <v>4995</v>
      </c>
      <c r="B4996">
        <f>0*(1-0.8198)</f>
        <v>0</v>
      </c>
      <c r="C4996" s="1">
        <v>2</v>
      </c>
    </row>
    <row r="4997" spans="1:3" x14ac:dyDescent="0.3">
      <c r="A4997" t="s">
        <v>4996</v>
      </c>
      <c r="B4997">
        <f>0*(1-0.8198)</f>
        <v>0</v>
      </c>
      <c r="C4997" s="1">
        <v>2</v>
      </c>
    </row>
    <row r="4998" spans="1:3" x14ac:dyDescent="0.3">
      <c r="A4998" t="s">
        <v>4997</v>
      </c>
      <c r="B4998">
        <f>0*(1-0.8198)</f>
        <v>0</v>
      </c>
      <c r="C4998" s="1">
        <v>3</v>
      </c>
    </row>
    <row r="4999" spans="1:3" x14ac:dyDescent="0.3">
      <c r="A4999" t="s">
        <v>4998</v>
      </c>
      <c r="B4999">
        <f>0.66306*(1-0.8198)</f>
        <v>0.11948341200000004</v>
      </c>
      <c r="C4999" s="1">
        <v>2</v>
      </c>
    </row>
    <row r="5000" spans="1:3" x14ac:dyDescent="0.3">
      <c r="A5000" t="s">
        <v>4999</v>
      </c>
      <c r="B5000">
        <f>11.4988582071429*(1-0.8198)</f>
        <v>2.0720942489271432</v>
      </c>
      <c r="C5000" s="1">
        <v>3</v>
      </c>
    </row>
    <row r="5001" spans="1:3" x14ac:dyDescent="0.3">
      <c r="A5001" t="s">
        <v>5000</v>
      </c>
      <c r="B5001">
        <f>26.1906844242857*(1-0.8198)</f>
        <v>4.7195613332562871</v>
      </c>
      <c r="C5001" s="1">
        <v>2</v>
      </c>
    </row>
    <row r="5002" spans="1:3" x14ac:dyDescent="0.3">
      <c r="A5002" t="s">
        <v>5001</v>
      </c>
      <c r="B5002">
        <f>38.7264581457143*(1-0.8198)</f>
        <v>6.9785077578577157</v>
      </c>
      <c r="C5002" s="1">
        <v>2</v>
      </c>
    </row>
    <row r="5003" spans="1:3" x14ac:dyDescent="0.3">
      <c r="A5003" t="s">
        <v>5002</v>
      </c>
      <c r="B5003">
        <f>48.36032281*(1-0.8198)</f>
        <v>8.7145301703620017</v>
      </c>
      <c r="C5003" s="1">
        <v>3</v>
      </c>
    </row>
    <row r="5004" spans="1:3" x14ac:dyDescent="0.3">
      <c r="A5004" t="s">
        <v>5003</v>
      </c>
      <c r="B5004">
        <f>54.7227979685714*(1-0.8198)</f>
        <v>9.8610481939365737</v>
      </c>
      <c r="C5004" s="1">
        <v>2</v>
      </c>
    </row>
    <row r="5005" spans="1:3" x14ac:dyDescent="0.3">
      <c r="A5005" t="s">
        <v>5004</v>
      </c>
      <c r="B5005">
        <f>59.0645576642857*(1-0.8198)</f>
        <v>10.643433291104289</v>
      </c>
      <c r="C5005" s="1">
        <v>2</v>
      </c>
    </row>
    <row r="5006" spans="1:3" x14ac:dyDescent="0.3">
      <c r="A5006" t="s">
        <v>5005</v>
      </c>
      <c r="B5006">
        <f>59.9748533514286*(1-0.8198)</f>
        <v>10.807468573927432</v>
      </c>
      <c r="C5006" s="1">
        <v>2</v>
      </c>
    </row>
    <row r="5007" spans="1:3" x14ac:dyDescent="0.3">
      <c r="A5007" t="s">
        <v>5006</v>
      </c>
      <c r="B5007">
        <f>57.5592701171429*(1-0.8198)</f>
        <v>10.372180475109145</v>
      </c>
      <c r="C5007" s="1">
        <v>3</v>
      </c>
    </row>
    <row r="5008" spans="1:3" x14ac:dyDescent="0.3">
      <c r="A5008" t="s">
        <v>5007</v>
      </c>
      <c r="B5008">
        <f>52.1805113028571*(1-0.8198)</f>
        <v>9.4029281367748592</v>
      </c>
      <c r="C5008" s="1">
        <v>2</v>
      </c>
    </row>
    <row r="5009" spans="1:3" x14ac:dyDescent="0.3">
      <c r="A5009" t="s">
        <v>5008</v>
      </c>
      <c r="B5009">
        <f>42.6449841371429*(1-0.8198)</f>
        <v>7.684626141513144</v>
      </c>
      <c r="C5009" s="1">
        <v>2</v>
      </c>
    </row>
    <row r="5010" spans="1:3" x14ac:dyDescent="0.3">
      <c r="A5010" t="s">
        <v>5009</v>
      </c>
      <c r="B5010">
        <f>30.56924653*(1-0.8198)</f>
        <v>5.5085782247060013</v>
      </c>
      <c r="C5010" s="1">
        <v>3</v>
      </c>
    </row>
    <row r="5011" spans="1:3" x14ac:dyDescent="0.3">
      <c r="A5011" t="s">
        <v>5010</v>
      </c>
      <c r="B5011">
        <f>16.6620478242857*(1-0.8198)</f>
        <v>3.0025010179362868</v>
      </c>
      <c r="C5011" s="1">
        <v>2</v>
      </c>
    </row>
    <row r="5012" spans="1:3" x14ac:dyDescent="0.3">
      <c r="A5012" t="s">
        <v>5011</v>
      </c>
      <c r="B5012">
        <f>5.18305125571429*(1-0.8198)</f>
        <v>0.93398583627971443</v>
      </c>
      <c r="C5012" s="1">
        <v>2</v>
      </c>
    </row>
    <row r="5013" spans="1:3" x14ac:dyDescent="0.3">
      <c r="A5013" t="s">
        <v>5012</v>
      </c>
      <c r="B5013">
        <f>0*(1-0.8198)</f>
        <v>0</v>
      </c>
      <c r="C5013" s="1">
        <v>3</v>
      </c>
    </row>
    <row r="5014" spans="1:3" x14ac:dyDescent="0.3">
      <c r="A5014" t="s">
        <v>5013</v>
      </c>
      <c r="B5014">
        <f>0*(1-0.8198)</f>
        <v>0</v>
      </c>
      <c r="C5014" s="1">
        <v>2</v>
      </c>
    </row>
    <row r="5015" spans="1:3" x14ac:dyDescent="0.3">
      <c r="A5015" t="s">
        <v>5014</v>
      </c>
      <c r="B5015">
        <f>0*(1-0.8198)</f>
        <v>0</v>
      </c>
      <c r="C5015" s="1">
        <v>2</v>
      </c>
    </row>
    <row r="5016" spans="1:3" x14ac:dyDescent="0.3">
      <c r="A5016" t="s">
        <v>5015</v>
      </c>
      <c r="B5016">
        <f>0*(1-0.8198)</f>
        <v>0</v>
      </c>
      <c r="C5016" s="1">
        <v>3</v>
      </c>
    </row>
    <row r="5017" spans="1:3" x14ac:dyDescent="0.3">
      <c r="A5017" t="s">
        <v>5016</v>
      </c>
      <c r="B5017">
        <f>0*(1-0.8198)</f>
        <v>0</v>
      </c>
      <c r="C5017" s="1">
        <v>2</v>
      </c>
    </row>
    <row r="5018" spans="1:3" x14ac:dyDescent="0.3">
      <c r="A5018" t="s">
        <v>5017</v>
      </c>
      <c r="B5018">
        <f>0*(1-0.8198)</f>
        <v>0</v>
      </c>
      <c r="C5018" s="1">
        <v>2</v>
      </c>
    </row>
    <row r="5019" spans="1:3" x14ac:dyDescent="0.3">
      <c r="A5019" t="s">
        <v>5018</v>
      </c>
      <c r="B5019">
        <f>0*(1-0.8198)</f>
        <v>0</v>
      </c>
      <c r="C5019" s="1">
        <v>3</v>
      </c>
    </row>
    <row r="5020" spans="1:3" x14ac:dyDescent="0.3">
      <c r="A5020" t="s">
        <v>5019</v>
      </c>
      <c r="B5020">
        <f>0*(1-0.8198)</f>
        <v>0</v>
      </c>
      <c r="C5020" s="1">
        <v>2</v>
      </c>
    </row>
    <row r="5021" spans="1:3" x14ac:dyDescent="0.3">
      <c r="A5021" t="s">
        <v>5020</v>
      </c>
      <c r="B5021">
        <f>0*(1-0.8198)</f>
        <v>0</v>
      </c>
      <c r="C5021" s="1">
        <v>2</v>
      </c>
    </row>
    <row r="5022" spans="1:3" x14ac:dyDescent="0.3">
      <c r="A5022" t="s">
        <v>5021</v>
      </c>
      <c r="B5022">
        <f>0*(1-0.8198)</f>
        <v>0</v>
      </c>
      <c r="C5022" s="1">
        <v>3</v>
      </c>
    </row>
    <row r="5023" spans="1:3" x14ac:dyDescent="0.3">
      <c r="A5023" t="s">
        <v>5022</v>
      </c>
      <c r="B5023">
        <f>0.6622*(1-0.8198)</f>
        <v>0.11932844000000002</v>
      </c>
      <c r="C5023" s="1">
        <v>2</v>
      </c>
    </row>
    <row r="5024" spans="1:3" x14ac:dyDescent="0.3">
      <c r="A5024" t="s">
        <v>5023</v>
      </c>
      <c r="B5024">
        <f>11.51813609*(1-0.8198)</f>
        <v>2.0755681234179999</v>
      </c>
      <c r="C5024" s="1">
        <v>2</v>
      </c>
    </row>
    <row r="5025" spans="1:3" x14ac:dyDescent="0.3">
      <c r="A5025" t="s">
        <v>5024</v>
      </c>
      <c r="B5025">
        <f>23.0390190814286*(1-0.8198)</f>
        <v>4.1516312384734286</v>
      </c>
      <c r="C5025" s="1">
        <v>3</v>
      </c>
    </row>
    <row r="5026" spans="1:3" x14ac:dyDescent="0.3">
      <c r="A5026" t="s">
        <v>5025</v>
      </c>
      <c r="B5026">
        <f>36.0916504071429*(1-0.8198)</f>
        <v>6.5037154033671456</v>
      </c>
      <c r="C5026" s="1">
        <v>2</v>
      </c>
    </row>
    <row r="5027" spans="1:3" x14ac:dyDescent="0.3">
      <c r="A5027" t="s">
        <v>5026</v>
      </c>
      <c r="B5027">
        <f>45.77001571*(1-0.8198)</f>
        <v>8.2477568309420004</v>
      </c>
      <c r="C5027" s="1">
        <v>2</v>
      </c>
    </row>
    <row r="5028" spans="1:3" x14ac:dyDescent="0.3">
      <c r="A5028" t="s">
        <v>5027</v>
      </c>
      <c r="B5028">
        <f>55.6198200471429*(1-0.8198)</f>
        <v>10.022691572495146</v>
      </c>
      <c r="C5028" s="1">
        <v>2</v>
      </c>
    </row>
    <row r="5029" spans="1:3" x14ac:dyDescent="0.3">
      <c r="A5029" t="s">
        <v>5028</v>
      </c>
      <c r="B5029">
        <f>59.5999770171429*(1-0.8198)</f>
        <v>10.739915858489145</v>
      </c>
      <c r="C5029" s="1">
        <v>3</v>
      </c>
    </row>
    <row r="5030" spans="1:3" x14ac:dyDescent="0.3">
      <c r="A5030" t="s">
        <v>5029</v>
      </c>
      <c r="B5030">
        <f>60.3484571314286*(1-0.8198)</f>
        <v>10.874791975083433</v>
      </c>
      <c r="C5030" s="1">
        <v>2</v>
      </c>
    </row>
    <row r="5031" spans="1:3" x14ac:dyDescent="0.3">
      <c r="A5031" t="s">
        <v>5030</v>
      </c>
      <c r="B5031">
        <f>57.7833194671429*(1-0.8198)</f>
        <v>10.412554167979145</v>
      </c>
      <c r="C5031" s="1">
        <v>2</v>
      </c>
    </row>
    <row r="5032" spans="1:3" x14ac:dyDescent="0.3">
      <c r="A5032" t="s">
        <v>5031</v>
      </c>
      <c r="B5032">
        <f>51.93838377*(1-0.8198)</f>
        <v>9.3592967553540021</v>
      </c>
      <c r="C5032" s="1">
        <v>3</v>
      </c>
    </row>
    <row r="5033" spans="1:3" x14ac:dyDescent="0.3">
      <c r="A5033" t="s">
        <v>5032</v>
      </c>
      <c r="B5033">
        <f>42.75513908*(1-0.8198)</f>
        <v>7.7044760622160009</v>
      </c>
      <c r="C5033" s="1">
        <v>2</v>
      </c>
    </row>
    <row r="5034" spans="1:3" x14ac:dyDescent="0.3">
      <c r="A5034" t="s">
        <v>5033</v>
      </c>
      <c r="B5034">
        <f>30.1763055885714*(1-0.8198)</f>
        <v>5.4377702670605723</v>
      </c>
      <c r="C5034" s="1">
        <v>2</v>
      </c>
    </row>
    <row r="5035" spans="1:3" x14ac:dyDescent="0.3">
      <c r="A5035" t="s">
        <v>5034</v>
      </c>
      <c r="B5035">
        <f>16.3971234114286*(1-0.8198)</f>
        <v>2.9547616387394289</v>
      </c>
      <c r="C5035" s="1">
        <v>3</v>
      </c>
    </row>
    <row r="5036" spans="1:3" x14ac:dyDescent="0.3">
      <c r="A5036" t="s">
        <v>5035</v>
      </c>
      <c r="B5036">
        <f>4.97249119*(1-0.8198)</f>
        <v>0.89604291243800005</v>
      </c>
      <c r="C5036" s="1">
        <v>2</v>
      </c>
    </row>
    <row r="5037" spans="1:3" x14ac:dyDescent="0.3">
      <c r="A5037" t="s">
        <v>5036</v>
      </c>
      <c r="B5037">
        <f>0*(1-0.8198)</f>
        <v>0</v>
      </c>
      <c r="C5037" s="1">
        <v>2</v>
      </c>
    </row>
    <row r="5038" spans="1:3" x14ac:dyDescent="0.3">
      <c r="A5038" t="s">
        <v>5037</v>
      </c>
      <c r="B5038">
        <f>0*(1-0.8198)</f>
        <v>0</v>
      </c>
      <c r="C5038" s="1">
        <v>3</v>
      </c>
    </row>
    <row r="5039" spans="1:3" x14ac:dyDescent="0.3">
      <c r="A5039" t="s">
        <v>5038</v>
      </c>
      <c r="B5039">
        <f>0*(1-0.8198)</f>
        <v>0</v>
      </c>
      <c r="C5039" s="1">
        <v>2</v>
      </c>
    </row>
    <row r="5040" spans="1:3" x14ac:dyDescent="0.3">
      <c r="A5040" t="s">
        <v>5039</v>
      </c>
      <c r="B5040">
        <f>0*(1-0.8198)</f>
        <v>0</v>
      </c>
      <c r="C5040" s="1">
        <v>2</v>
      </c>
    </row>
    <row r="5041" spans="1:3" x14ac:dyDescent="0.3">
      <c r="A5041" t="s">
        <v>5040</v>
      </c>
      <c r="B5041">
        <f>0*(1-0.8198)</f>
        <v>0</v>
      </c>
      <c r="C5041" s="1">
        <v>3</v>
      </c>
    </row>
    <row r="5042" spans="1:3" x14ac:dyDescent="0.3">
      <c r="A5042" t="s">
        <v>5041</v>
      </c>
      <c r="B5042">
        <f>0*(1-0.8198)</f>
        <v>0</v>
      </c>
      <c r="C5042" s="1">
        <v>2</v>
      </c>
    </row>
    <row r="5043" spans="1:3" x14ac:dyDescent="0.3">
      <c r="A5043" t="s">
        <v>5042</v>
      </c>
      <c r="B5043">
        <f>0*(1-0.8198)</f>
        <v>0</v>
      </c>
      <c r="C5043" s="1">
        <v>3</v>
      </c>
    </row>
    <row r="5044" spans="1:3" x14ac:dyDescent="0.3">
      <c r="A5044" t="s">
        <v>5043</v>
      </c>
      <c r="B5044">
        <f>0*(1-0.8198)</f>
        <v>0</v>
      </c>
      <c r="C5044" s="1">
        <v>2</v>
      </c>
    </row>
    <row r="5045" spans="1:3" x14ac:dyDescent="0.3">
      <c r="A5045" t="s">
        <v>5044</v>
      </c>
      <c r="B5045">
        <f>0*(1-0.8198)</f>
        <v>0</v>
      </c>
      <c r="C5045" s="1">
        <v>2</v>
      </c>
    </row>
    <row r="5046" spans="1:3" x14ac:dyDescent="0.3">
      <c r="A5046" t="s">
        <v>5045</v>
      </c>
      <c r="B5046">
        <f>0*(1-0.8198)</f>
        <v>0</v>
      </c>
      <c r="C5046" s="1">
        <v>3</v>
      </c>
    </row>
    <row r="5047" spans="1:3" x14ac:dyDescent="0.3">
      <c r="A5047" t="s">
        <v>5046</v>
      </c>
      <c r="B5047">
        <f>0.50482*(1-0.8198)</f>
        <v>9.0968564000000016E-2</v>
      </c>
      <c r="C5047" s="1">
        <v>4</v>
      </c>
    </row>
    <row r="5048" spans="1:3" x14ac:dyDescent="0.3">
      <c r="A5048" t="s">
        <v>5047</v>
      </c>
      <c r="B5048">
        <f>10.3781127185714*(1-0.8198)</f>
        <v>1.8701359118865717</v>
      </c>
      <c r="C5048" s="1">
        <v>4</v>
      </c>
    </row>
    <row r="5049" spans="1:3" x14ac:dyDescent="0.3">
      <c r="A5049" t="s">
        <v>5048</v>
      </c>
      <c r="B5049">
        <f>19.8496498028571*(1-0.8198)</f>
        <v>3.5769068944748583</v>
      </c>
      <c r="C5049" s="1">
        <v>3</v>
      </c>
    </row>
    <row r="5050" spans="1:3" x14ac:dyDescent="0.3">
      <c r="A5050" t="s">
        <v>5049</v>
      </c>
      <c r="B5050">
        <f>34.0093683428571*(1-0.8198)</f>
        <v>6.1284881753828584</v>
      </c>
      <c r="C5050" s="1">
        <v>3</v>
      </c>
    </row>
    <row r="5051" spans="1:3" x14ac:dyDescent="0.3">
      <c r="A5051" t="s">
        <v>5050</v>
      </c>
      <c r="B5051">
        <f>40.2703865985714*(1-0.8198)</f>
        <v>7.2567236650625739</v>
      </c>
      <c r="C5051" s="1">
        <v>3</v>
      </c>
    </row>
    <row r="5052" spans="1:3" x14ac:dyDescent="0.3">
      <c r="A5052" t="s">
        <v>5051</v>
      </c>
      <c r="B5052">
        <f>21.8316792714286*(1-0.8198)</f>
        <v>3.9340686047114293</v>
      </c>
      <c r="C5052" s="1">
        <v>3</v>
      </c>
    </row>
    <row r="5053" spans="1:3" x14ac:dyDescent="0.3">
      <c r="A5053" t="s">
        <v>5052</v>
      </c>
      <c r="B5053">
        <f>16.38644*(1-0.8198)</f>
        <v>2.9528364880000004</v>
      </c>
      <c r="C5053" s="1">
        <v>2</v>
      </c>
    </row>
    <row r="5054" spans="1:3" x14ac:dyDescent="0.3">
      <c r="A5054" t="s">
        <v>5053</v>
      </c>
      <c r="B5054">
        <f>35.0476648328571*(1-0.8198)</f>
        <v>6.315589202880858</v>
      </c>
      <c r="C5054" s="1">
        <v>3</v>
      </c>
    </row>
    <row r="5055" spans="1:3" x14ac:dyDescent="0.3">
      <c r="A5055" t="s">
        <v>5054</v>
      </c>
      <c r="B5055">
        <f>54.7990244985714*(1-0.8198)</f>
        <v>9.8747842146425739</v>
      </c>
      <c r="C5055" s="1">
        <v>2</v>
      </c>
    </row>
    <row r="5056" spans="1:3" x14ac:dyDescent="0.3">
      <c r="A5056" t="s">
        <v>5055</v>
      </c>
      <c r="B5056">
        <f>52.00373001*(1-0.8198)</f>
        <v>9.3710721478020016</v>
      </c>
      <c r="C5056" s="1">
        <v>2</v>
      </c>
    </row>
    <row r="5057" spans="1:3" x14ac:dyDescent="0.3">
      <c r="A5057" t="s">
        <v>5056</v>
      </c>
      <c r="B5057">
        <f>42.0809492057143*(1-0.8198)</f>
        <v>7.5829870468697163</v>
      </c>
      <c r="C5057" s="1">
        <v>2</v>
      </c>
    </row>
    <row r="5058" spans="1:3" x14ac:dyDescent="0.3">
      <c r="A5058" t="s">
        <v>5057</v>
      </c>
      <c r="B5058">
        <f>29.7704756428571*(1-0.8198)</f>
        <v>5.3646397108428587</v>
      </c>
      <c r="C5058" s="1">
        <v>3</v>
      </c>
    </row>
    <row r="5059" spans="1:3" x14ac:dyDescent="0.3">
      <c r="A5059" t="s">
        <v>5058</v>
      </c>
      <c r="B5059">
        <f>16.2741466671429*(1-0.8198)</f>
        <v>2.9326012294191437</v>
      </c>
      <c r="C5059" s="1">
        <v>2</v>
      </c>
    </row>
    <row r="5060" spans="1:3" x14ac:dyDescent="0.3">
      <c r="A5060" t="s">
        <v>5059</v>
      </c>
      <c r="B5060">
        <f>4.86641915857143*(1-0.8198)</f>
        <v>0.87692873237457158</v>
      </c>
      <c r="C5060" s="1">
        <v>3</v>
      </c>
    </row>
    <row r="5061" spans="1:3" x14ac:dyDescent="0.3">
      <c r="A5061" t="s">
        <v>5060</v>
      </c>
      <c r="B5061">
        <f>0*(1-0.8198)</f>
        <v>0</v>
      </c>
      <c r="C5061" s="1">
        <v>2</v>
      </c>
    </row>
    <row r="5062" spans="1:3" x14ac:dyDescent="0.3">
      <c r="A5062" t="s">
        <v>5061</v>
      </c>
      <c r="B5062">
        <f>0*(1-0.8198)</f>
        <v>0</v>
      </c>
      <c r="C5062" s="1">
        <v>2</v>
      </c>
    </row>
    <row r="5063" spans="1:3" x14ac:dyDescent="0.3">
      <c r="A5063" t="s">
        <v>5062</v>
      </c>
      <c r="B5063">
        <f>0*(1-0.8198)</f>
        <v>0</v>
      </c>
      <c r="C5063" s="1">
        <v>3</v>
      </c>
    </row>
    <row r="5064" spans="1:3" x14ac:dyDescent="0.3">
      <c r="A5064" t="s">
        <v>5063</v>
      </c>
      <c r="B5064">
        <f>0*(1-0.8198)</f>
        <v>0</v>
      </c>
      <c r="C5064" s="1">
        <v>2</v>
      </c>
    </row>
    <row r="5065" spans="1:3" x14ac:dyDescent="0.3">
      <c r="A5065" t="s">
        <v>5064</v>
      </c>
      <c r="B5065">
        <f>0*(1-0.8198)</f>
        <v>0</v>
      </c>
      <c r="C5065" s="1">
        <v>2</v>
      </c>
    </row>
    <row r="5066" spans="1:3" x14ac:dyDescent="0.3">
      <c r="A5066" t="s">
        <v>5065</v>
      </c>
      <c r="B5066">
        <f>0*(1-0.8198)</f>
        <v>0</v>
      </c>
      <c r="C5066" s="1">
        <v>3</v>
      </c>
    </row>
    <row r="5067" spans="1:3" x14ac:dyDescent="0.3">
      <c r="A5067" t="s">
        <v>5066</v>
      </c>
      <c r="B5067">
        <f>0*(1-0.8198)</f>
        <v>0</v>
      </c>
      <c r="C5067" s="1">
        <v>2</v>
      </c>
    </row>
    <row r="5068" spans="1:3" x14ac:dyDescent="0.3">
      <c r="A5068" t="s">
        <v>5067</v>
      </c>
      <c r="B5068">
        <f>0*(1-0.8198)</f>
        <v>0</v>
      </c>
      <c r="C5068" s="1">
        <v>2</v>
      </c>
    </row>
    <row r="5069" spans="1:3" x14ac:dyDescent="0.3">
      <c r="A5069" t="s">
        <v>5068</v>
      </c>
      <c r="B5069">
        <f>0*(1-0.8198)</f>
        <v>0</v>
      </c>
      <c r="C5069" s="1">
        <v>2</v>
      </c>
    </row>
    <row r="5070" spans="1:3" x14ac:dyDescent="0.3">
      <c r="A5070" t="s">
        <v>5069</v>
      </c>
      <c r="B5070">
        <f>0*(1-0.8198)</f>
        <v>0</v>
      </c>
      <c r="C5070" s="1">
        <v>3</v>
      </c>
    </row>
    <row r="5071" spans="1:3" x14ac:dyDescent="0.3">
      <c r="A5071" t="s">
        <v>5070</v>
      </c>
      <c r="B5071">
        <f>0.41194*(1-0.8198)</f>
        <v>7.4231588000000001E-2</v>
      </c>
      <c r="C5071" s="1">
        <v>2</v>
      </c>
    </row>
    <row r="5072" spans="1:3" x14ac:dyDescent="0.3">
      <c r="A5072" t="s">
        <v>5071</v>
      </c>
      <c r="B5072">
        <f>3.35744*(1-0.8198)</f>
        <v>0.60501068800000013</v>
      </c>
      <c r="C5072" s="1">
        <v>2</v>
      </c>
    </row>
    <row r="5073" spans="1:3" x14ac:dyDescent="0.3">
      <c r="A5073" t="s">
        <v>5072</v>
      </c>
      <c r="B5073">
        <f>6.14986*(1-0.8198)</f>
        <v>1.1082047720000001</v>
      </c>
      <c r="C5073" s="1">
        <v>3</v>
      </c>
    </row>
    <row r="5074" spans="1:3" x14ac:dyDescent="0.3">
      <c r="A5074" t="s">
        <v>5073</v>
      </c>
      <c r="B5074">
        <f>7.70302*(1-0.8198)</f>
        <v>1.3880842040000001</v>
      </c>
      <c r="C5074" s="1">
        <v>2</v>
      </c>
    </row>
    <row r="5075" spans="1:3" x14ac:dyDescent="0.3">
      <c r="A5075" t="s">
        <v>5074</v>
      </c>
      <c r="B5075">
        <f>24.49726985*(1-0.8198)</f>
        <v>4.4144080269700012</v>
      </c>
      <c r="C5075" s="1">
        <v>3</v>
      </c>
    </row>
    <row r="5076" spans="1:3" x14ac:dyDescent="0.3">
      <c r="A5076" t="s">
        <v>5075</v>
      </c>
      <c r="B5076">
        <f>50.13345318*(1-0.8198)</f>
        <v>9.0340482630360004</v>
      </c>
      <c r="C5076" s="1">
        <v>2</v>
      </c>
    </row>
    <row r="5077" spans="1:3" x14ac:dyDescent="0.3">
      <c r="A5077" t="s">
        <v>5076</v>
      </c>
      <c r="B5077">
        <f>52.9746564342857*(1-0.8198)</f>
        <v>9.5460330894582874</v>
      </c>
      <c r="C5077" s="1">
        <v>2</v>
      </c>
    </row>
    <row r="5078" spans="1:3" x14ac:dyDescent="0.3">
      <c r="A5078" t="s">
        <v>5077</v>
      </c>
      <c r="B5078">
        <f>47.8695248642857*(1-0.8198)</f>
        <v>8.6260883805442887</v>
      </c>
      <c r="C5078" s="1">
        <v>3</v>
      </c>
    </row>
    <row r="5079" spans="1:3" x14ac:dyDescent="0.3">
      <c r="A5079" t="s">
        <v>5078</v>
      </c>
      <c r="B5079">
        <f>47.2082886171429*(1-0.8198)</f>
        <v>8.5069336088091472</v>
      </c>
      <c r="C5079" s="1">
        <v>2</v>
      </c>
    </row>
    <row r="5080" spans="1:3" x14ac:dyDescent="0.3">
      <c r="A5080" t="s">
        <v>5079</v>
      </c>
      <c r="B5080">
        <f>38.2062932271429*(1-0.8198)</f>
        <v>6.8847740395311439</v>
      </c>
      <c r="C5080" s="1">
        <v>3</v>
      </c>
    </row>
    <row r="5081" spans="1:3" x14ac:dyDescent="0.3">
      <c r="A5081" t="s">
        <v>5080</v>
      </c>
      <c r="B5081">
        <f>34.2845113371429*(1-0.8198)</f>
        <v>6.1780689429531428</v>
      </c>
      <c r="C5081" s="1">
        <v>2</v>
      </c>
    </row>
    <row r="5082" spans="1:3" x14ac:dyDescent="0.3">
      <c r="A5082" t="s">
        <v>5081</v>
      </c>
      <c r="B5082">
        <f>29.11163339*(1-0.8198)</f>
        <v>5.2459163368779995</v>
      </c>
      <c r="C5082" s="1">
        <v>3</v>
      </c>
    </row>
    <row r="5083" spans="1:3" x14ac:dyDescent="0.3">
      <c r="A5083" t="s">
        <v>5082</v>
      </c>
      <c r="B5083">
        <f>15.2223253871429*(1-0.8198)</f>
        <v>2.7430630347631437</v>
      </c>
      <c r="C5083" s="1">
        <v>2</v>
      </c>
    </row>
    <row r="5084" spans="1:3" x14ac:dyDescent="0.3">
      <c r="A5084" t="s">
        <v>5083</v>
      </c>
      <c r="B5084">
        <f>4.71973663714286*(1-0.8198)</f>
        <v>0.85049654201314306</v>
      </c>
      <c r="C5084" s="1">
        <v>2</v>
      </c>
    </row>
    <row r="5085" spans="1:3" x14ac:dyDescent="0.3">
      <c r="A5085" t="s">
        <v>5084</v>
      </c>
      <c r="B5085">
        <f>0*(1-0.8198)</f>
        <v>0</v>
      </c>
      <c r="C5085" s="1">
        <v>3</v>
      </c>
    </row>
    <row r="5086" spans="1:3" x14ac:dyDescent="0.3">
      <c r="A5086" t="s">
        <v>5085</v>
      </c>
      <c r="B5086">
        <f>0*(1-0.8198)</f>
        <v>0</v>
      </c>
      <c r="C5086" s="1">
        <v>2</v>
      </c>
    </row>
    <row r="5087" spans="1:3" x14ac:dyDescent="0.3">
      <c r="A5087" t="s">
        <v>5086</v>
      </c>
      <c r="B5087">
        <f>0*(1-0.8198)</f>
        <v>0</v>
      </c>
      <c r="C5087" s="1">
        <v>3</v>
      </c>
    </row>
    <row r="5088" spans="1:3" x14ac:dyDescent="0.3">
      <c r="A5088" t="s">
        <v>5087</v>
      </c>
      <c r="B5088">
        <f>0*(1-0.8198)</f>
        <v>0</v>
      </c>
      <c r="C5088" s="1">
        <v>2</v>
      </c>
    </row>
    <row r="5089" spans="1:3" x14ac:dyDescent="0.3">
      <c r="A5089" t="s">
        <v>5088</v>
      </c>
      <c r="B5089">
        <f>0*(1-0.8198)</f>
        <v>0</v>
      </c>
      <c r="C5089" s="1">
        <v>2</v>
      </c>
    </row>
    <row r="5090" spans="1:3" x14ac:dyDescent="0.3">
      <c r="A5090" t="s">
        <v>5089</v>
      </c>
      <c r="B5090">
        <f>0*(1-0.8198)</f>
        <v>0</v>
      </c>
      <c r="C5090" s="1">
        <v>2</v>
      </c>
    </row>
    <row r="5091" spans="1:3" x14ac:dyDescent="0.3">
      <c r="A5091" t="s">
        <v>5090</v>
      </c>
      <c r="B5091">
        <f>0*(1-0.8198)</f>
        <v>0</v>
      </c>
      <c r="C5091" s="1">
        <v>3</v>
      </c>
    </row>
    <row r="5092" spans="1:3" x14ac:dyDescent="0.3">
      <c r="A5092" t="s">
        <v>5091</v>
      </c>
      <c r="B5092">
        <f>0*(1-0.8198)</f>
        <v>0</v>
      </c>
      <c r="C5092" s="1">
        <v>2</v>
      </c>
    </row>
    <row r="5093" spans="1:3" x14ac:dyDescent="0.3">
      <c r="A5093" t="s">
        <v>5092</v>
      </c>
      <c r="B5093">
        <f>0*(1-0.8198)</f>
        <v>0</v>
      </c>
      <c r="C5093" s="1">
        <v>2</v>
      </c>
    </row>
    <row r="5094" spans="1:3" x14ac:dyDescent="0.3">
      <c r="A5094" t="s">
        <v>5093</v>
      </c>
      <c r="B5094">
        <f>0*(1-0.8198)</f>
        <v>0</v>
      </c>
      <c r="C5094" s="1">
        <v>3</v>
      </c>
    </row>
    <row r="5095" spans="1:3" x14ac:dyDescent="0.3">
      <c r="A5095" t="s">
        <v>5094</v>
      </c>
      <c r="B5095">
        <f>0.26746*(1-0.8198)</f>
        <v>4.8196292000000016E-2</v>
      </c>
      <c r="C5095" s="1">
        <v>2</v>
      </c>
    </row>
    <row r="5096" spans="1:3" x14ac:dyDescent="0.3">
      <c r="A5096" t="s">
        <v>5095</v>
      </c>
      <c r="B5096">
        <f>8.51252467*(1-0.8198)</f>
        <v>1.5339569455340005</v>
      </c>
      <c r="C5096" s="1">
        <v>3</v>
      </c>
    </row>
    <row r="5097" spans="1:3" x14ac:dyDescent="0.3">
      <c r="A5097" t="s">
        <v>5096</v>
      </c>
      <c r="B5097">
        <f>22.5150224942857*(1-0.8198)</f>
        <v>4.057207053470286</v>
      </c>
      <c r="C5097" s="1">
        <v>2</v>
      </c>
    </row>
    <row r="5098" spans="1:3" x14ac:dyDescent="0.3">
      <c r="A5098" t="s">
        <v>5097</v>
      </c>
      <c r="B5098">
        <f>37.0873372142857*(1-0.8198)</f>
        <v>6.6831381660142872</v>
      </c>
      <c r="C5098" s="1">
        <v>2</v>
      </c>
    </row>
    <row r="5099" spans="1:3" x14ac:dyDescent="0.3">
      <c r="A5099" t="s">
        <v>5098</v>
      </c>
      <c r="B5099">
        <f>47.3152094685714*(1-0.8198)</f>
        <v>8.5262007462365723</v>
      </c>
      <c r="C5099" s="1">
        <v>3</v>
      </c>
    </row>
    <row r="5100" spans="1:3" x14ac:dyDescent="0.3">
      <c r="A5100" t="s">
        <v>5099</v>
      </c>
      <c r="B5100">
        <f>53.7406922814286*(1-0.8198)</f>
        <v>9.6840727491134295</v>
      </c>
      <c r="C5100" s="1">
        <v>2</v>
      </c>
    </row>
    <row r="5101" spans="1:3" x14ac:dyDescent="0.3">
      <c r="A5101" t="s">
        <v>5100</v>
      </c>
      <c r="B5101">
        <f>57.4532485185714*(1-0.8198)</f>
        <v>10.353075383046573</v>
      </c>
      <c r="C5101" s="1">
        <v>2</v>
      </c>
    </row>
    <row r="5102" spans="1:3" x14ac:dyDescent="0.3">
      <c r="A5102" t="s">
        <v>5101</v>
      </c>
      <c r="B5102">
        <f>58.2933749628572*(1-0.8198)</f>
        <v>10.504466168306861</v>
      </c>
      <c r="C5102" s="1">
        <v>3</v>
      </c>
    </row>
    <row r="5103" spans="1:3" x14ac:dyDescent="0.3">
      <c r="A5103" t="s">
        <v>5102</v>
      </c>
      <c r="B5103">
        <f>56.48611236*(1-0.8198)</f>
        <v>10.178797447272002</v>
      </c>
      <c r="C5103" s="1">
        <v>2</v>
      </c>
    </row>
    <row r="5104" spans="1:3" x14ac:dyDescent="0.3">
      <c r="A5104" t="s">
        <v>5103</v>
      </c>
      <c r="B5104">
        <f>51.0418550857143*(1-0.8198)</f>
        <v>9.1977422864457168</v>
      </c>
      <c r="C5104" s="1">
        <v>3</v>
      </c>
    </row>
    <row r="5105" spans="1:3" x14ac:dyDescent="0.3">
      <c r="A5105" t="s">
        <v>5104</v>
      </c>
      <c r="B5105">
        <f>42.1965159442857*(1-0.8198)</f>
        <v>7.6038121731602857</v>
      </c>
      <c r="C5105" s="1">
        <v>2</v>
      </c>
    </row>
    <row r="5106" spans="1:3" x14ac:dyDescent="0.3">
      <c r="A5106" t="s">
        <v>5105</v>
      </c>
      <c r="B5106">
        <f>29.9965155857143*(1-0.8198)</f>
        <v>5.4053721085457145</v>
      </c>
      <c r="C5106" s="1">
        <v>2</v>
      </c>
    </row>
    <row r="5107" spans="1:3" x14ac:dyDescent="0.3">
      <c r="A5107" t="s">
        <v>5106</v>
      </c>
      <c r="B5107">
        <f>16.1906783842857*(1-0.8198)</f>
        <v>2.9175602448482869</v>
      </c>
      <c r="C5107" s="1">
        <v>3</v>
      </c>
    </row>
    <row r="5108" spans="1:3" x14ac:dyDescent="0.3">
      <c r="A5108" t="s">
        <v>5107</v>
      </c>
      <c r="B5108">
        <f>4.63476716285714*(1-0.8198)</f>
        <v>0.83518504274685745</v>
      </c>
      <c r="C5108" s="1">
        <v>2</v>
      </c>
    </row>
    <row r="5109" spans="1:3" x14ac:dyDescent="0.3">
      <c r="A5109" t="s">
        <v>5108</v>
      </c>
      <c r="B5109">
        <f>0*(1-0.8198)</f>
        <v>0</v>
      </c>
      <c r="C5109" s="1">
        <v>2</v>
      </c>
    </row>
    <row r="5110" spans="1:3" x14ac:dyDescent="0.3">
      <c r="A5110" t="s">
        <v>5109</v>
      </c>
      <c r="B5110">
        <f>0*(1-0.8198)</f>
        <v>0</v>
      </c>
      <c r="C5110" s="1">
        <v>3</v>
      </c>
    </row>
    <row r="5111" spans="1:3" x14ac:dyDescent="0.3">
      <c r="A5111" t="s">
        <v>5110</v>
      </c>
      <c r="B5111">
        <f>0*(1-0.8198)</f>
        <v>0</v>
      </c>
      <c r="C5111" s="1">
        <v>2</v>
      </c>
    </row>
    <row r="5112" spans="1:3" x14ac:dyDescent="0.3">
      <c r="A5112" t="s">
        <v>5111</v>
      </c>
      <c r="B5112">
        <f>0*(1-0.8198)</f>
        <v>0</v>
      </c>
      <c r="C5112" s="1">
        <v>2</v>
      </c>
    </row>
    <row r="5113" spans="1:3" x14ac:dyDescent="0.3">
      <c r="A5113" t="s">
        <v>5112</v>
      </c>
      <c r="B5113">
        <f>0*(1-0.8198)</f>
        <v>0</v>
      </c>
      <c r="C5113" s="1">
        <v>3</v>
      </c>
    </row>
    <row r="5114" spans="1:3" x14ac:dyDescent="0.3">
      <c r="A5114" t="s">
        <v>5113</v>
      </c>
      <c r="B5114">
        <f>0*(1-0.8198)</f>
        <v>0</v>
      </c>
      <c r="C5114" s="1">
        <v>2</v>
      </c>
    </row>
    <row r="5115" spans="1:3" x14ac:dyDescent="0.3">
      <c r="A5115" t="s">
        <v>5114</v>
      </c>
      <c r="B5115">
        <f>0*(1-0.8198)</f>
        <v>0</v>
      </c>
      <c r="C5115" s="1">
        <v>2</v>
      </c>
    </row>
    <row r="5116" spans="1:3" x14ac:dyDescent="0.3">
      <c r="A5116" t="s">
        <v>5115</v>
      </c>
      <c r="B5116">
        <f>0*(1-0.8198)</f>
        <v>0</v>
      </c>
      <c r="C5116" s="1">
        <v>3</v>
      </c>
    </row>
    <row r="5117" spans="1:3" x14ac:dyDescent="0.3">
      <c r="A5117" t="s">
        <v>5116</v>
      </c>
      <c r="B5117">
        <f>0*(1-0.8198)</f>
        <v>0</v>
      </c>
      <c r="C5117" s="1">
        <v>2</v>
      </c>
    </row>
    <row r="5118" spans="1:3" x14ac:dyDescent="0.3">
      <c r="A5118" t="s">
        <v>5117</v>
      </c>
      <c r="B5118">
        <f>0*(1-0.8198)</f>
        <v>0</v>
      </c>
      <c r="C5118" s="1">
        <v>3</v>
      </c>
    </row>
    <row r="5119" spans="1:3" x14ac:dyDescent="0.3">
      <c r="A5119" t="s">
        <v>5118</v>
      </c>
      <c r="B5119">
        <f>0.40592*(1-0.8198)</f>
        <v>7.3146784000000006E-2</v>
      </c>
      <c r="C5119" s="1">
        <v>2</v>
      </c>
    </row>
    <row r="5120" spans="1:3" x14ac:dyDescent="0.3">
      <c r="A5120" t="s">
        <v>5119</v>
      </c>
      <c r="B5120">
        <f>10.9323559357143*(1-0.8198)</f>
        <v>1.970010539615715</v>
      </c>
      <c r="C5120" s="1">
        <v>3</v>
      </c>
    </row>
    <row r="5121" spans="1:3" x14ac:dyDescent="0.3">
      <c r="A5121" t="s">
        <v>5120</v>
      </c>
      <c r="B5121">
        <f>24.9681786371429*(1-0.8198)</f>
        <v>4.4992657904131432</v>
      </c>
      <c r="C5121" s="1">
        <v>2</v>
      </c>
    </row>
    <row r="5122" spans="1:3" x14ac:dyDescent="0.3">
      <c r="A5122" t="s">
        <v>5121</v>
      </c>
      <c r="B5122">
        <f>35.8928657071429*(1-0.8198)</f>
        <v>6.4678944004271441</v>
      </c>
      <c r="C5122" s="1">
        <v>2</v>
      </c>
    </row>
    <row r="5123" spans="1:3" x14ac:dyDescent="0.3">
      <c r="A5123" t="s">
        <v>5122</v>
      </c>
      <c r="B5123">
        <f>46.8523400228571*(1-0.8198)</f>
        <v>8.4427916721188581</v>
      </c>
      <c r="C5123" s="1">
        <v>2</v>
      </c>
    </row>
    <row r="5124" spans="1:3" x14ac:dyDescent="0.3">
      <c r="A5124" t="s">
        <v>5123</v>
      </c>
      <c r="B5124">
        <f>53.2653867442857*(1-0.8198)</f>
        <v>9.5984226913202892</v>
      </c>
      <c r="C5124" s="1">
        <v>3</v>
      </c>
    </row>
    <row r="5125" spans="1:3" x14ac:dyDescent="0.3">
      <c r="A5125" t="s">
        <v>5124</v>
      </c>
      <c r="B5125">
        <f>59.1583707642857*(1-0.8198)</f>
        <v>10.660338411724288</v>
      </c>
      <c r="C5125" s="1">
        <v>2</v>
      </c>
    </row>
    <row r="5126" spans="1:3" x14ac:dyDescent="0.3">
      <c r="A5126" t="s">
        <v>5125</v>
      </c>
      <c r="B5126">
        <f>59.8614609385714*(1-0.8198)</f>
        <v>10.787035261130574</v>
      </c>
      <c r="C5126" s="1">
        <v>3</v>
      </c>
    </row>
    <row r="5127" spans="1:3" x14ac:dyDescent="0.3">
      <c r="A5127" t="s">
        <v>5126</v>
      </c>
      <c r="B5127">
        <f>57.5633373028571*(1-0.8198)</f>
        <v>10.372913381974859</v>
      </c>
      <c r="C5127" s="1">
        <v>2</v>
      </c>
    </row>
    <row r="5128" spans="1:3" x14ac:dyDescent="0.3">
      <c r="A5128" t="s">
        <v>5127</v>
      </c>
      <c r="B5128">
        <f>51.3155605285714*(1-0.8198)</f>
        <v>9.247064007248575</v>
      </c>
      <c r="C5128" s="1">
        <v>2</v>
      </c>
    </row>
    <row r="5129" spans="1:3" x14ac:dyDescent="0.3">
      <c r="A5129" t="s">
        <v>5128</v>
      </c>
      <c r="B5129">
        <f>42.0253782785714*(1-0.8198)</f>
        <v>7.5729731657985733</v>
      </c>
      <c r="C5129" s="1">
        <v>3</v>
      </c>
    </row>
    <row r="5130" spans="1:3" x14ac:dyDescent="0.3">
      <c r="A5130" t="s">
        <v>5129</v>
      </c>
      <c r="B5130">
        <f>29.38914851*(1-0.8198)</f>
        <v>5.2959245615020007</v>
      </c>
      <c r="C5130" s="1">
        <v>2</v>
      </c>
    </row>
    <row r="5131" spans="1:3" x14ac:dyDescent="0.3">
      <c r="A5131" t="s">
        <v>5130</v>
      </c>
      <c r="B5131">
        <f>15.70570184*(1-0.8198)</f>
        <v>2.8301674715680005</v>
      </c>
      <c r="C5131" s="1">
        <v>2</v>
      </c>
    </row>
    <row r="5132" spans="1:3" x14ac:dyDescent="0.3">
      <c r="A5132" t="s">
        <v>5131</v>
      </c>
      <c r="B5132">
        <f>4.52191931428571*(1-0.8198)</f>
        <v>0.81484986043428587</v>
      </c>
      <c r="C5132" s="1">
        <v>3</v>
      </c>
    </row>
    <row r="5133" spans="1:3" x14ac:dyDescent="0.3">
      <c r="A5133" t="s">
        <v>5132</v>
      </c>
      <c r="B5133">
        <f>0*(1-0.8198)</f>
        <v>0</v>
      </c>
      <c r="C5133" s="1">
        <v>2</v>
      </c>
    </row>
    <row r="5134" spans="1:3" x14ac:dyDescent="0.3">
      <c r="A5134" t="s">
        <v>5133</v>
      </c>
      <c r="B5134">
        <f>0*(1-0.8198)</f>
        <v>0</v>
      </c>
      <c r="C5134" s="1">
        <v>3</v>
      </c>
    </row>
    <row r="5135" spans="1:3" x14ac:dyDescent="0.3">
      <c r="A5135" t="s">
        <v>5134</v>
      </c>
      <c r="B5135">
        <f>0*(1-0.8198)</f>
        <v>0</v>
      </c>
      <c r="C5135" s="1">
        <v>2</v>
      </c>
    </row>
    <row r="5136" spans="1:3" x14ac:dyDescent="0.3">
      <c r="A5136" t="s">
        <v>5135</v>
      </c>
      <c r="B5136">
        <f>0*(1-0.8198)</f>
        <v>0</v>
      </c>
      <c r="C5136" s="1">
        <v>2</v>
      </c>
    </row>
    <row r="5137" spans="1:3" x14ac:dyDescent="0.3">
      <c r="A5137" t="s">
        <v>5136</v>
      </c>
      <c r="B5137">
        <f>0*(1-0.8198)</f>
        <v>0</v>
      </c>
      <c r="C5137" s="1">
        <v>3</v>
      </c>
    </row>
    <row r="5138" spans="1:3" x14ac:dyDescent="0.3">
      <c r="A5138" t="s">
        <v>5137</v>
      </c>
      <c r="B5138">
        <f>0*(1-0.8198)</f>
        <v>0</v>
      </c>
      <c r="C5138" s="1">
        <v>2</v>
      </c>
    </row>
    <row r="5139" spans="1:3" x14ac:dyDescent="0.3">
      <c r="A5139" t="s">
        <v>5138</v>
      </c>
      <c r="B5139">
        <f>0*(1-0.8198)</f>
        <v>0</v>
      </c>
      <c r="C5139" s="1">
        <v>2</v>
      </c>
    </row>
    <row r="5140" spans="1:3" x14ac:dyDescent="0.3">
      <c r="A5140" t="s">
        <v>5139</v>
      </c>
      <c r="B5140">
        <f>0*(1-0.8198)</f>
        <v>0</v>
      </c>
      <c r="C5140" s="1">
        <v>3</v>
      </c>
    </row>
    <row r="5141" spans="1:3" x14ac:dyDescent="0.3">
      <c r="A5141" t="s">
        <v>5140</v>
      </c>
      <c r="B5141">
        <f>0*(1-0.8198)</f>
        <v>0</v>
      </c>
      <c r="C5141" s="1">
        <v>2</v>
      </c>
    </row>
    <row r="5142" spans="1:3" x14ac:dyDescent="0.3">
      <c r="A5142" t="s">
        <v>5141</v>
      </c>
      <c r="B5142">
        <f>0*(1-0.8198)</f>
        <v>0</v>
      </c>
      <c r="C5142" s="1">
        <v>3</v>
      </c>
    </row>
    <row r="5143" spans="1:3" x14ac:dyDescent="0.3">
      <c r="A5143" t="s">
        <v>5142</v>
      </c>
      <c r="B5143">
        <f>0.26832*(1-0.8198)</f>
        <v>4.8351264000000019E-2</v>
      </c>
      <c r="C5143" s="1">
        <v>2</v>
      </c>
    </row>
    <row r="5144" spans="1:3" x14ac:dyDescent="0.3">
      <c r="A5144" t="s">
        <v>5143</v>
      </c>
      <c r="B5144">
        <f>6.59077856*(1-0.8198)</f>
        <v>1.1876582965120004</v>
      </c>
      <c r="C5144" s="1">
        <v>2</v>
      </c>
    </row>
    <row r="5145" spans="1:3" x14ac:dyDescent="0.3">
      <c r="A5145" t="s">
        <v>5144</v>
      </c>
      <c r="B5145">
        <f>3.41764*(1-0.8198)</f>
        <v>0.61585872800000019</v>
      </c>
      <c r="C5145" s="1">
        <v>3</v>
      </c>
    </row>
    <row r="5146" spans="1:3" x14ac:dyDescent="0.3">
      <c r="A5146" t="s">
        <v>5145</v>
      </c>
      <c r="B5146">
        <f>5.43262*(1-0.8198)</f>
        <v>0.97895812400000048</v>
      </c>
      <c r="C5146" s="1">
        <v>2</v>
      </c>
    </row>
    <row r="5147" spans="1:3" x14ac:dyDescent="0.3">
      <c r="A5147" t="s">
        <v>5146</v>
      </c>
      <c r="B5147">
        <f>6.78454*(1-0.8198)</f>
        <v>1.2225741080000001</v>
      </c>
      <c r="C5147" s="1">
        <v>2</v>
      </c>
    </row>
    <row r="5148" spans="1:3" x14ac:dyDescent="0.3">
      <c r="A5148" t="s">
        <v>5147</v>
      </c>
      <c r="B5148">
        <f>5.8824*(1-0.8198)</f>
        <v>1.06000848</v>
      </c>
      <c r="C5148" s="1">
        <v>2</v>
      </c>
    </row>
    <row r="5149" spans="1:3" x14ac:dyDescent="0.3">
      <c r="A5149" t="s">
        <v>5148</v>
      </c>
      <c r="B5149">
        <f>20.1671987828571*(1-0.8198)</f>
        <v>3.6341292206708573</v>
      </c>
      <c r="C5149" s="1">
        <v>3</v>
      </c>
    </row>
    <row r="5150" spans="1:3" x14ac:dyDescent="0.3">
      <c r="A5150" t="s">
        <v>5149</v>
      </c>
      <c r="B5150">
        <f>26.2720860042857*(1-0.8198)</f>
        <v>4.7342298979722868</v>
      </c>
      <c r="C5150" s="1">
        <v>2</v>
      </c>
    </row>
    <row r="5151" spans="1:3" x14ac:dyDescent="0.3">
      <c r="A5151" t="s">
        <v>5150</v>
      </c>
      <c r="B5151">
        <f>54.6190335014286*(1-0.8198)</f>
        <v>9.8423498369574318</v>
      </c>
      <c r="C5151" s="1">
        <v>3</v>
      </c>
    </row>
    <row r="5152" spans="1:3" x14ac:dyDescent="0.3">
      <c r="A5152" t="s">
        <v>5151</v>
      </c>
      <c r="B5152">
        <f>49.16729177*(1-0.8198)</f>
        <v>8.8599459769540019</v>
      </c>
      <c r="C5152" s="1">
        <v>2</v>
      </c>
    </row>
    <row r="5153" spans="1:3" x14ac:dyDescent="0.3">
      <c r="A5153" t="s">
        <v>5152</v>
      </c>
      <c r="B5153">
        <f>36.5192228728571*(1-0.8198)</f>
        <v>6.5807639616888594</v>
      </c>
      <c r="C5153" s="1">
        <v>3</v>
      </c>
    </row>
    <row r="5154" spans="1:3" x14ac:dyDescent="0.3">
      <c r="A5154" t="s">
        <v>5153</v>
      </c>
      <c r="B5154">
        <f>24.8962671571429*(1-0.8198)</f>
        <v>4.4863073417171435</v>
      </c>
      <c r="C5154" s="1">
        <v>2</v>
      </c>
    </row>
    <row r="5155" spans="1:3" x14ac:dyDescent="0.3">
      <c r="A5155" t="s">
        <v>5154</v>
      </c>
      <c r="B5155">
        <f>11.7885801057143*(1-0.8198)</f>
        <v>2.1243021350497147</v>
      </c>
      <c r="C5155" s="1">
        <v>2</v>
      </c>
    </row>
    <row r="5156" spans="1:3" x14ac:dyDescent="0.3">
      <c r="A5156" t="s">
        <v>5155</v>
      </c>
      <c r="B5156">
        <f>4.41483561571429*(1-0.8198)</f>
        <v>0.79555337795171444</v>
      </c>
      <c r="C5156" s="1">
        <v>3</v>
      </c>
    </row>
    <row r="5157" spans="1:3" x14ac:dyDescent="0.3">
      <c r="A5157" t="s">
        <v>5156</v>
      </c>
      <c r="B5157">
        <f>0*(1-0.8198)</f>
        <v>0</v>
      </c>
      <c r="C5157" s="1">
        <v>2</v>
      </c>
    </row>
    <row r="5158" spans="1:3" x14ac:dyDescent="0.3">
      <c r="A5158" t="s">
        <v>5157</v>
      </c>
      <c r="B5158">
        <f>0*(1-0.8198)</f>
        <v>0</v>
      </c>
      <c r="C5158" s="1">
        <v>2</v>
      </c>
    </row>
    <row r="5159" spans="1:3" x14ac:dyDescent="0.3">
      <c r="A5159" t="s">
        <v>5158</v>
      </c>
      <c r="B5159">
        <f>0*(1-0.8198)</f>
        <v>0</v>
      </c>
      <c r="C5159" s="1">
        <v>3</v>
      </c>
    </row>
    <row r="5160" spans="1:3" x14ac:dyDescent="0.3">
      <c r="A5160" t="s">
        <v>5159</v>
      </c>
      <c r="B5160">
        <f>0*(1-0.8198)</f>
        <v>0</v>
      </c>
      <c r="C5160" s="1">
        <v>2</v>
      </c>
    </row>
    <row r="5161" spans="1:3" x14ac:dyDescent="0.3">
      <c r="A5161" t="s">
        <v>5160</v>
      </c>
      <c r="B5161">
        <f>0*(1-0.8198)</f>
        <v>0</v>
      </c>
      <c r="C5161" s="1">
        <v>2</v>
      </c>
    </row>
    <row r="5162" spans="1:3" x14ac:dyDescent="0.3">
      <c r="A5162" t="s">
        <v>5161</v>
      </c>
      <c r="B5162">
        <f>0*(1-0.8198)</f>
        <v>0</v>
      </c>
      <c r="C5162" s="1">
        <v>3</v>
      </c>
    </row>
    <row r="5163" spans="1:3" x14ac:dyDescent="0.3">
      <c r="A5163" t="s">
        <v>5162</v>
      </c>
      <c r="B5163">
        <f>0*(1-0.8198)</f>
        <v>0</v>
      </c>
      <c r="C5163" s="1">
        <v>2</v>
      </c>
    </row>
    <row r="5164" spans="1:3" x14ac:dyDescent="0.3">
      <c r="A5164" t="s">
        <v>5163</v>
      </c>
      <c r="B5164">
        <f>0*(1-0.8198)</f>
        <v>0</v>
      </c>
      <c r="C5164" s="1">
        <v>3</v>
      </c>
    </row>
    <row r="5165" spans="1:3" x14ac:dyDescent="0.3">
      <c r="A5165" t="s">
        <v>5164</v>
      </c>
      <c r="B5165">
        <f>0*(1-0.8198)</f>
        <v>0</v>
      </c>
      <c r="C5165" s="1">
        <v>2</v>
      </c>
    </row>
    <row r="5166" spans="1:3" x14ac:dyDescent="0.3">
      <c r="A5166" t="s">
        <v>5165</v>
      </c>
      <c r="B5166">
        <f>0*(1-0.8198)</f>
        <v>0</v>
      </c>
      <c r="C5166" s="1">
        <v>2</v>
      </c>
    </row>
    <row r="5167" spans="1:3" x14ac:dyDescent="0.3">
      <c r="A5167" t="s">
        <v>5166</v>
      </c>
      <c r="B5167">
        <f>0.32164*(1-0.8198)</f>
        <v>5.7959528000000017E-2</v>
      </c>
      <c r="C5167" s="1">
        <v>3</v>
      </c>
    </row>
    <row r="5168" spans="1:3" x14ac:dyDescent="0.3">
      <c r="A5168" t="s">
        <v>5167</v>
      </c>
      <c r="B5168">
        <f>11.44290759*(1-0.8198)</f>
        <v>2.0620119477180006</v>
      </c>
      <c r="C5168" s="1">
        <v>2</v>
      </c>
    </row>
    <row r="5169" spans="1:3" x14ac:dyDescent="0.3">
      <c r="A5169" t="s">
        <v>5168</v>
      </c>
      <c r="B5169">
        <f>26.14387573*(1-0.8198)</f>
        <v>4.7111264065460006</v>
      </c>
      <c r="C5169" s="1">
        <v>2</v>
      </c>
    </row>
    <row r="5170" spans="1:3" x14ac:dyDescent="0.3">
      <c r="A5170" t="s">
        <v>5169</v>
      </c>
      <c r="B5170">
        <f>39.6316473985714*(1-0.8198)</f>
        <v>7.1416228612225714</v>
      </c>
      <c r="C5170" s="1">
        <v>3</v>
      </c>
    </row>
    <row r="5171" spans="1:3" x14ac:dyDescent="0.3">
      <c r="A5171" t="s">
        <v>5170</v>
      </c>
      <c r="B5171">
        <f>49.4055683457143*(1-0.8198)</f>
        <v>8.9028834158977137</v>
      </c>
      <c r="C5171" s="1">
        <v>2</v>
      </c>
    </row>
    <row r="5172" spans="1:3" x14ac:dyDescent="0.3">
      <c r="A5172" t="s">
        <v>5171</v>
      </c>
      <c r="B5172">
        <f>56.3784874142857*(1-0.8198)</f>
        <v>10.159403432054289</v>
      </c>
      <c r="C5172" s="1">
        <v>2</v>
      </c>
    </row>
    <row r="5173" spans="1:3" x14ac:dyDescent="0.3">
      <c r="A5173" t="s">
        <v>5172</v>
      </c>
      <c r="B5173">
        <f>59.6578491814286*(1-0.8198)</f>
        <v>10.750344422493431</v>
      </c>
      <c r="C5173" s="1">
        <v>3</v>
      </c>
    </row>
    <row r="5174" spans="1:3" x14ac:dyDescent="0.3">
      <c r="A5174" t="s">
        <v>5173</v>
      </c>
      <c r="B5174">
        <f>55.3115838228571*(1-0.8198)</f>
        <v>9.9671474048788582</v>
      </c>
      <c r="C5174" s="1">
        <v>2</v>
      </c>
    </row>
    <row r="5175" spans="1:3" x14ac:dyDescent="0.3">
      <c r="A5175" t="s">
        <v>5174</v>
      </c>
      <c r="B5175">
        <f>44.34497249*(1-0.8198)</f>
        <v>7.9909640426980006</v>
      </c>
      <c r="C5175" s="1">
        <v>3</v>
      </c>
    </row>
    <row r="5176" spans="1:3" x14ac:dyDescent="0.3">
      <c r="A5176" t="s">
        <v>5175</v>
      </c>
      <c r="B5176">
        <f>38.9557417014286*(1-0.8198)</f>
        <v>7.0198246545974294</v>
      </c>
      <c r="C5176" s="1">
        <v>2</v>
      </c>
    </row>
    <row r="5177" spans="1:3" x14ac:dyDescent="0.3">
      <c r="A5177" t="s">
        <v>5176</v>
      </c>
      <c r="B5177">
        <f>37.53470215*(1-0.8198)</f>
        <v>6.7637533274300026</v>
      </c>
      <c r="C5177" s="1">
        <v>2</v>
      </c>
    </row>
    <row r="5178" spans="1:3" x14ac:dyDescent="0.3">
      <c r="A5178" t="s">
        <v>5177</v>
      </c>
      <c r="B5178">
        <f>29.29344728*(1-0.8198)</f>
        <v>5.2786791998560014</v>
      </c>
      <c r="C5178" s="1">
        <v>3</v>
      </c>
    </row>
    <row r="5179" spans="1:3" x14ac:dyDescent="0.3">
      <c r="A5179" t="s">
        <v>5178</v>
      </c>
      <c r="B5179">
        <f>15.7013054585714*(1-0.8198)</f>
        <v>2.8293752436345718</v>
      </c>
      <c r="C5179" s="1">
        <v>2</v>
      </c>
    </row>
    <row r="5180" spans="1:3" x14ac:dyDescent="0.3">
      <c r="A5180" t="s">
        <v>5179</v>
      </c>
      <c r="B5180">
        <f>4.38986373428571*(1-0.8198)</f>
        <v>0.791053444918286</v>
      </c>
      <c r="C5180" s="1">
        <v>3</v>
      </c>
    </row>
    <row r="5181" spans="1:3" x14ac:dyDescent="0.3">
      <c r="A5181" t="s">
        <v>5180</v>
      </c>
      <c r="B5181">
        <f>0*(1-0.8198)</f>
        <v>0</v>
      </c>
      <c r="C5181" s="1">
        <v>2</v>
      </c>
    </row>
    <row r="5182" spans="1:3" x14ac:dyDescent="0.3">
      <c r="A5182" t="s">
        <v>5181</v>
      </c>
      <c r="B5182">
        <f>0*(1-0.8198)</f>
        <v>0</v>
      </c>
      <c r="C5182" s="1">
        <v>2</v>
      </c>
    </row>
    <row r="5183" spans="1:3" x14ac:dyDescent="0.3">
      <c r="A5183" t="s">
        <v>5182</v>
      </c>
      <c r="B5183">
        <f>0*(1-0.8198)</f>
        <v>0</v>
      </c>
      <c r="C5183" s="1">
        <v>3</v>
      </c>
    </row>
    <row r="5184" spans="1:3" x14ac:dyDescent="0.3">
      <c r="A5184" t="s">
        <v>5183</v>
      </c>
      <c r="B5184">
        <f>0*(1-0.8198)</f>
        <v>0</v>
      </c>
      <c r="C5184" s="1">
        <v>2</v>
      </c>
    </row>
    <row r="5185" spans="1:3" x14ac:dyDescent="0.3">
      <c r="A5185" t="s">
        <v>5184</v>
      </c>
      <c r="B5185">
        <f>0*(1-0.8198)</f>
        <v>0</v>
      </c>
      <c r="C5185" s="1">
        <v>3</v>
      </c>
    </row>
    <row r="5186" spans="1:3" x14ac:dyDescent="0.3">
      <c r="A5186" t="s">
        <v>5185</v>
      </c>
      <c r="B5186">
        <f>0*(1-0.8198)</f>
        <v>0</v>
      </c>
      <c r="C5186" s="1">
        <v>2</v>
      </c>
    </row>
    <row r="5187" spans="1:3" x14ac:dyDescent="0.3">
      <c r="A5187" t="s">
        <v>5186</v>
      </c>
      <c r="B5187">
        <f>0*(1-0.8198)</f>
        <v>0</v>
      </c>
      <c r="C5187" s="1">
        <v>2</v>
      </c>
    </row>
    <row r="5188" spans="1:3" x14ac:dyDescent="0.3">
      <c r="A5188" t="s">
        <v>5187</v>
      </c>
      <c r="B5188">
        <f>0*(1-0.8198)</f>
        <v>0</v>
      </c>
      <c r="C5188" s="1">
        <v>3</v>
      </c>
    </row>
    <row r="5189" spans="1:3" x14ac:dyDescent="0.3">
      <c r="A5189" t="s">
        <v>5188</v>
      </c>
      <c r="B5189">
        <f>0*(1-0.8198)</f>
        <v>0</v>
      </c>
      <c r="C5189" s="1">
        <v>2</v>
      </c>
    </row>
    <row r="5190" spans="1:3" x14ac:dyDescent="0.3">
      <c r="A5190" t="s">
        <v>5189</v>
      </c>
      <c r="B5190">
        <f>0*(1-0.8198)</f>
        <v>0</v>
      </c>
      <c r="C5190" s="1">
        <v>2</v>
      </c>
    </row>
    <row r="5191" spans="1:3" x14ac:dyDescent="0.3">
      <c r="A5191" t="s">
        <v>5190</v>
      </c>
      <c r="B5191">
        <f>0.27778*(1-0.8198)</f>
        <v>5.0055956000000019E-2</v>
      </c>
      <c r="C5191" s="1">
        <v>3</v>
      </c>
    </row>
    <row r="5192" spans="1:3" x14ac:dyDescent="0.3">
      <c r="A5192" t="s">
        <v>5191</v>
      </c>
      <c r="B5192">
        <f>10.8603678542857*(1-0.8198)</f>
        <v>1.957038287342286</v>
      </c>
      <c r="C5192" s="1">
        <v>2</v>
      </c>
    </row>
    <row r="5193" spans="1:3" x14ac:dyDescent="0.3">
      <c r="A5193" t="s">
        <v>5192</v>
      </c>
      <c r="B5193">
        <f>25.9392535342857*(1-0.8198)</f>
        <v>4.6742534868782863</v>
      </c>
      <c r="C5193" s="1">
        <v>2</v>
      </c>
    </row>
    <row r="5194" spans="1:3" x14ac:dyDescent="0.3">
      <c r="A5194" t="s">
        <v>5193</v>
      </c>
      <c r="B5194">
        <f>39.48627951*(1-0.8198)</f>
        <v>7.1154275677020014</v>
      </c>
      <c r="C5194" s="1">
        <v>3</v>
      </c>
    </row>
    <row r="5195" spans="1:3" x14ac:dyDescent="0.3">
      <c r="A5195" t="s">
        <v>5194</v>
      </c>
      <c r="B5195">
        <f>49.52630264*(1-0.8198)</f>
        <v>8.9246397357280021</v>
      </c>
      <c r="C5195" s="1">
        <v>2</v>
      </c>
    </row>
    <row r="5196" spans="1:3" x14ac:dyDescent="0.3">
      <c r="A5196" t="s">
        <v>5195</v>
      </c>
      <c r="B5196">
        <f>55.9922916985714*(1-0.8198)</f>
        <v>10.089810964082574</v>
      </c>
      <c r="C5196" s="1">
        <v>2</v>
      </c>
    </row>
    <row r="5197" spans="1:3" x14ac:dyDescent="0.3">
      <c r="A5197" t="s">
        <v>5196</v>
      </c>
      <c r="B5197">
        <f>59.6591594528571*(1-0.8198)</f>
        <v>10.750580533404859</v>
      </c>
      <c r="C5197" s="1">
        <v>2</v>
      </c>
    </row>
    <row r="5198" spans="1:3" x14ac:dyDescent="0.3">
      <c r="A5198" t="s">
        <v>5197</v>
      </c>
      <c r="B5198">
        <f>59.8921160685714*(1-0.8198)</f>
        <v>10.792559315556572</v>
      </c>
      <c r="C5198" s="1">
        <v>3</v>
      </c>
    </row>
    <row r="5199" spans="1:3" x14ac:dyDescent="0.3">
      <c r="A5199" t="s">
        <v>5198</v>
      </c>
      <c r="B5199">
        <f>57.63832832*(1-0.8198)</f>
        <v>10.386426763264003</v>
      </c>
      <c r="C5199" s="1">
        <v>2</v>
      </c>
    </row>
    <row r="5200" spans="1:3" x14ac:dyDescent="0.3">
      <c r="A5200" t="s">
        <v>5199</v>
      </c>
      <c r="B5200">
        <f>51.5245719185714*(1-0.8198)</f>
        <v>9.2847278597265746</v>
      </c>
      <c r="C5200" s="1">
        <v>3</v>
      </c>
    </row>
    <row r="5201" spans="1:3" x14ac:dyDescent="0.3">
      <c r="A5201" t="s">
        <v>5200</v>
      </c>
      <c r="B5201">
        <f>42.3796797271429*(1-0.8198)</f>
        <v>7.6368182868311436</v>
      </c>
      <c r="C5201" s="1">
        <v>2</v>
      </c>
    </row>
    <row r="5202" spans="1:3" x14ac:dyDescent="0.3">
      <c r="A5202" t="s">
        <v>5201</v>
      </c>
      <c r="B5202">
        <f>29.6465564*(1-0.8198)</f>
        <v>5.3423094632800012</v>
      </c>
      <c r="C5202" s="1">
        <v>2</v>
      </c>
    </row>
    <row r="5203" spans="1:3" x14ac:dyDescent="0.3">
      <c r="A5203" t="s">
        <v>5202</v>
      </c>
      <c r="B5203">
        <f>15.7165886414286*(1-0.8198)</f>
        <v>2.8321292731854291</v>
      </c>
      <c r="C5203" s="1">
        <v>3</v>
      </c>
    </row>
    <row r="5204" spans="1:3" x14ac:dyDescent="0.3">
      <c r="A5204" t="s">
        <v>5203</v>
      </c>
      <c r="B5204">
        <f>4.34801183428571*(1-0.8198)</f>
        <v>0.78351173253828588</v>
      </c>
      <c r="C5204" s="1">
        <v>3</v>
      </c>
    </row>
    <row r="5205" spans="1:3" x14ac:dyDescent="0.3">
      <c r="A5205" t="s">
        <v>5204</v>
      </c>
      <c r="B5205">
        <f>0*(1-0.8198)</f>
        <v>0</v>
      </c>
      <c r="C5205" s="1">
        <v>2</v>
      </c>
    </row>
    <row r="5206" spans="1:3" x14ac:dyDescent="0.3">
      <c r="A5206" t="s">
        <v>5205</v>
      </c>
      <c r="B5206">
        <f>0*(1-0.8198)</f>
        <v>0</v>
      </c>
      <c r="C5206" s="1">
        <v>2</v>
      </c>
    </row>
    <row r="5207" spans="1:3" x14ac:dyDescent="0.3">
      <c r="A5207" t="s">
        <v>5206</v>
      </c>
      <c r="B5207">
        <f>0*(1-0.8198)</f>
        <v>0</v>
      </c>
      <c r="C5207" s="1">
        <v>3</v>
      </c>
    </row>
    <row r="5208" spans="1:3" x14ac:dyDescent="0.3">
      <c r="A5208" t="s">
        <v>5207</v>
      </c>
      <c r="B5208">
        <f>0*(1-0.8198)</f>
        <v>0</v>
      </c>
      <c r="C5208" s="1">
        <v>2</v>
      </c>
    </row>
    <row r="5209" spans="1:3" x14ac:dyDescent="0.3">
      <c r="A5209" t="s">
        <v>5208</v>
      </c>
      <c r="B5209">
        <f>0*(1-0.8198)</f>
        <v>0</v>
      </c>
      <c r="C5209" s="1">
        <v>3</v>
      </c>
    </row>
    <row r="5210" spans="1:3" x14ac:dyDescent="0.3">
      <c r="A5210" t="s">
        <v>5209</v>
      </c>
      <c r="B5210">
        <f>0*(1-0.8198)</f>
        <v>0</v>
      </c>
      <c r="C5210" s="1">
        <v>2</v>
      </c>
    </row>
    <row r="5211" spans="1:3" x14ac:dyDescent="0.3">
      <c r="A5211" t="s">
        <v>5210</v>
      </c>
      <c r="B5211">
        <f>0*(1-0.8198)</f>
        <v>0</v>
      </c>
      <c r="C5211" s="1">
        <v>2</v>
      </c>
    </row>
    <row r="5212" spans="1:3" x14ac:dyDescent="0.3">
      <c r="A5212" t="s">
        <v>5211</v>
      </c>
      <c r="B5212">
        <f>0*(1-0.8198)</f>
        <v>0</v>
      </c>
      <c r="C5212" s="1">
        <v>3</v>
      </c>
    </row>
    <row r="5213" spans="1:3" x14ac:dyDescent="0.3">
      <c r="A5213" t="s">
        <v>5212</v>
      </c>
      <c r="B5213">
        <f>0*(1-0.8198)</f>
        <v>0</v>
      </c>
      <c r="C5213" s="1">
        <v>2</v>
      </c>
    </row>
    <row r="5214" spans="1:3" x14ac:dyDescent="0.3">
      <c r="A5214" t="s">
        <v>5213</v>
      </c>
      <c r="B5214">
        <f>0*(1-0.8198)</f>
        <v>0</v>
      </c>
      <c r="C5214" s="1">
        <v>3</v>
      </c>
    </row>
    <row r="5215" spans="1:3" x14ac:dyDescent="0.3">
      <c r="A5215" t="s">
        <v>5214</v>
      </c>
      <c r="B5215">
        <f>0.14534*(1-0.8198)</f>
        <v>2.6190268000000003E-2</v>
      </c>
      <c r="C5215" s="1">
        <v>2</v>
      </c>
    </row>
    <row r="5216" spans="1:3" x14ac:dyDescent="0.3">
      <c r="A5216" t="s">
        <v>5215</v>
      </c>
      <c r="B5216">
        <f>7.09207151571429*(1-0.8198)</f>
        <v>1.2779912871317145</v>
      </c>
      <c r="C5216" s="1">
        <v>2</v>
      </c>
    </row>
    <row r="5217" spans="1:3" x14ac:dyDescent="0.3">
      <c r="A5217" t="s">
        <v>5216</v>
      </c>
      <c r="B5217">
        <f>10.9150473914286*(1-0.8198)</f>
        <v>1.9668915399354294</v>
      </c>
      <c r="C5217" s="1">
        <v>3</v>
      </c>
    </row>
    <row r="5218" spans="1:3" x14ac:dyDescent="0.3">
      <c r="A5218" t="s">
        <v>5217</v>
      </c>
      <c r="B5218">
        <f>18.2560957257143*(1-0.8198)</f>
        <v>3.2897484497737146</v>
      </c>
      <c r="C5218" s="1">
        <v>2</v>
      </c>
    </row>
    <row r="5219" spans="1:3" x14ac:dyDescent="0.3">
      <c r="A5219" t="s">
        <v>5218</v>
      </c>
      <c r="B5219">
        <f>18.1342389471429*(1-0.8198)</f>
        <v>3.2677898582751435</v>
      </c>
      <c r="C5219" s="1">
        <v>2</v>
      </c>
    </row>
    <row r="5220" spans="1:3" x14ac:dyDescent="0.3">
      <c r="A5220" t="s">
        <v>5219</v>
      </c>
      <c r="B5220">
        <f>12.1518*(1-0.8198)</f>
        <v>2.1897543600000011</v>
      </c>
      <c r="C5220" s="1">
        <v>3</v>
      </c>
    </row>
    <row r="5221" spans="1:3" x14ac:dyDescent="0.3">
      <c r="A5221" t="s">
        <v>5220</v>
      </c>
      <c r="B5221">
        <f>31.1276528228571*(1-0.8198)</f>
        <v>5.6092030386788592</v>
      </c>
      <c r="C5221" s="1">
        <v>2</v>
      </c>
    </row>
    <row r="5222" spans="1:3" x14ac:dyDescent="0.3">
      <c r="A5222" t="s">
        <v>5221</v>
      </c>
      <c r="B5222">
        <f>49.3910901842857*(1-0.8198)</f>
        <v>8.9002744512082881</v>
      </c>
      <c r="C5222" s="1">
        <v>2</v>
      </c>
    </row>
    <row r="5223" spans="1:3" x14ac:dyDescent="0.3">
      <c r="A5223" t="s">
        <v>5222</v>
      </c>
      <c r="B5223">
        <f>51.0038712814286*(1-0.8198)</f>
        <v>9.190897604913431</v>
      </c>
      <c r="C5223" s="1">
        <v>3</v>
      </c>
    </row>
    <row r="5224" spans="1:3" x14ac:dyDescent="0.3">
      <c r="A5224" t="s">
        <v>5223</v>
      </c>
      <c r="B5224">
        <f>37.4329107071429*(1-0.8198)</f>
        <v>6.7454105094271446</v>
      </c>
      <c r="C5224" s="1">
        <v>2</v>
      </c>
    </row>
    <row r="5225" spans="1:3" x14ac:dyDescent="0.3">
      <c r="A5225" t="s">
        <v>5224</v>
      </c>
      <c r="B5225">
        <f>35.9682860485714*(1-0.8198)</f>
        <v>6.4814851459525737</v>
      </c>
      <c r="C5225" s="1">
        <v>2</v>
      </c>
    </row>
    <row r="5226" spans="1:3" x14ac:dyDescent="0.3">
      <c r="A5226" t="s">
        <v>5225</v>
      </c>
      <c r="B5226">
        <f>20.5391103285714*(1-0.8198)</f>
        <v>3.7011476812085728</v>
      </c>
      <c r="C5226" s="1">
        <v>3</v>
      </c>
    </row>
    <row r="5227" spans="1:3" x14ac:dyDescent="0.3">
      <c r="A5227" t="s">
        <v>5226</v>
      </c>
      <c r="B5227">
        <f>10.1809416857143*(1-0.8198)</f>
        <v>1.8346056917657145</v>
      </c>
      <c r="C5227" s="1">
        <v>2</v>
      </c>
    </row>
    <row r="5228" spans="1:3" x14ac:dyDescent="0.3">
      <c r="A5228" t="s">
        <v>5227</v>
      </c>
      <c r="B5228">
        <f>2.20978885857143*(1-0.8198)</f>
        <v>0.39820395231457162</v>
      </c>
      <c r="C5228" s="1">
        <v>3</v>
      </c>
    </row>
    <row r="5229" spans="1:3" x14ac:dyDescent="0.3">
      <c r="A5229" t="s">
        <v>5228</v>
      </c>
      <c r="B5229">
        <f>0*(1-0.8198)</f>
        <v>0</v>
      </c>
      <c r="C5229" s="1">
        <v>2</v>
      </c>
    </row>
    <row r="5230" spans="1:3" x14ac:dyDescent="0.3">
      <c r="A5230" t="s">
        <v>5229</v>
      </c>
      <c r="B5230">
        <f>0*(1-0.8198)</f>
        <v>0</v>
      </c>
      <c r="C5230" s="1">
        <v>3</v>
      </c>
    </row>
    <row r="5231" spans="1:3" x14ac:dyDescent="0.3">
      <c r="A5231" t="s">
        <v>5230</v>
      </c>
      <c r="B5231">
        <f>0*(1-0.8198)</f>
        <v>0</v>
      </c>
      <c r="C5231" s="1">
        <v>2</v>
      </c>
    </row>
    <row r="5232" spans="1:3" x14ac:dyDescent="0.3">
      <c r="A5232" t="s">
        <v>5231</v>
      </c>
      <c r="B5232">
        <f>0*(1-0.8198)</f>
        <v>0</v>
      </c>
      <c r="C5232" s="1">
        <v>3</v>
      </c>
    </row>
    <row r="5233" spans="1:3" x14ac:dyDescent="0.3">
      <c r="A5233" t="s">
        <v>5232</v>
      </c>
      <c r="B5233">
        <f>0*(1-0.8198)</f>
        <v>0</v>
      </c>
      <c r="C5233" s="1">
        <v>2</v>
      </c>
    </row>
    <row r="5234" spans="1:3" x14ac:dyDescent="0.3">
      <c r="A5234" t="s">
        <v>5233</v>
      </c>
      <c r="B5234">
        <f>0*(1-0.8198)</f>
        <v>0</v>
      </c>
      <c r="C5234" s="1">
        <v>2</v>
      </c>
    </row>
    <row r="5235" spans="1:3" x14ac:dyDescent="0.3">
      <c r="A5235" t="s">
        <v>5234</v>
      </c>
      <c r="B5235">
        <f>0*(1-0.8198)</f>
        <v>0</v>
      </c>
      <c r="C5235" s="1">
        <v>3</v>
      </c>
    </row>
    <row r="5236" spans="1:3" x14ac:dyDescent="0.3">
      <c r="A5236" t="s">
        <v>5235</v>
      </c>
      <c r="B5236">
        <f>0*(1-0.8198)</f>
        <v>0</v>
      </c>
      <c r="C5236" s="1">
        <v>2</v>
      </c>
    </row>
    <row r="5237" spans="1:3" x14ac:dyDescent="0.3">
      <c r="A5237" t="s">
        <v>5236</v>
      </c>
      <c r="B5237">
        <f>0*(1-0.8198)</f>
        <v>0</v>
      </c>
      <c r="C5237" s="1">
        <v>3</v>
      </c>
    </row>
    <row r="5238" spans="1:3" x14ac:dyDescent="0.3">
      <c r="A5238" t="s">
        <v>5237</v>
      </c>
      <c r="B5238">
        <f>0*(1-0.8198)</f>
        <v>0</v>
      </c>
      <c r="C5238" s="1">
        <v>2</v>
      </c>
    </row>
    <row r="5239" spans="1:3" x14ac:dyDescent="0.3">
      <c r="A5239" t="s">
        <v>5238</v>
      </c>
      <c r="B5239">
        <f>0.18576*(1-0.8198)</f>
        <v>3.3473952000000008E-2</v>
      </c>
      <c r="C5239" s="1">
        <v>2</v>
      </c>
    </row>
    <row r="5240" spans="1:3" x14ac:dyDescent="0.3">
      <c r="A5240" t="s">
        <v>5239</v>
      </c>
      <c r="B5240">
        <f>6.15144264571429*(1-0.8198)</f>
        <v>1.1084899647577142</v>
      </c>
      <c r="C5240" s="1">
        <v>3</v>
      </c>
    </row>
    <row r="5241" spans="1:3" x14ac:dyDescent="0.3">
      <c r="A5241" t="s">
        <v>5240</v>
      </c>
      <c r="B5241">
        <f>15.5775365314286*(1-0.8198)</f>
        <v>2.8070720829634288</v>
      </c>
      <c r="C5241" s="1">
        <v>2</v>
      </c>
    </row>
    <row r="5242" spans="1:3" x14ac:dyDescent="0.3">
      <c r="A5242" t="s">
        <v>5241</v>
      </c>
      <c r="B5242">
        <f>28.0805672885714*(1-0.8198)</f>
        <v>5.060118225400573</v>
      </c>
      <c r="C5242" s="1">
        <v>2</v>
      </c>
    </row>
    <row r="5243" spans="1:3" x14ac:dyDescent="0.3">
      <c r="A5243" t="s">
        <v>5242</v>
      </c>
      <c r="B5243">
        <f>35.5667560414286*(1-0.8198)</f>
        <v>6.4091294386654303</v>
      </c>
      <c r="C5243" s="1">
        <v>2</v>
      </c>
    </row>
    <row r="5244" spans="1:3" x14ac:dyDescent="0.3">
      <c r="A5244" t="s">
        <v>5243</v>
      </c>
      <c r="B5244">
        <f>38.8157006528571*(1-0.8198)</f>
        <v>6.9945892576448587</v>
      </c>
      <c r="C5244" s="1">
        <v>3</v>
      </c>
    </row>
    <row r="5245" spans="1:3" x14ac:dyDescent="0.3">
      <c r="A5245" t="s">
        <v>5244</v>
      </c>
      <c r="B5245">
        <f>49.3393894414286*(1-0.8198)</f>
        <v>8.8909579773454315</v>
      </c>
      <c r="C5245" s="1">
        <v>2</v>
      </c>
    </row>
    <row r="5246" spans="1:3" x14ac:dyDescent="0.3">
      <c r="A5246" t="s">
        <v>5245</v>
      </c>
      <c r="B5246">
        <f>54.6536092485714*(1-0.8198)</f>
        <v>9.8485803865925732</v>
      </c>
      <c r="C5246" s="1">
        <v>3</v>
      </c>
    </row>
    <row r="5247" spans="1:3" x14ac:dyDescent="0.3">
      <c r="A5247" t="s">
        <v>5246</v>
      </c>
      <c r="B5247">
        <f>52.4891390114286*(1-0.8198)</f>
        <v>9.4585428498594304</v>
      </c>
      <c r="C5247" s="1">
        <v>2</v>
      </c>
    </row>
    <row r="5248" spans="1:3" x14ac:dyDescent="0.3">
      <c r="A5248" t="s">
        <v>5247</v>
      </c>
      <c r="B5248">
        <f>51.5573100914286*(1-0.8198)</f>
        <v>9.29062727847543</v>
      </c>
      <c r="C5248" s="1">
        <v>2</v>
      </c>
    </row>
    <row r="5249" spans="1:3" x14ac:dyDescent="0.3">
      <c r="A5249" t="s">
        <v>5248</v>
      </c>
      <c r="B5249">
        <f>40.4742524242857*(1-0.8198)</f>
        <v>7.2934602868562868</v>
      </c>
      <c r="C5249" s="1">
        <v>3</v>
      </c>
    </row>
    <row r="5250" spans="1:3" x14ac:dyDescent="0.3">
      <c r="A5250" t="s">
        <v>5249</v>
      </c>
      <c r="B5250">
        <f>29.3928702214286*(1-0.8198)</f>
        <v>5.2965952139014307</v>
      </c>
      <c r="C5250" s="1">
        <v>2</v>
      </c>
    </row>
    <row r="5251" spans="1:3" x14ac:dyDescent="0.3">
      <c r="A5251" t="s">
        <v>5250</v>
      </c>
      <c r="B5251">
        <f>15.2644067228571*(1-0.8198)</f>
        <v>2.750646091458858</v>
      </c>
      <c r="C5251" s="1">
        <v>2</v>
      </c>
    </row>
    <row r="5252" spans="1:3" x14ac:dyDescent="0.3">
      <c r="A5252" t="s">
        <v>5251</v>
      </c>
      <c r="B5252">
        <f>3.91105898*(1-0.8198)</f>
        <v>0.70477282819600018</v>
      </c>
      <c r="C5252" s="1">
        <v>3</v>
      </c>
    </row>
    <row r="5253" spans="1:3" x14ac:dyDescent="0.3">
      <c r="A5253" t="s">
        <v>5252</v>
      </c>
      <c r="B5253">
        <f>0*(1-0.8198)</f>
        <v>0</v>
      </c>
      <c r="C5253" s="1">
        <v>2</v>
      </c>
    </row>
    <row r="5254" spans="1:3" x14ac:dyDescent="0.3">
      <c r="A5254" t="s">
        <v>5253</v>
      </c>
      <c r="B5254">
        <f>0*(1-0.8198)</f>
        <v>0</v>
      </c>
      <c r="C5254" s="1">
        <v>3</v>
      </c>
    </row>
    <row r="5255" spans="1:3" x14ac:dyDescent="0.3">
      <c r="A5255" t="s">
        <v>5254</v>
      </c>
      <c r="B5255">
        <f>0*(1-0.8198)</f>
        <v>0</v>
      </c>
      <c r="C5255" s="1">
        <v>2</v>
      </c>
    </row>
    <row r="5256" spans="1:3" x14ac:dyDescent="0.3">
      <c r="A5256" t="s">
        <v>5255</v>
      </c>
      <c r="B5256">
        <f>0*(1-0.8198)</f>
        <v>0</v>
      </c>
      <c r="C5256" s="1">
        <v>3</v>
      </c>
    </row>
    <row r="5257" spans="1:3" x14ac:dyDescent="0.3">
      <c r="A5257" t="s">
        <v>5256</v>
      </c>
      <c r="B5257">
        <f>0*(1-0.8198)</f>
        <v>0</v>
      </c>
      <c r="C5257" s="1">
        <v>3</v>
      </c>
    </row>
    <row r="5258" spans="1:3" x14ac:dyDescent="0.3">
      <c r="A5258" t="s">
        <v>5257</v>
      </c>
      <c r="B5258">
        <f>0*(1-0.8198)</f>
        <v>0</v>
      </c>
      <c r="C5258" s="1">
        <v>2</v>
      </c>
    </row>
    <row r="5259" spans="1:3" x14ac:dyDescent="0.3">
      <c r="A5259" t="s">
        <v>5258</v>
      </c>
      <c r="B5259">
        <f>0*(1-0.8198)</f>
        <v>0</v>
      </c>
      <c r="C5259" s="1">
        <v>2</v>
      </c>
    </row>
    <row r="5260" spans="1:3" x14ac:dyDescent="0.3">
      <c r="A5260" t="s">
        <v>5259</v>
      </c>
      <c r="B5260">
        <f>0*(1-0.8198)</f>
        <v>0</v>
      </c>
      <c r="C5260" s="1">
        <v>2</v>
      </c>
    </row>
    <row r="5261" spans="1:3" x14ac:dyDescent="0.3">
      <c r="A5261" t="s">
        <v>5260</v>
      </c>
      <c r="B5261">
        <f>0*(1-0.8198)</f>
        <v>0</v>
      </c>
      <c r="C5261" s="1">
        <v>3</v>
      </c>
    </row>
    <row r="5262" spans="1:3" x14ac:dyDescent="0.3">
      <c r="A5262" t="s">
        <v>5261</v>
      </c>
      <c r="B5262">
        <f>0*(1-0.8198)</f>
        <v>0</v>
      </c>
      <c r="C5262" s="1">
        <v>2</v>
      </c>
    </row>
    <row r="5263" spans="1:3" x14ac:dyDescent="0.3">
      <c r="A5263" t="s">
        <v>5262</v>
      </c>
      <c r="B5263">
        <f>0.06966*(1-0.8198)</f>
        <v>1.2552732000000002E-2</v>
      </c>
      <c r="C5263" s="1">
        <v>3</v>
      </c>
    </row>
    <row r="5264" spans="1:3" x14ac:dyDescent="0.3">
      <c r="A5264" t="s">
        <v>5263</v>
      </c>
      <c r="B5264">
        <f>10.1823038028571*(1-0.8198)</f>
        <v>1.8348511452748573</v>
      </c>
      <c r="C5264" s="1">
        <v>2</v>
      </c>
    </row>
    <row r="5265" spans="1:3" x14ac:dyDescent="0.3">
      <c r="A5265" t="s">
        <v>5264</v>
      </c>
      <c r="B5265">
        <f>16.4179935228571*(1-0.8198)</f>
        <v>2.958522432818858</v>
      </c>
      <c r="C5265" s="1">
        <v>2</v>
      </c>
    </row>
    <row r="5266" spans="1:3" x14ac:dyDescent="0.3">
      <c r="A5266" t="s">
        <v>5265</v>
      </c>
      <c r="B5266">
        <f>28.7072558*(1-0.8198)</f>
        <v>5.1730474951600014</v>
      </c>
      <c r="C5266" s="1">
        <v>3</v>
      </c>
    </row>
    <row r="5267" spans="1:3" x14ac:dyDescent="0.3">
      <c r="A5267" t="s">
        <v>5266</v>
      </c>
      <c r="B5267">
        <f>40.9265671514286*(1-0.8198)</f>
        <v>7.3749674006874324</v>
      </c>
      <c r="C5267" s="1">
        <v>2</v>
      </c>
    </row>
    <row r="5268" spans="1:3" x14ac:dyDescent="0.3">
      <c r="A5268" t="s">
        <v>5267</v>
      </c>
      <c r="B5268">
        <f>40.2180226728571*(1-0.8198)</f>
        <v>7.2472876856488586</v>
      </c>
      <c r="C5268" s="1">
        <v>2</v>
      </c>
    </row>
    <row r="5269" spans="1:3" x14ac:dyDescent="0.3">
      <c r="A5269" t="s">
        <v>5268</v>
      </c>
      <c r="B5269">
        <f>36.14120244*(1-0.8198)</f>
        <v>6.5126446796880009</v>
      </c>
      <c r="C5269" s="1">
        <v>3</v>
      </c>
    </row>
    <row r="5270" spans="1:3" x14ac:dyDescent="0.3">
      <c r="A5270" t="s">
        <v>5269</v>
      </c>
      <c r="B5270">
        <f>54.1245661814286*(1-0.8198)</f>
        <v>9.7532468258934326</v>
      </c>
      <c r="C5270" s="1">
        <v>2</v>
      </c>
    </row>
    <row r="5271" spans="1:3" x14ac:dyDescent="0.3">
      <c r="A5271" t="s">
        <v>5270</v>
      </c>
      <c r="B5271">
        <f>45.2944511285714*(1-0.8198)</f>
        <v>8.1620600933685736</v>
      </c>
      <c r="C5271" s="1">
        <v>2</v>
      </c>
    </row>
    <row r="5272" spans="1:3" x14ac:dyDescent="0.3">
      <c r="A5272" t="s">
        <v>5271</v>
      </c>
      <c r="B5272">
        <f>37.8058344728571*(1-0.8198)</f>
        <v>6.8126113720088579</v>
      </c>
      <c r="C5272" s="1">
        <v>3</v>
      </c>
    </row>
    <row r="5273" spans="1:3" x14ac:dyDescent="0.3">
      <c r="A5273" t="s">
        <v>5272</v>
      </c>
      <c r="B5273">
        <f>37.7242071428571*(1-0.8198)</f>
        <v>6.7979021271428586</v>
      </c>
      <c r="C5273" s="1">
        <v>2</v>
      </c>
    </row>
    <row r="5274" spans="1:3" x14ac:dyDescent="0.3">
      <c r="A5274" t="s">
        <v>5273</v>
      </c>
      <c r="B5274">
        <f>25.7161554671429*(1-0.8198)</f>
        <v>4.6340512151791433</v>
      </c>
      <c r="C5274" s="1">
        <v>3</v>
      </c>
    </row>
    <row r="5275" spans="1:3" x14ac:dyDescent="0.3">
      <c r="A5275" t="s">
        <v>5274</v>
      </c>
      <c r="B5275">
        <f>14.5283297742857*(1-0.8198)</f>
        <v>2.6180050253262865</v>
      </c>
      <c r="C5275" s="1">
        <v>2</v>
      </c>
    </row>
    <row r="5276" spans="1:3" x14ac:dyDescent="0.3">
      <c r="A5276" t="s">
        <v>5275</v>
      </c>
      <c r="B5276">
        <f>3.97366857714286*(1-0.8198)</f>
        <v>0.71605507760114306</v>
      </c>
      <c r="C5276" s="1">
        <v>3</v>
      </c>
    </row>
    <row r="5277" spans="1:3" x14ac:dyDescent="0.3">
      <c r="A5277" t="s">
        <v>5276</v>
      </c>
      <c r="B5277">
        <f>0*(1-0.8198)</f>
        <v>0</v>
      </c>
      <c r="C5277" s="1">
        <v>2</v>
      </c>
    </row>
    <row r="5278" spans="1:3" x14ac:dyDescent="0.3">
      <c r="A5278" t="s">
        <v>5277</v>
      </c>
      <c r="B5278">
        <f>0*(1-0.8198)</f>
        <v>0</v>
      </c>
      <c r="C5278" s="1">
        <v>2</v>
      </c>
    </row>
    <row r="5279" spans="1:3" x14ac:dyDescent="0.3">
      <c r="A5279" t="s">
        <v>5278</v>
      </c>
      <c r="B5279">
        <f>0*(1-0.8198)</f>
        <v>0</v>
      </c>
      <c r="C5279" s="1">
        <v>3</v>
      </c>
    </row>
    <row r="5280" spans="1:3" x14ac:dyDescent="0.3">
      <c r="A5280" t="s">
        <v>5279</v>
      </c>
      <c r="B5280">
        <f>0*(1-0.8198)</f>
        <v>0</v>
      </c>
      <c r="C5280" s="1">
        <v>2</v>
      </c>
    </row>
    <row r="5281" spans="1:3" x14ac:dyDescent="0.3">
      <c r="A5281" t="s">
        <v>5280</v>
      </c>
      <c r="B5281">
        <f>0*(1-0.8198)</f>
        <v>0</v>
      </c>
      <c r="C5281" s="1">
        <v>2</v>
      </c>
    </row>
    <row r="5282" spans="1:3" x14ac:dyDescent="0.3">
      <c r="A5282" t="s">
        <v>5281</v>
      </c>
      <c r="B5282">
        <f>0*(1-0.8198)</f>
        <v>0</v>
      </c>
      <c r="C5282" s="1">
        <v>3</v>
      </c>
    </row>
    <row r="5283" spans="1:3" x14ac:dyDescent="0.3">
      <c r="A5283" t="s">
        <v>5282</v>
      </c>
      <c r="B5283">
        <f>0*(1-0.8198)</f>
        <v>0</v>
      </c>
      <c r="C5283" s="1">
        <v>3</v>
      </c>
    </row>
    <row r="5284" spans="1:3" x14ac:dyDescent="0.3">
      <c r="A5284" t="s">
        <v>5283</v>
      </c>
      <c r="B5284">
        <f>0*(1-0.8198)</f>
        <v>0</v>
      </c>
      <c r="C5284" s="1">
        <v>2</v>
      </c>
    </row>
    <row r="5285" spans="1:3" x14ac:dyDescent="0.3">
      <c r="A5285" t="s">
        <v>5284</v>
      </c>
      <c r="B5285">
        <f>0*(1-0.8198)</f>
        <v>0</v>
      </c>
      <c r="C5285" s="1">
        <v>2</v>
      </c>
    </row>
    <row r="5286" spans="1:3" x14ac:dyDescent="0.3">
      <c r="A5286" t="s">
        <v>5285</v>
      </c>
      <c r="B5286">
        <f>0*(1-0.8198)</f>
        <v>0</v>
      </c>
      <c r="C5286" s="1">
        <v>3</v>
      </c>
    </row>
    <row r="5287" spans="1:3" x14ac:dyDescent="0.3">
      <c r="A5287" t="s">
        <v>5286</v>
      </c>
      <c r="B5287">
        <f>0*(1-0.8198)</f>
        <v>0</v>
      </c>
      <c r="C5287" s="1">
        <v>2</v>
      </c>
    </row>
    <row r="5288" spans="1:3" x14ac:dyDescent="0.3">
      <c r="A5288" t="s">
        <v>5287</v>
      </c>
      <c r="B5288">
        <f>8.13042390571429*(1-0.8198)</f>
        <v>1.4651023878097147</v>
      </c>
      <c r="C5288" s="1">
        <v>2</v>
      </c>
    </row>
    <row r="5289" spans="1:3" x14ac:dyDescent="0.3">
      <c r="A5289" t="s">
        <v>5288</v>
      </c>
      <c r="B5289">
        <f>16.2260138185714*(1-0.8198)</f>
        <v>2.9239276901065718</v>
      </c>
      <c r="C5289" s="1">
        <v>3</v>
      </c>
    </row>
    <row r="5290" spans="1:3" x14ac:dyDescent="0.3">
      <c r="A5290" t="s">
        <v>5289</v>
      </c>
      <c r="B5290">
        <f>31.8125389471429*(1-0.8198)</f>
        <v>5.7326195182751443</v>
      </c>
      <c r="C5290" s="1">
        <v>2</v>
      </c>
    </row>
    <row r="5291" spans="1:3" x14ac:dyDescent="0.3">
      <c r="A5291" t="s">
        <v>5290</v>
      </c>
      <c r="B5291">
        <f>47.4804213042857*(1-0.8198)</f>
        <v>8.5559719190322863</v>
      </c>
      <c r="C5291" s="1">
        <v>2</v>
      </c>
    </row>
    <row r="5292" spans="1:3" x14ac:dyDescent="0.3">
      <c r="A5292" t="s">
        <v>5291</v>
      </c>
      <c r="B5292">
        <f>53.9083547485714*(1-0.8198)</f>
        <v>9.7142855256925742</v>
      </c>
      <c r="C5292" s="1">
        <v>3</v>
      </c>
    </row>
    <row r="5293" spans="1:3" x14ac:dyDescent="0.3">
      <c r="A5293" t="s">
        <v>5292</v>
      </c>
      <c r="B5293">
        <f>58.1958259614286*(1-0.8198)</f>
        <v>10.48688783824943</v>
      </c>
      <c r="C5293" s="1">
        <v>2</v>
      </c>
    </row>
    <row r="5294" spans="1:3" x14ac:dyDescent="0.3">
      <c r="A5294" t="s">
        <v>5293</v>
      </c>
      <c r="B5294">
        <f>59.0671242114286*(1-0.8198)</f>
        <v>10.643895782899433</v>
      </c>
      <c r="C5294" s="1">
        <v>3</v>
      </c>
    </row>
    <row r="5295" spans="1:3" x14ac:dyDescent="0.3">
      <c r="A5295" t="s">
        <v>5294</v>
      </c>
      <c r="B5295">
        <f>56.4553022457143*(1-0.8198)</f>
        <v>10.173245464677716</v>
      </c>
      <c r="C5295" s="1">
        <v>2</v>
      </c>
    </row>
    <row r="5296" spans="1:3" x14ac:dyDescent="0.3">
      <c r="A5296" t="s">
        <v>5295</v>
      </c>
      <c r="B5296">
        <f>50.2998179685714*(1-0.8198)</f>
        <v>9.0640271979365732</v>
      </c>
      <c r="C5296" s="1">
        <v>2</v>
      </c>
    </row>
    <row r="5297" spans="1:3" x14ac:dyDescent="0.3">
      <c r="A5297" t="s">
        <v>5296</v>
      </c>
      <c r="B5297">
        <f>40.4856570071429*(1-0.8198)</f>
        <v>7.295515392687145</v>
      </c>
      <c r="C5297" s="1">
        <v>3</v>
      </c>
    </row>
    <row r="5298" spans="1:3" x14ac:dyDescent="0.3">
      <c r="A5298" t="s">
        <v>5297</v>
      </c>
      <c r="B5298">
        <f>27.8912079428571*(1-0.8198)</f>
        <v>5.0259956713028577</v>
      </c>
      <c r="C5298" s="1">
        <v>2</v>
      </c>
    </row>
    <row r="5299" spans="1:3" x14ac:dyDescent="0.3">
      <c r="A5299" t="s">
        <v>5298</v>
      </c>
      <c r="B5299">
        <f>14.13263757*(1-0.8198)</f>
        <v>2.5467012901140009</v>
      </c>
      <c r="C5299" s="1">
        <v>3</v>
      </c>
    </row>
    <row r="5300" spans="1:3" x14ac:dyDescent="0.3">
      <c r="A5300" t="s">
        <v>5299</v>
      </c>
      <c r="B5300">
        <f>3.75888726285714*(1-0.8198)</f>
        <v>0.67735148476685725</v>
      </c>
      <c r="C5300" s="1">
        <v>2</v>
      </c>
    </row>
    <row r="5301" spans="1:3" x14ac:dyDescent="0.3">
      <c r="A5301" t="s">
        <v>5300</v>
      </c>
      <c r="B5301">
        <f>0*(1-0.8198)</f>
        <v>0</v>
      </c>
      <c r="C5301" s="1">
        <v>2</v>
      </c>
    </row>
    <row r="5302" spans="1:3" x14ac:dyDescent="0.3">
      <c r="A5302" t="s">
        <v>5301</v>
      </c>
      <c r="B5302">
        <f>0*(1-0.8198)</f>
        <v>0</v>
      </c>
      <c r="C5302" s="1">
        <v>3</v>
      </c>
    </row>
    <row r="5303" spans="1:3" x14ac:dyDescent="0.3">
      <c r="A5303" t="s">
        <v>5302</v>
      </c>
      <c r="B5303">
        <f>0*(1-0.8198)</f>
        <v>0</v>
      </c>
      <c r="C5303" s="1">
        <v>2</v>
      </c>
    </row>
    <row r="5304" spans="1:3" x14ac:dyDescent="0.3">
      <c r="A5304" t="s">
        <v>5303</v>
      </c>
      <c r="B5304">
        <f>0*(1-0.8198)</f>
        <v>0</v>
      </c>
      <c r="C5304" s="1">
        <v>2</v>
      </c>
    </row>
    <row r="5305" spans="1:3" x14ac:dyDescent="0.3">
      <c r="A5305" t="s">
        <v>5304</v>
      </c>
      <c r="B5305">
        <f>0*(1-0.8198)</f>
        <v>0</v>
      </c>
      <c r="C5305" s="1">
        <v>3</v>
      </c>
    </row>
    <row r="5306" spans="1:3" x14ac:dyDescent="0.3">
      <c r="A5306" t="s">
        <v>5305</v>
      </c>
      <c r="B5306">
        <f>0*(1-0.8198)</f>
        <v>0</v>
      </c>
      <c r="C5306" s="1">
        <v>2</v>
      </c>
    </row>
    <row r="5307" spans="1:3" x14ac:dyDescent="0.3">
      <c r="A5307" t="s">
        <v>5306</v>
      </c>
      <c r="B5307">
        <f>0*(1-0.8198)</f>
        <v>0</v>
      </c>
      <c r="C5307" s="1">
        <v>3</v>
      </c>
    </row>
    <row r="5308" spans="1:3" x14ac:dyDescent="0.3">
      <c r="A5308" t="s">
        <v>5307</v>
      </c>
      <c r="B5308">
        <f>0*(1-0.8198)</f>
        <v>0</v>
      </c>
      <c r="C5308" s="1">
        <v>2</v>
      </c>
    </row>
    <row r="5309" spans="1:3" x14ac:dyDescent="0.3">
      <c r="A5309" t="s">
        <v>5308</v>
      </c>
      <c r="B5309">
        <f>0*(1-0.8198)</f>
        <v>0</v>
      </c>
      <c r="C5309" s="1">
        <v>3</v>
      </c>
    </row>
    <row r="5310" spans="1:3" x14ac:dyDescent="0.3">
      <c r="A5310" t="s">
        <v>5309</v>
      </c>
      <c r="B5310">
        <f>0*(1-0.8198)</f>
        <v>0</v>
      </c>
      <c r="C5310" s="1">
        <v>2</v>
      </c>
    </row>
    <row r="5311" spans="1:3" x14ac:dyDescent="0.3">
      <c r="A5311" t="s">
        <v>5310</v>
      </c>
      <c r="B5311">
        <f>0*(1-0.8198)</f>
        <v>0</v>
      </c>
      <c r="C5311" s="1">
        <v>3</v>
      </c>
    </row>
    <row r="5312" spans="1:3" x14ac:dyDescent="0.3">
      <c r="A5312" t="s">
        <v>5311</v>
      </c>
      <c r="B5312">
        <f>7.45654842285714*(1-0.8198)</f>
        <v>1.3436700257988574</v>
      </c>
      <c r="C5312" s="1">
        <v>2</v>
      </c>
    </row>
    <row r="5313" spans="1:3" x14ac:dyDescent="0.3">
      <c r="A5313" t="s">
        <v>5312</v>
      </c>
      <c r="B5313">
        <f>19.8030165485714*(1-0.8198)</f>
        <v>3.5685035820525726</v>
      </c>
      <c r="C5313" s="1">
        <v>2</v>
      </c>
    </row>
    <row r="5314" spans="1:3" x14ac:dyDescent="0.3">
      <c r="A5314" t="s">
        <v>5313</v>
      </c>
      <c r="B5314">
        <f>31.42684498*(1-0.8198)</f>
        <v>5.6631174653960006</v>
      </c>
      <c r="C5314" s="1">
        <v>3</v>
      </c>
    </row>
    <row r="5315" spans="1:3" x14ac:dyDescent="0.3">
      <c r="A5315" t="s">
        <v>5314</v>
      </c>
      <c r="B5315">
        <f>43.9125222271429*(1-0.8198)</f>
        <v>7.9130365053311458</v>
      </c>
      <c r="C5315" s="1">
        <v>2</v>
      </c>
    </row>
    <row r="5316" spans="1:3" x14ac:dyDescent="0.3">
      <c r="A5316" t="s">
        <v>5315</v>
      </c>
      <c r="B5316">
        <f>51.6421038185714*(1-0.8198)</f>
        <v>9.3059071081065738</v>
      </c>
      <c r="C5316" s="1">
        <v>3</v>
      </c>
    </row>
    <row r="5317" spans="1:3" x14ac:dyDescent="0.3">
      <c r="A5317" t="s">
        <v>5316</v>
      </c>
      <c r="B5317">
        <f>56.4561083728571*(1-0.8198)</f>
        <v>10.17339072878886</v>
      </c>
      <c r="C5317" s="1">
        <v>2</v>
      </c>
    </row>
    <row r="5318" spans="1:3" x14ac:dyDescent="0.3">
      <c r="A5318" t="s">
        <v>5317</v>
      </c>
      <c r="B5318">
        <f>56.8741351457143*(1-0.8198)</f>
        <v>10.248719153257717</v>
      </c>
      <c r="C5318" s="1">
        <v>2</v>
      </c>
    </row>
    <row r="5319" spans="1:3" x14ac:dyDescent="0.3">
      <c r="A5319" t="s">
        <v>5318</v>
      </c>
      <c r="B5319">
        <f>51.2328364528572*(1-0.8198)</f>
        <v>9.2321571288048609</v>
      </c>
      <c r="C5319" s="1">
        <v>3</v>
      </c>
    </row>
    <row r="5320" spans="1:3" x14ac:dyDescent="0.3">
      <c r="A5320" t="s">
        <v>5319</v>
      </c>
      <c r="B5320">
        <f>46.5082598585714*(1-0.8198)</f>
        <v>8.380788426514572</v>
      </c>
      <c r="C5320" s="1">
        <v>2</v>
      </c>
    </row>
    <row r="5321" spans="1:3" x14ac:dyDescent="0.3">
      <c r="A5321" t="s">
        <v>5320</v>
      </c>
      <c r="B5321">
        <f>37.4255403842857*(1-0.8198)</f>
        <v>6.7440823772482874</v>
      </c>
      <c r="C5321" s="1">
        <v>2</v>
      </c>
    </row>
    <row r="5322" spans="1:3" x14ac:dyDescent="0.3">
      <c r="A5322" t="s">
        <v>5321</v>
      </c>
      <c r="B5322">
        <f>27.0822977785714*(1-0.8198)</f>
        <v>4.8802300596985733</v>
      </c>
      <c r="C5322" s="1">
        <v>3</v>
      </c>
    </row>
    <row r="5323" spans="1:3" x14ac:dyDescent="0.3">
      <c r="A5323" t="s">
        <v>5322</v>
      </c>
      <c r="B5323">
        <f>13.0862058485714*(1-0.8198)</f>
        <v>2.3581342939125722</v>
      </c>
      <c r="C5323" s="1">
        <v>2</v>
      </c>
    </row>
    <row r="5324" spans="1:3" x14ac:dyDescent="0.3">
      <c r="A5324" t="s">
        <v>5323</v>
      </c>
      <c r="B5324">
        <f>3.60977253857143*(1-0.8198)</f>
        <v>0.65048101145057158</v>
      </c>
      <c r="C5324" s="1">
        <v>3</v>
      </c>
    </row>
    <row r="5325" spans="1:3" x14ac:dyDescent="0.3">
      <c r="A5325" t="s">
        <v>5324</v>
      </c>
      <c r="B5325">
        <f>0*(1-0.8198)</f>
        <v>0</v>
      </c>
      <c r="C5325" s="1">
        <v>2</v>
      </c>
    </row>
    <row r="5326" spans="1:3" x14ac:dyDescent="0.3">
      <c r="A5326" t="s">
        <v>5325</v>
      </c>
      <c r="B5326">
        <f>0*(1-0.8198)</f>
        <v>0</v>
      </c>
      <c r="C5326" s="1">
        <v>3</v>
      </c>
    </row>
    <row r="5327" spans="1:3" x14ac:dyDescent="0.3">
      <c r="A5327" t="s">
        <v>5326</v>
      </c>
      <c r="B5327">
        <f>0*(1-0.8198)</f>
        <v>0</v>
      </c>
      <c r="C5327" s="1">
        <v>2</v>
      </c>
    </row>
    <row r="5328" spans="1:3" x14ac:dyDescent="0.3">
      <c r="A5328" t="s">
        <v>5327</v>
      </c>
      <c r="B5328">
        <f>0*(1-0.8198)</f>
        <v>0</v>
      </c>
      <c r="C5328" s="1">
        <v>3</v>
      </c>
    </row>
    <row r="5329" spans="1:3" x14ac:dyDescent="0.3">
      <c r="A5329" t="s">
        <v>5328</v>
      </c>
      <c r="B5329">
        <f>0*(1-0.8198)</f>
        <v>0</v>
      </c>
      <c r="C5329" s="1">
        <v>2</v>
      </c>
    </row>
    <row r="5330" spans="1:3" x14ac:dyDescent="0.3">
      <c r="A5330" t="s">
        <v>5329</v>
      </c>
      <c r="B5330">
        <f>0*(1-0.8198)</f>
        <v>0</v>
      </c>
      <c r="C5330" s="1">
        <v>2</v>
      </c>
    </row>
    <row r="5331" spans="1:3" x14ac:dyDescent="0.3">
      <c r="A5331" t="s">
        <v>5330</v>
      </c>
      <c r="B5331">
        <f>0*(1-0.8198)</f>
        <v>0</v>
      </c>
      <c r="C5331" s="1">
        <v>3</v>
      </c>
    </row>
    <row r="5332" spans="1:3" x14ac:dyDescent="0.3">
      <c r="A5332" t="s">
        <v>5331</v>
      </c>
      <c r="B5332">
        <f>0*(1-0.8198)</f>
        <v>0</v>
      </c>
      <c r="C5332" s="1">
        <v>2</v>
      </c>
    </row>
    <row r="5333" spans="1:3" x14ac:dyDescent="0.3">
      <c r="A5333" t="s">
        <v>5332</v>
      </c>
      <c r="B5333">
        <f>0*(1-0.8198)</f>
        <v>0</v>
      </c>
      <c r="C5333" s="1">
        <v>3</v>
      </c>
    </row>
    <row r="5334" spans="1:3" x14ac:dyDescent="0.3">
      <c r="A5334" t="s">
        <v>5333</v>
      </c>
      <c r="B5334">
        <f>0*(1-0.8198)</f>
        <v>0</v>
      </c>
      <c r="C5334" s="1">
        <v>2</v>
      </c>
    </row>
    <row r="5335" spans="1:3" x14ac:dyDescent="0.3">
      <c r="A5335" t="s">
        <v>5334</v>
      </c>
      <c r="B5335">
        <f>0*(1-0.8198)</f>
        <v>0</v>
      </c>
      <c r="C5335" s="1">
        <v>3</v>
      </c>
    </row>
    <row r="5336" spans="1:3" x14ac:dyDescent="0.3">
      <c r="A5336" t="s">
        <v>5335</v>
      </c>
      <c r="B5336">
        <f>9.59719002571429*(1-0.8198)</f>
        <v>1.7294136426337146</v>
      </c>
      <c r="C5336" s="1">
        <v>2</v>
      </c>
    </row>
    <row r="5337" spans="1:3" x14ac:dyDescent="0.3">
      <c r="A5337" t="s">
        <v>5336</v>
      </c>
      <c r="B5337">
        <f>23.2844429942857*(1-0.8198)</f>
        <v>4.1958566275702855</v>
      </c>
      <c r="C5337" s="1">
        <v>3</v>
      </c>
    </row>
    <row r="5338" spans="1:3" x14ac:dyDescent="0.3">
      <c r="A5338" t="s">
        <v>5337</v>
      </c>
      <c r="B5338">
        <f>36.26825841*(1-0.8198)</f>
        <v>6.5355401654820016</v>
      </c>
      <c r="C5338" s="1">
        <v>2</v>
      </c>
    </row>
    <row r="5339" spans="1:3" x14ac:dyDescent="0.3">
      <c r="A5339" t="s">
        <v>5338</v>
      </c>
      <c r="B5339">
        <f>46.4502577728571*(1-0.8198)</f>
        <v>8.3703364506688605</v>
      </c>
      <c r="C5339" s="1">
        <v>2</v>
      </c>
    </row>
    <row r="5340" spans="1:3" x14ac:dyDescent="0.3">
      <c r="A5340" t="s">
        <v>5339</v>
      </c>
      <c r="B5340">
        <f>53.4681069271429*(1-0.8198)</f>
        <v>9.6349528682711441</v>
      </c>
      <c r="C5340" s="1">
        <v>3</v>
      </c>
    </row>
    <row r="5341" spans="1:3" x14ac:dyDescent="0.3">
      <c r="A5341" t="s">
        <v>5340</v>
      </c>
      <c r="B5341">
        <f>57.3981184642857*(1-0.8198)</f>
        <v>10.343140947264288</v>
      </c>
      <c r="C5341" s="1">
        <v>2</v>
      </c>
    </row>
    <row r="5342" spans="1:3" x14ac:dyDescent="0.3">
      <c r="A5342" t="s">
        <v>5341</v>
      </c>
      <c r="B5342">
        <f>57.6767334628572*(1-0.8198)</f>
        <v>10.393347370006859</v>
      </c>
      <c r="C5342" s="1">
        <v>2</v>
      </c>
    </row>
    <row r="5343" spans="1:3" x14ac:dyDescent="0.3">
      <c r="A5343" t="s">
        <v>5342</v>
      </c>
      <c r="B5343">
        <f>55.3287559342857*(1-0.8198)</f>
        <v>9.9702418193582876</v>
      </c>
      <c r="C5343" s="1">
        <v>3</v>
      </c>
    </row>
    <row r="5344" spans="1:3" x14ac:dyDescent="0.3">
      <c r="A5344" t="s">
        <v>5343</v>
      </c>
      <c r="B5344">
        <f>49.6529618428571*(1-0.8198)</f>
        <v>8.9474637240828585</v>
      </c>
      <c r="C5344" s="1">
        <v>2</v>
      </c>
    </row>
    <row r="5345" spans="1:3" x14ac:dyDescent="0.3">
      <c r="A5345" t="s">
        <v>5344</v>
      </c>
      <c r="B5345">
        <f>40.06435259*(1-0.8198)</f>
        <v>7.2195963367180012</v>
      </c>
      <c r="C5345" s="1">
        <v>3</v>
      </c>
    </row>
    <row r="5346" spans="1:3" x14ac:dyDescent="0.3">
      <c r="A5346" t="s">
        <v>5345</v>
      </c>
      <c r="B5346">
        <f>27.6965879771429*(1-0.8198)</f>
        <v>4.9909251534811432</v>
      </c>
      <c r="C5346" s="1">
        <v>2</v>
      </c>
    </row>
    <row r="5347" spans="1:3" x14ac:dyDescent="0.3">
      <c r="A5347" t="s">
        <v>5346</v>
      </c>
      <c r="B5347">
        <f>13.87550058*(1-0.8198)</f>
        <v>2.500365204516001</v>
      </c>
      <c r="C5347" s="1">
        <v>2</v>
      </c>
    </row>
    <row r="5348" spans="1:3" x14ac:dyDescent="0.3">
      <c r="A5348" t="s">
        <v>5347</v>
      </c>
      <c r="B5348">
        <f>3.60747142428571*(1-0.8198)</f>
        <v>0.65006635065628593</v>
      </c>
      <c r="C5348" s="1">
        <v>3</v>
      </c>
    </row>
    <row r="5349" spans="1:3" x14ac:dyDescent="0.3">
      <c r="A5349" t="s">
        <v>5348</v>
      </c>
      <c r="B5349">
        <f>0*(1-0.8198)</f>
        <v>0</v>
      </c>
      <c r="C5349" s="1">
        <v>2</v>
      </c>
    </row>
    <row r="5350" spans="1:3" x14ac:dyDescent="0.3">
      <c r="A5350" t="s">
        <v>5349</v>
      </c>
      <c r="B5350">
        <f>0*(1-0.8198)</f>
        <v>0</v>
      </c>
      <c r="C5350" s="1">
        <v>3</v>
      </c>
    </row>
    <row r="5351" spans="1:3" x14ac:dyDescent="0.3">
      <c r="A5351" t="s">
        <v>5350</v>
      </c>
      <c r="B5351">
        <f>0*(1-0.8198)</f>
        <v>0</v>
      </c>
      <c r="C5351" s="1">
        <v>2</v>
      </c>
    </row>
    <row r="5352" spans="1:3" x14ac:dyDescent="0.3">
      <c r="A5352" t="s">
        <v>5351</v>
      </c>
      <c r="B5352">
        <f>0*(1-0.8198)</f>
        <v>0</v>
      </c>
      <c r="C5352" s="1">
        <v>3</v>
      </c>
    </row>
    <row r="5353" spans="1:3" x14ac:dyDescent="0.3">
      <c r="A5353" t="s">
        <v>5352</v>
      </c>
      <c r="B5353">
        <f>0*(1-0.8198)</f>
        <v>0</v>
      </c>
      <c r="C5353" s="1">
        <v>2</v>
      </c>
    </row>
    <row r="5354" spans="1:3" x14ac:dyDescent="0.3">
      <c r="A5354" t="s">
        <v>5353</v>
      </c>
      <c r="B5354">
        <f>0*(1-0.8198)</f>
        <v>0</v>
      </c>
      <c r="C5354" s="1">
        <v>2</v>
      </c>
    </row>
    <row r="5355" spans="1:3" x14ac:dyDescent="0.3">
      <c r="A5355" t="s">
        <v>5354</v>
      </c>
      <c r="B5355">
        <f>0*(1-0.8198)</f>
        <v>0</v>
      </c>
      <c r="C5355" s="1">
        <v>3</v>
      </c>
    </row>
    <row r="5356" spans="1:3" x14ac:dyDescent="0.3">
      <c r="A5356" t="s">
        <v>5355</v>
      </c>
      <c r="B5356">
        <f>0*(1-0.8198)</f>
        <v>0</v>
      </c>
      <c r="C5356" s="1">
        <v>2</v>
      </c>
    </row>
    <row r="5357" spans="1:3" x14ac:dyDescent="0.3">
      <c r="A5357" t="s">
        <v>5356</v>
      </c>
      <c r="B5357">
        <f>0*(1-0.8198)</f>
        <v>0</v>
      </c>
      <c r="C5357" s="1">
        <v>3</v>
      </c>
    </row>
    <row r="5358" spans="1:3" x14ac:dyDescent="0.3">
      <c r="A5358" t="s">
        <v>5357</v>
      </c>
      <c r="B5358">
        <f>0*(1-0.8198)</f>
        <v>0</v>
      </c>
      <c r="C5358" s="1">
        <v>2</v>
      </c>
    </row>
    <row r="5359" spans="1:3" x14ac:dyDescent="0.3">
      <c r="A5359" t="s">
        <v>5358</v>
      </c>
      <c r="B5359">
        <f>0*(1-0.8198)</f>
        <v>0</v>
      </c>
      <c r="C5359" s="1">
        <v>2</v>
      </c>
    </row>
    <row r="5360" spans="1:3" x14ac:dyDescent="0.3">
      <c r="A5360" t="s">
        <v>5359</v>
      </c>
      <c r="B5360">
        <f>9.24927733285714*(1-0.8198)</f>
        <v>1.6667197753808576</v>
      </c>
      <c r="C5360" s="1">
        <v>3</v>
      </c>
    </row>
    <row r="5361" spans="1:3" x14ac:dyDescent="0.3">
      <c r="A5361" t="s">
        <v>5360</v>
      </c>
      <c r="B5361">
        <f>22.7993760885714*(1-0.8198)</f>
        <v>4.108447571160573</v>
      </c>
      <c r="C5361" s="1">
        <v>2</v>
      </c>
    </row>
    <row r="5362" spans="1:3" x14ac:dyDescent="0.3">
      <c r="A5362" t="s">
        <v>5361</v>
      </c>
      <c r="B5362">
        <f>35.9824450271429*(1-0.8198)</f>
        <v>6.484036593891144</v>
      </c>
      <c r="C5362" s="1">
        <v>3</v>
      </c>
    </row>
    <row r="5363" spans="1:3" x14ac:dyDescent="0.3">
      <c r="A5363" t="s">
        <v>5362</v>
      </c>
      <c r="B5363">
        <f>46.0633086357143*(1-0.8198)</f>
        <v>8.300608216155716</v>
      </c>
      <c r="C5363" s="1">
        <v>2</v>
      </c>
    </row>
    <row r="5364" spans="1:3" x14ac:dyDescent="0.3">
      <c r="A5364" t="s">
        <v>5363</v>
      </c>
      <c r="B5364">
        <f>53.5056604242857*(1-0.8198)</f>
        <v>9.6417200084562893</v>
      </c>
      <c r="C5364" s="1">
        <v>3</v>
      </c>
    </row>
    <row r="5365" spans="1:3" x14ac:dyDescent="0.3">
      <c r="A5365" t="s">
        <v>5364</v>
      </c>
      <c r="B5365">
        <f>57.3893958528571*(1-0.8198)</f>
        <v>10.341569132684858</v>
      </c>
      <c r="C5365" s="1">
        <v>2</v>
      </c>
    </row>
    <row r="5366" spans="1:3" x14ac:dyDescent="0.3">
      <c r="A5366" t="s">
        <v>5365</v>
      </c>
      <c r="B5366">
        <f>58.1921319542857*(1-0.8198)</f>
        <v>10.486222178162292</v>
      </c>
      <c r="C5366" s="1">
        <v>3</v>
      </c>
    </row>
    <row r="5367" spans="1:3" x14ac:dyDescent="0.3">
      <c r="A5367" t="s">
        <v>5366</v>
      </c>
      <c r="B5367">
        <f>55.3032561971429*(1-0.8198)</f>
        <v>9.9656467667251452</v>
      </c>
      <c r="C5367" s="1">
        <v>2</v>
      </c>
    </row>
    <row r="5368" spans="1:3" x14ac:dyDescent="0.3">
      <c r="A5368" t="s">
        <v>5367</v>
      </c>
      <c r="B5368">
        <f>48.9870677742857*(1-0.8198)</f>
        <v>8.8274696129262864</v>
      </c>
      <c r="C5368" s="1">
        <v>2</v>
      </c>
    </row>
    <row r="5369" spans="1:3" x14ac:dyDescent="0.3">
      <c r="A5369" t="s">
        <v>5368</v>
      </c>
      <c r="B5369">
        <f>39.2384491328571*(1-0.8198)</f>
        <v>7.0707685337408588</v>
      </c>
      <c r="C5369" s="1">
        <v>3</v>
      </c>
    </row>
    <row r="5370" spans="1:3" x14ac:dyDescent="0.3">
      <c r="A5370" t="s">
        <v>5369</v>
      </c>
      <c r="B5370">
        <f>26.5203519714286*(1-0.8198)</f>
        <v>4.7789674252514294</v>
      </c>
      <c r="C5370" s="1">
        <v>2</v>
      </c>
    </row>
    <row r="5371" spans="1:3" x14ac:dyDescent="0.3">
      <c r="A5371" t="s">
        <v>5370</v>
      </c>
      <c r="B5371">
        <f>12.6689264771429*(1-0.8198)</f>
        <v>2.2829405511811434</v>
      </c>
      <c r="C5371" s="1">
        <v>2</v>
      </c>
    </row>
    <row r="5372" spans="1:3" x14ac:dyDescent="0.3">
      <c r="A5372" t="s">
        <v>5371</v>
      </c>
      <c r="B5372">
        <f>1.25138919428571*(1-0.8198)</f>
        <v>0.22550033281028578</v>
      </c>
      <c r="C5372" s="1">
        <v>3</v>
      </c>
    </row>
    <row r="5373" spans="1:3" x14ac:dyDescent="0.3">
      <c r="A5373" t="s">
        <v>5372</v>
      </c>
      <c r="B5373">
        <f>0*(1-0.8198)</f>
        <v>0</v>
      </c>
      <c r="C5373" s="1">
        <v>2</v>
      </c>
    </row>
    <row r="5374" spans="1:3" x14ac:dyDescent="0.3">
      <c r="A5374" t="s">
        <v>5373</v>
      </c>
      <c r="B5374">
        <f>0*(1-0.8198)</f>
        <v>0</v>
      </c>
      <c r="C5374" s="1">
        <v>3</v>
      </c>
    </row>
    <row r="5375" spans="1:3" x14ac:dyDescent="0.3">
      <c r="A5375" t="s">
        <v>5374</v>
      </c>
      <c r="B5375">
        <f>0*(1-0.8198)</f>
        <v>0</v>
      </c>
      <c r="C5375" s="1">
        <v>2</v>
      </c>
    </row>
    <row r="5376" spans="1:3" x14ac:dyDescent="0.3">
      <c r="A5376" t="s">
        <v>5375</v>
      </c>
      <c r="B5376">
        <f>0*(1-0.8198)</f>
        <v>0</v>
      </c>
      <c r="C5376" s="1">
        <v>2</v>
      </c>
    </row>
    <row r="5377" spans="1:3" x14ac:dyDescent="0.3">
      <c r="A5377" t="s">
        <v>5376</v>
      </c>
      <c r="B5377">
        <f>0*(1-0.8198)</f>
        <v>0</v>
      </c>
      <c r="C5377" s="1">
        <v>3</v>
      </c>
    </row>
    <row r="5378" spans="1:3" x14ac:dyDescent="0.3">
      <c r="A5378" t="s">
        <v>5377</v>
      </c>
      <c r="B5378">
        <f>0*(1-0.8198)</f>
        <v>0</v>
      </c>
      <c r="C5378" s="1">
        <v>2</v>
      </c>
    </row>
    <row r="5379" spans="1:3" x14ac:dyDescent="0.3">
      <c r="A5379" t="s">
        <v>5378</v>
      </c>
      <c r="B5379">
        <f>0*(1-0.8198)</f>
        <v>0</v>
      </c>
      <c r="C5379" s="1">
        <v>3</v>
      </c>
    </row>
    <row r="5380" spans="1:3" x14ac:dyDescent="0.3">
      <c r="A5380" t="s">
        <v>5379</v>
      </c>
      <c r="B5380">
        <f>0*(1-0.8198)</f>
        <v>0</v>
      </c>
      <c r="C5380" s="1">
        <v>2</v>
      </c>
    </row>
    <row r="5381" spans="1:3" x14ac:dyDescent="0.3">
      <c r="A5381" t="s">
        <v>5380</v>
      </c>
      <c r="B5381">
        <f>0*(1-0.8198)</f>
        <v>0</v>
      </c>
      <c r="C5381" s="1">
        <v>3</v>
      </c>
    </row>
    <row r="5382" spans="1:3" x14ac:dyDescent="0.3">
      <c r="A5382" t="s">
        <v>5381</v>
      </c>
      <c r="B5382">
        <f>0*(1-0.8198)</f>
        <v>0</v>
      </c>
      <c r="C5382" s="1">
        <v>2</v>
      </c>
    </row>
    <row r="5383" spans="1:3" x14ac:dyDescent="0.3">
      <c r="A5383" t="s">
        <v>5382</v>
      </c>
      <c r="B5383">
        <f>0*(1-0.8198)</f>
        <v>0</v>
      </c>
      <c r="C5383" s="1">
        <v>2</v>
      </c>
    </row>
    <row r="5384" spans="1:3" x14ac:dyDescent="0.3">
      <c r="A5384" t="s">
        <v>5383</v>
      </c>
      <c r="B5384">
        <f>8.65443210285714*(1-0.8198)</f>
        <v>1.5595286649348574</v>
      </c>
      <c r="C5384" s="1">
        <v>3</v>
      </c>
    </row>
    <row r="5385" spans="1:3" x14ac:dyDescent="0.3">
      <c r="A5385" t="s">
        <v>5384</v>
      </c>
      <c r="B5385">
        <f>21.9123374428571*(1-0.8198)</f>
        <v>3.9486032072028578</v>
      </c>
      <c r="C5385" s="1">
        <v>2</v>
      </c>
    </row>
    <row r="5386" spans="1:3" x14ac:dyDescent="0.3">
      <c r="A5386" t="s">
        <v>5385</v>
      </c>
      <c r="B5386">
        <f>35.1639082685714*(1-0.8198)</f>
        <v>6.3365362699965733</v>
      </c>
      <c r="C5386" s="1">
        <v>3</v>
      </c>
    </row>
    <row r="5387" spans="1:3" x14ac:dyDescent="0.3">
      <c r="A5387" t="s">
        <v>5386</v>
      </c>
      <c r="B5387">
        <f>45.24988513*(1-0.8198)</f>
        <v>8.1540293004260018</v>
      </c>
      <c r="C5387" s="1">
        <v>2</v>
      </c>
    </row>
    <row r="5388" spans="1:3" x14ac:dyDescent="0.3">
      <c r="A5388" t="s">
        <v>5387</v>
      </c>
      <c r="B5388">
        <f>45.2143166357143*(1-0.8198)</f>
        <v>8.147619857755716</v>
      </c>
      <c r="C5388" s="1">
        <v>2</v>
      </c>
    </row>
    <row r="5389" spans="1:3" x14ac:dyDescent="0.3">
      <c r="A5389" t="s">
        <v>5388</v>
      </c>
      <c r="B5389">
        <f>56.7820767528571*(1-0.8198)</f>
        <v>10.232130230864858</v>
      </c>
      <c r="C5389" s="1">
        <v>3</v>
      </c>
    </row>
    <row r="5390" spans="1:3" x14ac:dyDescent="0.3">
      <c r="A5390" t="s">
        <v>5389</v>
      </c>
      <c r="B5390">
        <f>57.68996788*(1-0.8198)</f>
        <v>10.395732211976004</v>
      </c>
      <c r="C5390" s="1">
        <v>2</v>
      </c>
    </row>
    <row r="5391" spans="1:3" x14ac:dyDescent="0.3">
      <c r="A5391" t="s">
        <v>5390</v>
      </c>
      <c r="B5391">
        <f>55.2213312457143*(1-0.8198)</f>
        <v>9.9508838904777157</v>
      </c>
      <c r="C5391" s="1">
        <v>2</v>
      </c>
    </row>
    <row r="5392" spans="1:3" x14ac:dyDescent="0.3">
      <c r="A5392" t="s">
        <v>5391</v>
      </c>
      <c r="B5392">
        <f>48.7937752185714*(1-0.8198)</f>
        <v>8.792638294386574</v>
      </c>
      <c r="C5392" s="1">
        <v>3</v>
      </c>
    </row>
    <row r="5393" spans="1:3" x14ac:dyDescent="0.3">
      <c r="A5393" t="s">
        <v>5392</v>
      </c>
      <c r="B5393">
        <f>39.3759237571429*(1-0.8198)</f>
        <v>7.0955414610371443</v>
      </c>
      <c r="C5393" s="1">
        <v>2</v>
      </c>
    </row>
    <row r="5394" spans="1:3" x14ac:dyDescent="0.3">
      <c r="A5394" t="s">
        <v>5393</v>
      </c>
      <c r="B5394">
        <f>27.0154896*(1-0.8198)</f>
        <v>4.8681912259200022</v>
      </c>
      <c r="C5394" s="1">
        <v>3</v>
      </c>
    </row>
    <row r="5395" spans="1:3" x14ac:dyDescent="0.3">
      <c r="A5395" t="s">
        <v>5394</v>
      </c>
      <c r="B5395">
        <f>13.2628212228571*(1-0.8198)</f>
        <v>2.3899603843588579</v>
      </c>
      <c r="C5395" s="1">
        <v>2</v>
      </c>
    </row>
    <row r="5396" spans="1:3" x14ac:dyDescent="0.3">
      <c r="A5396" t="s">
        <v>5395</v>
      </c>
      <c r="B5396">
        <f>3.22645008285714*(1-0.8198)</f>
        <v>0.58140630493085732</v>
      </c>
      <c r="C5396" s="1">
        <v>3</v>
      </c>
    </row>
    <row r="5397" spans="1:3" x14ac:dyDescent="0.3">
      <c r="A5397" t="s">
        <v>5396</v>
      </c>
      <c r="B5397">
        <f>0*(1-0.8198)</f>
        <v>0</v>
      </c>
      <c r="C5397" s="1">
        <v>2</v>
      </c>
    </row>
    <row r="5398" spans="1:3" x14ac:dyDescent="0.3">
      <c r="A5398" t="s">
        <v>5397</v>
      </c>
      <c r="B5398">
        <f>0*(1-0.8198)</f>
        <v>0</v>
      </c>
      <c r="C5398" s="1">
        <v>3</v>
      </c>
    </row>
    <row r="5399" spans="1:3" x14ac:dyDescent="0.3">
      <c r="A5399" t="s">
        <v>5398</v>
      </c>
      <c r="B5399">
        <f>0*(1-0.8198)</f>
        <v>0</v>
      </c>
      <c r="C5399" s="1">
        <v>2</v>
      </c>
    </row>
    <row r="5400" spans="1:3" x14ac:dyDescent="0.3">
      <c r="A5400" t="s">
        <v>5399</v>
      </c>
      <c r="B5400">
        <f>0*(1-0.8198)</f>
        <v>0</v>
      </c>
      <c r="C5400" s="1">
        <v>2</v>
      </c>
    </row>
    <row r="5401" spans="1:3" x14ac:dyDescent="0.3">
      <c r="A5401" t="s">
        <v>5400</v>
      </c>
      <c r="B5401">
        <f>0*(1-0.8198)</f>
        <v>0</v>
      </c>
      <c r="C5401" s="1">
        <v>3</v>
      </c>
    </row>
    <row r="5402" spans="1:3" x14ac:dyDescent="0.3">
      <c r="A5402" t="s">
        <v>5401</v>
      </c>
      <c r="B5402">
        <f>0*(1-0.8198)</f>
        <v>0</v>
      </c>
      <c r="C5402" s="1">
        <v>3</v>
      </c>
    </row>
    <row r="5403" spans="1:3" x14ac:dyDescent="0.3">
      <c r="A5403" t="s">
        <v>5402</v>
      </c>
      <c r="B5403">
        <f>0*(1-0.8198)</f>
        <v>0</v>
      </c>
      <c r="C5403" s="1">
        <v>2</v>
      </c>
    </row>
    <row r="5404" spans="1:3" x14ac:dyDescent="0.3">
      <c r="A5404" t="s">
        <v>5403</v>
      </c>
      <c r="B5404">
        <f>0*(1-0.8198)</f>
        <v>0</v>
      </c>
      <c r="C5404" s="1">
        <v>2</v>
      </c>
    </row>
    <row r="5405" spans="1:3" x14ac:dyDescent="0.3">
      <c r="A5405" t="s">
        <v>5404</v>
      </c>
      <c r="B5405">
        <f>0*(1-0.8198)</f>
        <v>0</v>
      </c>
      <c r="C5405" s="1">
        <v>2</v>
      </c>
    </row>
    <row r="5406" spans="1:3" x14ac:dyDescent="0.3">
      <c r="A5406" t="s">
        <v>5405</v>
      </c>
      <c r="B5406">
        <f>0*(1-0.8198)</f>
        <v>0</v>
      </c>
      <c r="C5406" s="1">
        <v>3</v>
      </c>
    </row>
    <row r="5407" spans="1:3" x14ac:dyDescent="0.3">
      <c r="A5407" t="s">
        <v>5406</v>
      </c>
      <c r="B5407">
        <f>0*(1-0.8198)</f>
        <v>0</v>
      </c>
      <c r="C5407" s="1">
        <v>3</v>
      </c>
    </row>
    <row r="5408" spans="1:3" x14ac:dyDescent="0.3">
      <c r="A5408" t="s">
        <v>5407</v>
      </c>
      <c r="B5408">
        <f>8.84905366571429*(1-0.8198)</f>
        <v>1.5945994705617144</v>
      </c>
      <c r="C5408" s="1">
        <v>2</v>
      </c>
    </row>
    <row r="5409" spans="1:3" x14ac:dyDescent="0.3">
      <c r="A5409" t="s">
        <v>5408</v>
      </c>
      <c r="B5409">
        <f>22.2614466414286*(1-0.8198)</f>
        <v>4.0115126847854299</v>
      </c>
      <c r="C5409" s="1">
        <v>2</v>
      </c>
    </row>
    <row r="5410" spans="1:3" x14ac:dyDescent="0.3">
      <c r="A5410" t="s">
        <v>5409</v>
      </c>
      <c r="B5410">
        <f>35.1490426157143*(1-0.8198)</f>
        <v>6.3338574793517157</v>
      </c>
      <c r="C5410" s="1">
        <v>3</v>
      </c>
    </row>
    <row r="5411" spans="1:3" x14ac:dyDescent="0.3">
      <c r="A5411" t="s">
        <v>5410</v>
      </c>
      <c r="B5411">
        <f>45.40028752*(1-0.8198)</f>
        <v>8.1811318111040023</v>
      </c>
      <c r="C5411" s="1">
        <v>2</v>
      </c>
    </row>
    <row r="5412" spans="1:3" x14ac:dyDescent="0.3">
      <c r="A5412" t="s">
        <v>5411</v>
      </c>
      <c r="B5412">
        <f>53.0730012428571*(1-0.8198)</f>
        <v>9.5637548239628583</v>
      </c>
      <c r="C5412" s="1">
        <v>2</v>
      </c>
    </row>
    <row r="5413" spans="1:3" x14ac:dyDescent="0.3">
      <c r="A5413" t="s">
        <v>5412</v>
      </c>
      <c r="B5413">
        <f>57.5539768785714*(1-0.8198)</f>
        <v>10.371226633518575</v>
      </c>
      <c r="C5413" s="1">
        <v>2</v>
      </c>
    </row>
    <row r="5414" spans="1:3" x14ac:dyDescent="0.3">
      <c r="A5414" t="s">
        <v>5413</v>
      </c>
      <c r="B5414">
        <f>57.90565889*(1-0.8198)</f>
        <v>10.434599731978002</v>
      </c>
      <c r="C5414" s="1">
        <v>3</v>
      </c>
    </row>
    <row r="5415" spans="1:3" x14ac:dyDescent="0.3">
      <c r="A5415" t="s">
        <v>5414</v>
      </c>
      <c r="B5415">
        <f>55.34219841*(1-0.8198)</f>
        <v>9.9726641534820022</v>
      </c>
      <c r="C5415" s="1">
        <v>2</v>
      </c>
    </row>
    <row r="5416" spans="1:3" x14ac:dyDescent="0.3">
      <c r="A5416" t="s">
        <v>5415</v>
      </c>
      <c r="B5416">
        <f>48.4071791114286*(1-0.8198)</f>
        <v>8.7229736758794285</v>
      </c>
      <c r="C5416" s="1">
        <v>3</v>
      </c>
    </row>
    <row r="5417" spans="1:3" x14ac:dyDescent="0.3">
      <c r="A5417" t="s">
        <v>5416</v>
      </c>
      <c r="B5417">
        <f>39.5444739285714*(1-0.8198)</f>
        <v>7.1259142019285724</v>
      </c>
      <c r="C5417" s="1">
        <v>2</v>
      </c>
    </row>
    <row r="5418" spans="1:3" x14ac:dyDescent="0.3">
      <c r="A5418" t="s">
        <v>5417</v>
      </c>
      <c r="B5418">
        <f>26.87612316*(1-0.8198)</f>
        <v>4.8430773934320008</v>
      </c>
      <c r="C5418" s="1">
        <v>2</v>
      </c>
    </row>
    <row r="5419" spans="1:3" x14ac:dyDescent="0.3">
      <c r="A5419" t="s">
        <v>5418</v>
      </c>
      <c r="B5419">
        <f>13.1056215771429*(1-0.8198)</f>
        <v>2.3616330082011436</v>
      </c>
      <c r="C5419" s="1">
        <v>3</v>
      </c>
    </row>
    <row r="5420" spans="1:3" x14ac:dyDescent="0.3">
      <c r="A5420" t="s">
        <v>5419</v>
      </c>
      <c r="B5420">
        <f>3.09163193714286*(1-0.8198)</f>
        <v>0.55711207507314298</v>
      </c>
      <c r="C5420" s="1">
        <v>3</v>
      </c>
    </row>
    <row r="5421" spans="1:3" x14ac:dyDescent="0.3">
      <c r="A5421" t="s">
        <v>5420</v>
      </c>
      <c r="B5421">
        <f>0*(1-0.8198)</f>
        <v>0</v>
      </c>
      <c r="C5421" s="1">
        <v>2</v>
      </c>
    </row>
    <row r="5422" spans="1:3" x14ac:dyDescent="0.3">
      <c r="A5422" t="s">
        <v>5421</v>
      </c>
      <c r="B5422">
        <f>0*(1-0.8198)</f>
        <v>0</v>
      </c>
      <c r="C5422" s="1">
        <v>2</v>
      </c>
    </row>
    <row r="5423" spans="1:3" x14ac:dyDescent="0.3">
      <c r="A5423" t="s">
        <v>5422</v>
      </c>
      <c r="B5423">
        <f>0*(1-0.8198)</f>
        <v>0</v>
      </c>
      <c r="C5423" s="1">
        <v>3</v>
      </c>
    </row>
    <row r="5424" spans="1:3" x14ac:dyDescent="0.3">
      <c r="A5424" t="s">
        <v>5423</v>
      </c>
      <c r="B5424">
        <f>0*(1-0.8198)</f>
        <v>0</v>
      </c>
      <c r="C5424" s="1">
        <v>2</v>
      </c>
    </row>
    <row r="5425" spans="1:3" x14ac:dyDescent="0.3">
      <c r="A5425" t="s">
        <v>5424</v>
      </c>
      <c r="B5425">
        <f>0*(1-0.8198)</f>
        <v>0</v>
      </c>
      <c r="C5425" s="1">
        <v>3</v>
      </c>
    </row>
    <row r="5426" spans="1:3" x14ac:dyDescent="0.3">
      <c r="A5426" t="s">
        <v>5425</v>
      </c>
      <c r="B5426">
        <f>0*(1-0.8198)</f>
        <v>0</v>
      </c>
      <c r="C5426" s="1">
        <v>2</v>
      </c>
    </row>
    <row r="5427" spans="1:3" x14ac:dyDescent="0.3">
      <c r="A5427" t="s">
        <v>5426</v>
      </c>
      <c r="B5427">
        <f>0*(1-0.8198)</f>
        <v>0</v>
      </c>
      <c r="C5427" s="1">
        <v>2</v>
      </c>
    </row>
    <row r="5428" spans="1:3" x14ac:dyDescent="0.3">
      <c r="A5428" t="s">
        <v>5427</v>
      </c>
      <c r="B5428">
        <f>0*(1-0.8198)</f>
        <v>0</v>
      </c>
      <c r="C5428" s="1">
        <v>3</v>
      </c>
    </row>
    <row r="5429" spans="1:3" x14ac:dyDescent="0.3">
      <c r="A5429" t="s">
        <v>5428</v>
      </c>
      <c r="B5429">
        <f>0*(1-0.8198)</f>
        <v>0</v>
      </c>
      <c r="C5429" s="1">
        <v>2</v>
      </c>
    </row>
    <row r="5430" spans="1:3" x14ac:dyDescent="0.3">
      <c r="A5430" t="s">
        <v>5429</v>
      </c>
      <c r="B5430">
        <f>0*(1-0.8198)</f>
        <v>0</v>
      </c>
      <c r="C5430" s="1">
        <v>2</v>
      </c>
    </row>
    <row r="5431" spans="1:3" x14ac:dyDescent="0.3">
      <c r="A5431" t="s">
        <v>5430</v>
      </c>
      <c r="B5431">
        <f>0*(1-0.8198)</f>
        <v>0</v>
      </c>
      <c r="C5431" s="1">
        <v>3</v>
      </c>
    </row>
    <row r="5432" spans="1:3" x14ac:dyDescent="0.3">
      <c r="A5432" t="s">
        <v>5431</v>
      </c>
      <c r="B5432">
        <f>5.28599933714286*(1-0.8198)</f>
        <v>0.95253708055314301</v>
      </c>
      <c r="C5432" s="1">
        <v>2</v>
      </c>
    </row>
    <row r="5433" spans="1:3" x14ac:dyDescent="0.3">
      <c r="A5433" t="s">
        <v>5432</v>
      </c>
      <c r="B5433">
        <f>21.6273752757143*(1-0.8198)</f>
        <v>3.8972530246837156</v>
      </c>
      <c r="C5433" s="1">
        <v>2</v>
      </c>
    </row>
    <row r="5434" spans="1:3" x14ac:dyDescent="0.3">
      <c r="A5434" t="s">
        <v>5433</v>
      </c>
      <c r="B5434">
        <f>36.0504524142857*(1-0.8198)</f>
        <v>6.4962915250542865</v>
      </c>
      <c r="C5434" s="1">
        <v>3</v>
      </c>
    </row>
    <row r="5435" spans="1:3" x14ac:dyDescent="0.3">
      <c r="A5435" t="s">
        <v>5434</v>
      </c>
      <c r="B5435">
        <f>43.3320419457143*(1-0.8198)</f>
        <v>7.8084339586177149</v>
      </c>
      <c r="C5435" s="1">
        <v>2</v>
      </c>
    </row>
    <row r="5436" spans="1:3" x14ac:dyDescent="0.3">
      <c r="A5436" t="s">
        <v>5435</v>
      </c>
      <c r="B5436">
        <f>51.8537022114286*(1-0.8198)</f>
        <v>9.3440371384994307</v>
      </c>
      <c r="C5436" s="1">
        <v>2</v>
      </c>
    </row>
    <row r="5437" spans="1:3" x14ac:dyDescent="0.3">
      <c r="A5437" t="s">
        <v>5436</v>
      </c>
      <c r="B5437">
        <f>55.8968793671429*(1-0.8198)</f>
        <v>10.072617661959146</v>
      </c>
      <c r="C5437" s="1">
        <v>3</v>
      </c>
    </row>
    <row r="5438" spans="1:3" x14ac:dyDescent="0.3">
      <c r="A5438" t="s">
        <v>5437</v>
      </c>
      <c r="B5438">
        <f>57.9390160171429*(1-0.8198)</f>
        <v>10.440610686289146</v>
      </c>
      <c r="C5438" s="1">
        <v>2</v>
      </c>
    </row>
    <row r="5439" spans="1:3" x14ac:dyDescent="0.3">
      <c r="A5439" t="s">
        <v>5438</v>
      </c>
      <c r="B5439">
        <f>55.3944153371429*(1-0.8198)</f>
        <v>9.9820736437531465</v>
      </c>
      <c r="C5439" s="1">
        <v>2</v>
      </c>
    </row>
    <row r="5440" spans="1:3" x14ac:dyDescent="0.3">
      <c r="A5440" t="s">
        <v>5439</v>
      </c>
      <c r="B5440">
        <f>44.0885026142857*(1-0.8198)</f>
        <v>7.9447481710942887</v>
      </c>
      <c r="C5440" s="1">
        <v>3</v>
      </c>
    </row>
    <row r="5441" spans="1:3" x14ac:dyDescent="0.3">
      <c r="A5441" t="s">
        <v>5440</v>
      </c>
      <c r="B5441">
        <f>39.2597550185714*(1-0.8198)</f>
        <v>7.0746078543465716</v>
      </c>
      <c r="C5441" s="1">
        <v>2</v>
      </c>
    </row>
    <row r="5442" spans="1:3" x14ac:dyDescent="0.3">
      <c r="A5442" t="s">
        <v>5441</v>
      </c>
      <c r="B5442">
        <f>26.8614972014286*(1-0.8198)</f>
        <v>4.8404417956974299</v>
      </c>
      <c r="C5442" s="1">
        <v>2</v>
      </c>
    </row>
    <row r="5443" spans="1:3" x14ac:dyDescent="0.3">
      <c r="A5443" t="s">
        <v>5442</v>
      </c>
      <c r="B5443">
        <f>12.9113322814286*(1-0.8198)</f>
        <v>2.3266220771134294</v>
      </c>
      <c r="C5443" s="1">
        <v>3</v>
      </c>
    </row>
    <row r="5444" spans="1:3" x14ac:dyDescent="0.3">
      <c r="A5444" t="s">
        <v>5443</v>
      </c>
      <c r="B5444">
        <f>3.09920061285714*(1-0.8198)</f>
        <v>0.55847595043685727</v>
      </c>
      <c r="C5444" s="1">
        <v>2</v>
      </c>
    </row>
    <row r="5445" spans="1:3" x14ac:dyDescent="0.3">
      <c r="A5445" t="s">
        <v>5444</v>
      </c>
      <c r="B5445">
        <f>0*(1-0.8198)</f>
        <v>0</v>
      </c>
      <c r="C5445" s="1">
        <v>2</v>
      </c>
    </row>
    <row r="5446" spans="1:3" x14ac:dyDescent="0.3">
      <c r="A5446" t="s">
        <v>5445</v>
      </c>
      <c r="B5446">
        <f>0*(1-0.8198)</f>
        <v>0</v>
      </c>
      <c r="C5446" s="1">
        <v>3</v>
      </c>
    </row>
    <row r="5447" spans="1:3" x14ac:dyDescent="0.3">
      <c r="A5447" t="s">
        <v>5446</v>
      </c>
      <c r="B5447">
        <f>0*(1-0.8198)</f>
        <v>0</v>
      </c>
      <c r="C5447" s="1">
        <v>2</v>
      </c>
    </row>
    <row r="5448" spans="1:3" x14ac:dyDescent="0.3">
      <c r="A5448" t="s">
        <v>5447</v>
      </c>
      <c r="B5448">
        <f>0*(1-0.8198)</f>
        <v>0</v>
      </c>
      <c r="C5448" s="1">
        <v>3</v>
      </c>
    </row>
    <row r="5449" spans="1:3" x14ac:dyDescent="0.3">
      <c r="A5449" t="s">
        <v>5448</v>
      </c>
      <c r="B5449">
        <f>0*(1-0.8198)</f>
        <v>0</v>
      </c>
      <c r="C5449" s="1">
        <v>2</v>
      </c>
    </row>
    <row r="5450" spans="1:3" x14ac:dyDescent="0.3">
      <c r="A5450" t="s">
        <v>5449</v>
      </c>
      <c r="B5450">
        <f>0*(1-0.8198)</f>
        <v>0</v>
      </c>
      <c r="C5450" s="1">
        <v>2</v>
      </c>
    </row>
    <row r="5451" spans="1:3" x14ac:dyDescent="0.3">
      <c r="A5451" t="s">
        <v>5450</v>
      </c>
      <c r="B5451">
        <f>0*(1-0.8198)</f>
        <v>0</v>
      </c>
      <c r="C5451" s="1">
        <v>2</v>
      </c>
    </row>
    <row r="5452" spans="1:3" x14ac:dyDescent="0.3">
      <c r="A5452" t="s">
        <v>5451</v>
      </c>
      <c r="B5452">
        <f>0*(1-0.8198)</f>
        <v>0</v>
      </c>
      <c r="C5452" s="1">
        <v>3</v>
      </c>
    </row>
    <row r="5453" spans="1:3" x14ac:dyDescent="0.3">
      <c r="A5453" t="s">
        <v>5452</v>
      </c>
      <c r="B5453">
        <f>0*(1-0.8198)</f>
        <v>0</v>
      </c>
      <c r="C5453" s="1">
        <v>2</v>
      </c>
    </row>
    <row r="5454" spans="1:3" x14ac:dyDescent="0.3">
      <c r="A5454" t="s">
        <v>5453</v>
      </c>
      <c r="B5454">
        <f>0*(1-0.8198)</f>
        <v>0</v>
      </c>
      <c r="C5454" s="1">
        <v>2</v>
      </c>
    </row>
    <row r="5455" spans="1:3" x14ac:dyDescent="0.3">
      <c r="A5455" t="s">
        <v>5454</v>
      </c>
      <c r="B5455">
        <f>0*(1-0.8198)</f>
        <v>0</v>
      </c>
      <c r="C5455" s="1">
        <v>3</v>
      </c>
    </row>
    <row r="5456" spans="1:3" x14ac:dyDescent="0.3">
      <c r="A5456" t="s">
        <v>5455</v>
      </c>
      <c r="B5456">
        <f>7.71231893428572*(1-0.8198)</f>
        <v>1.389759871958286</v>
      </c>
      <c r="C5456" s="1">
        <v>2</v>
      </c>
    </row>
    <row r="5457" spans="1:3" x14ac:dyDescent="0.3">
      <c r="A5457" t="s">
        <v>5456</v>
      </c>
      <c r="B5457">
        <f>19.43962404*(1-0.8198)</f>
        <v>3.5030202520080009</v>
      </c>
      <c r="C5457" s="1">
        <v>2</v>
      </c>
    </row>
    <row r="5458" spans="1:3" x14ac:dyDescent="0.3">
      <c r="A5458" t="s">
        <v>5457</v>
      </c>
      <c r="B5458">
        <f>25.7119227928571*(1-0.8198)</f>
        <v>4.6332884872728579</v>
      </c>
      <c r="C5458" s="1">
        <v>2</v>
      </c>
    </row>
    <row r="5459" spans="1:3" x14ac:dyDescent="0.3">
      <c r="A5459" t="s">
        <v>5458</v>
      </c>
      <c r="B5459">
        <f>40.7407354028571*(1-0.8198)</f>
        <v>7.3414805195948576</v>
      </c>
      <c r="C5459" s="1">
        <v>2</v>
      </c>
    </row>
    <row r="5460" spans="1:3" x14ac:dyDescent="0.3">
      <c r="A5460" t="s">
        <v>5459</v>
      </c>
      <c r="B5460">
        <f>12.99374*(1-0.8198)</f>
        <v>2.3414719480000006</v>
      </c>
      <c r="C5460" s="1">
        <v>3</v>
      </c>
    </row>
    <row r="5461" spans="1:3" x14ac:dyDescent="0.3">
      <c r="A5461" t="s">
        <v>5460</v>
      </c>
      <c r="B5461">
        <f>17.12604*(1-0.8198)</f>
        <v>3.0861124080000004</v>
      </c>
      <c r="C5461" s="1">
        <v>2</v>
      </c>
    </row>
    <row r="5462" spans="1:3" x14ac:dyDescent="0.3">
      <c r="A5462" t="s">
        <v>5461</v>
      </c>
      <c r="B5462">
        <f>28.0149791428571*(1-0.8198)</f>
        <v>5.0482992415428578</v>
      </c>
      <c r="C5462" s="1">
        <v>2</v>
      </c>
    </row>
    <row r="5463" spans="1:3" x14ac:dyDescent="0.3">
      <c r="A5463" t="s">
        <v>5462</v>
      </c>
      <c r="B5463">
        <f>29.9021030657143*(1-0.8198)</f>
        <v>5.3883589724417149</v>
      </c>
      <c r="C5463" s="1">
        <v>3</v>
      </c>
    </row>
    <row r="5464" spans="1:3" x14ac:dyDescent="0.3">
      <c r="A5464" t="s">
        <v>5463</v>
      </c>
      <c r="B5464">
        <f>38.5967835985714*(1-0.8198)</f>
        <v>6.955140404462572</v>
      </c>
      <c r="C5464" s="1">
        <v>2</v>
      </c>
    </row>
    <row r="5465" spans="1:3" x14ac:dyDescent="0.3">
      <c r="A5465" t="s">
        <v>5464</v>
      </c>
      <c r="B5465">
        <f>37.8920637242857*(1-0.8198)</f>
        <v>6.8281498831162866</v>
      </c>
      <c r="C5465" s="1">
        <v>2</v>
      </c>
    </row>
    <row r="5466" spans="1:3" x14ac:dyDescent="0.3">
      <c r="A5466" t="s">
        <v>5465</v>
      </c>
      <c r="B5466">
        <f>26.0470365357143*(1-0.8198)</f>
        <v>4.6936759837357149</v>
      </c>
      <c r="C5466" s="1">
        <v>3</v>
      </c>
    </row>
    <row r="5467" spans="1:3" x14ac:dyDescent="0.3">
      <c r="A5467" t="s">
        <v>5466</v>
      </c>
      <c r="B5467">
        <f>9.58421852285714*(1-0.8198)</f>
        <v>1.7270761778188577</v>
      </c>
      <c r="C5467" s="1">
        <v>2</v>
      </c>
    </row>
    <row r="5468" spans="1:3" x14ac:dyDescent="0.3">
      <c r="A5468" t="s">
        <v>5467</v>
      </c>
      <c r="B5468">
        <f>2.06749504*(1-0.8198)</f>
        <v>0.37256260620800008</v>
      </c>
      <c r="C5468" s="1">
        <v>2</v>
      </c>
    </row>
    <row r="5469" spans="1:3" x14ac:dyDescent="0.3">
      <c r="A5469" t="s">
        <v>5468</v>
      </c>
      <c r="B5469">
        <f>0*(1-0.8198)</f>
        <v>0</v>
      </c>
      <c r="C5469" s="1">
        <v>3</v>
      </c>
    </row>
    <row r="5470" spans="1:3" x14ac:dyDescent="0.3">
      <c r="A5470" t="s">
        <v>5469</v>
      </c>
      <c r="B5470">
        <f>0*(1-0.8198)</f>
        <v>0</v>
      </c>
      <c r="C5470" s="1">
        <v>2</v>
      </c>
    </row>
    <row r="5471" spans="1:3" x14ac:dyDescent="0.3">
      <c r="A5471" t="s">
        <v>5470</v>
      </c>
      <c r="B5471">
        <f>0*(1-0.8198)</f>
        <v>0</v>
      </c>
      <c r="C5471" s="1">
        <v>2</v>
      </c>
    </row>
    <row r="5472" spans="1:3" x14ac:dyDescent="0.3">
      <c r="A5472" t="s">
        <v>5471</v>
      </c>
      <c r="B5472">
        <f>0*(1-0.8198)</f>
        <v>0</v>
      </c>
      <c r="C5472" s="1">
        <v>3</v>
      </c>
    </row>
    <row r="5473" spans="1:3" x14ac:dyDescent="0.3">
      <c r="A5473" t="s">
        <v>5472</v>
      </c>
      <c r="B5473">
        <f>0*(1-0.8198)</f>
        <v>0</v>
      </c>
      <c r="C5473" s="1">
        <v>2</v>
      </c>
    </row>
    <row r="5474" spans="1:3" x14ac:dyDescent="0.3">
      <c r="A5474" t="s">
        <v>5473</v>
      </c>
      <c r="B5474">
        <f>0*(1-0.8198)</f>
        <v>0</v>
      </c>
      <c r="C5474" s="1">
        <v>2</v>
      </c>
    </row>
    <row r="5475" spans="1:3" x14ac:dyDescent="0.3">
      <c r="A5475" t="s">
        <v>5474</v>
      </c>
      <c r="B5475">
        <f>0*(1-0.8198)</f>
        <v>0</v>
      </c>
      <c r="C5475" s="1">
        <v>2</v>
      </c>
    </row>
    <row r="5476" spans="1:3" x14ac:dyDescent="0.3">
      <c r="A5476" t="s">
        <v>5475</v>
      </c>
      <c r="B5476">
        <f>0*(1-0.8198)</f>
        <v>0</v>
      </c>
      <c r="C5476" s="1">
        <v>3</v>
      </c>
    </row>
    <row r="5477" spans="1:3" x14ac:dyDescent="0.3">
      <c r="A5477" t="s">
        <v>5476</v>
      </c>
      <c r="B5477">
        <f>0*(1-0.8198)</f>
        <v>0</v>
      </c>
      <c r="C5477" s="1">
        <v>2</v>
      </c>
    </row>
    <row r="5478" spans="1:3" x14ac:dyDescent="0.3">
      <c r="A5478" t="s">
        <v>5477</v>
      </c>
      <c r="B5478">
        <f>0*(1-0.8198)</f>
        <v>0</v>
      </c>
      <c r="C5478" s="1">
        <v>2</v>
      </c>
    </row>
    <row r="5479" spans="1:3" x14ac:dyDescent="0.3">
      <c r="A5479" t="s">
        <v>5478</v>
      </c>
      <c r="B5479">
        <f>0*(1-0.8198)</f>
        <v>0</v>
      </c>
      <c r="C5479" s="1">
        <v>3</v>
      </c>
    </row>
    <row r="5480" spans="1:3" x14ac:dyDescent="0.3">
      <c r="A5480" t="s">
        <v>5479</v>
      </c>
      <c r="B5480">
        <f>8.17036107714286*(1-0.8198)</f>
        <v>1.4722990661011435</v>
      </c>
      <c r="C5480" s="1">
        <v>2</v>
      </c>
    </row>
    <row r="5481" spans="1:3" x14ac:dyDescent="0.3">
      <c r="A5481" t="s">
        <v>5480</v>
      </c>
      <c r="B5481">
        <f>21.7772817528571*(1-0.8198)</f>
        <v>3.9242661718648582</v>
      </c>
      <c r="C5481" s="1">
        <v>2</v>
      </c>
    </row>
    <row r="5482" spans="1:3" x14ac:dyDescent="0.3">
      <c r="A5482" t="s">
        <v>5481</v>
      </c>
      <c r="B5482">
        <f>35.1163435114286*(1-0.8198)</f>
        <v>6.32796510075943</v>
      </c>
      <c r="C5482" s="1">
        <v>3</v>
      </c>
    </row>
    <row r="5483" spans="1:3" x14ac:dyDescent="0.3">
      <c r="A5483" t="s">
        <v>5482</v>
      </c>
      <c r="B5483">
        <f>45.48785143*(1-0.8198)</f>
        <v>8.1969108276860005</v>
      </c>
      <c r="C5483" s="1">
        <v>2</v>
      </c>
    </row>
    <row r="5484" spans="1:3" x14ac:dyDescent="0.3">
      <c r="A5484" t="s">
        <v>5483</v>
      </c>
      <c r="B5484">
        <f>53.8340393842857*(1-0.8198)</f>
        <v>9.7008938970482887</v>
      </c>
      <c r="C5484" s="1">
        <v>2</v>
      </c>
    </row>
    <row r="5485" spans="1:3" x14ac:dyDescent="0.3">
      <c r="A5485" t="s">
        <v>5484</v>
      </c>
      <c r="B5485">
        <f>57.8412089542857*(1-0.8198)</f>
        <v>10.422985853562288</v>
      </c>
      <c r="C5485" s="1">
        <v>2</v>
      </c>
    </row>
    <row r="5486" spans="1:3" x14ac:dyDescent="0.3">
      <c r="A5486" t="s">
        <v>5485</v>
      </c>
      <c r="B5486">
        <f>58.25668595*(1-0.8198)</f>
        <v>10.49785480819</v>
      </c>
      <c r="C5486" s="1">
        <v>3</v>
      </c>
    </row>
    <row r="5487" spans="1:3" x14ac:dyDescent="0.3">
      <c r="A5487" t="s">
        <v>5486</v>
      </c>
      <c r="B5487">
        <f>55.1582427514286*(1-0.8198)</f>
        <v>9.9395153438074271</v>
      </c>
      <c r="C5487" s="1">
        <v>2</v>
      </c>
    </row>
    <row r="5488" spans="1:3" x14ac:dyDescent="0.3">
      <c r="A5488" t="s">
        <v>5487</v>
      </c>
      <c r="B5488">
        <f>47.69614567*(1-0.8198)</f>
        <v>8.5948454497340023</v>
      </c>
      <c r="C5488" s="1">
        <v>2</v>
      </c>
    </row>
    <row r="5489" spans="1:3" x14ac:dyDescent="0.3">
      <c r="A5489" t="s">
        <v>5488</v>
      </c>
      <c r="B5489">
        <f>38.1941964671429*(1-0.8198)</f>
        <v>6.8825942033791438</v>
      </c>
      <c r="C5489" s="1">
        <v>3</v>
      </c>
    </row>
    <row r="5490" spans="1:3" x14ac:dyDescent="0.3">
      <c r="A5490" t="s">
        <v>5489</v>
      </c>
      <c r="B5490">
        <f>25.7424438857143*(1-0.8198)</f>
        <v>4.6387883882057155</v>
      </c>
      <c r="C5490" s="1">
        <v>2</v>
      </c>
    </row>
    <row r="5491" spans="1:3" x14ac:dyDescent="0.3">
      <c r="A5491" t="s">
        <v>5490</v>
      </c>
      <c r="B5491">
        <f>11.5550377071429*(1-0.8198)</f>
        <v>2.0822177948271432</v>
      </c>
      <c r="C5491" s="1">
        <v>2</v>
      </c>
    </row>
    <row r="5492" spans="1:3" x14ac:dyDescent="0.3">
      <c r="A5492" t="s">
        <v>5491</v>
      </c>
      <c r="B5492">
        <f>0.69536203*(1-0.8198)</f>
        <v>0.12530423780600003</v>
      </c>
      <c r="C5492" s="1">
        <v>2</v>
      </c>
    </row>
    <row r="5493" spans="1:3" x14ac:dyDescent="0.3">
      <c r="A5493" t="s">
        <v>5492</v>
      </c>
      <c r="B5493">
        <f>0*(1-0.8198)</f>
        <v>0</v>
      </c>
      <c r="C5493" s="1">
        <v>3</v>
      </c>
    </row>
    <row r="5494" spans="1:3" x14ac:dyDescent="0.3">
      <c r="A5494" t="s">
        <v>5493</v>
      </c>
      <c r="B5494">
        <f>0*(1-0.8198)</f>
        <v>0</v>
      </c>
      <c r="C5494" s="1">
        <v>2</v>
      </c>
    </row>
    <row r="5495" spans="1:3" x14ac:dyDescent="0.3">
      <c r="A5495" t="s">
        <v>5494</v>
      </c>
      <c r="B5495">
        <f>0*(1-0.8198)</f>
        <v>0</v>
      </c>
      <c r="C5495" s="1">
        <v>3</v>
      </c>
    </row>
    <row r="5496" spans="1:3" x14ac:dyDescent="0.3">
      <c r="A5496" t="s">
        <v>5495</v>
      </c>
      <c r="B5496">
        <f>0*(1-0.8198)</f>
        <v>0</v>
      </c>
      <c r="C5496" s="1">
        <v>2</v>
      </c>
    </row>
    <row r="5497" spans="1:3" x14ac:dyDescent="0.3">
      <c r="A5497" t="s">
        <v>5496</v>
      </c>
      <c r="B5497">
        <f>0*(1-0.8198)</f>
        <v>0</v>
      </c>
      <c r="C5497" s="1">
        <v>2</v>
      </c>
    </row>
    <row r="5498" spans="1:3" x14ac:dyDescent="0.3">
      <c r="A5498" t="s">
        <v>5497</v>
      </c>
      <c r="B5498">
        <f>0*(1-0.8198)</f>
        <v>0</v>
      </c>
      <c r="C5498" s="1">
        <v>3</v>
      </c>
    </row>
    <row r="5499" spans="1:3" x14ac:dyDescent="0.3">
      <c r="A5499" t="s">
        <v>5498</v>
      </c>
      <c r="B5499">
        <f>0*(1-0.8198)</f>
        <v>0</v>
      </c>
      <c r="C5499" s="1">
        <v>2</v>
      </c>
    </row>
    <row r="5500" spans="1:3" x14ac:dyDescent="0.3">
      <c r="A5500" t="s">
        <v>5499</v>
      </c>
      <c r="B5500">
        <f>0*(1-0.8198)</f>
        <v>0</v>
      </c>
      <c r="C5500" s="1">
        <v>2</v>
      </c>
    </row>
    <row r="5501" spans="1:3" x14ac:dyDescent="0.3">
      <c r="A5501" t="s">
        <v>5500</v>
      </c>
      <c r="B5501">
        <f>0*(1-0.8198)</f>
        <v>0</v>
      </c>
      <c r="C5501" s="1">
        <v>3</v>
      </c>
    </row>
    <row r="5502" spans="1:3" x14ac:dyDescent="0.3">
      <c r="A5502" t="s">
        <v>5501</v>
      </c>
      <c r="B5502">
        <f>0*(1-0.8198)</f>
        <v>0</v>
      </c>
      <c r="C5502" s="1">
        <v>2</v>
      </c>
    </row>
    <row r="5503" spans="1:3" x14ac:dyDescent="0.3">
      <c r="A5503" t="s">
        <v>5502</v>
      </c>
      <c r="B5503">
        <f>0*(1-0.8198)</f>
        <v>0</v>
      </c>
      <c r="C5503" s="1">
        <v>2</v>
      </c>
    </row>
    <row r="5504" spans="1:3" x14ac:dyDescent="0.3">
      <c r="A5504" t="s">
        <v>5503</v>
      </c>
      <c r="B5504">
        <f>8.11257196428572*(1-0.8198)</f>
        <v>1.4618854679642861</v>
      </c>
      <c r="C5504" s="1">
        <v>3</v>
      </c>
    </row>
    <row r="5505" spans="1:3" x14ac:dyDescent="0.3">
      <c r="A5505" t="s">
        <v>5504</v>
      </c>
      <c r="B5505">
        <f>21.4652767014286*(1-0.8198)</f>
        <v>3.8680428615974298</v>
      </c>
      <c r="C5505" s="1">
        <v>2</v>
      </c>
    </row>
    <row r="5506" spans="1:3" x14ac:dyDescent="0.3">
      <c r="A5506" t="s">
        <v>5505</v>
      </c>
      <c r="B5506">
        <f>34.4431364328571*(1-0.8198)</f>
        <v>6.2066531852008584</v>
      </c>
      <c r="C5506" s="1">
        <v>2</v>
      </c>
    </row>
    <row r="5507" spans="1:3" x14ac:dyDescent="0.3">
      <c r="A5507" t="s">
        <v>5506</v>
      </c>
      <c r="B5507">
        <f>44.7630754342857*(1-0.8198)</f>
        <v>8.0663061932582867</v>
      </c>
      <c r="C5507" s="1">
        <v>3</v>
      </c>
    </row>
    <row r="5508" spans="1:3" x14ac:dyDescent="0.3">
      <c r="A5508" t="s">
        <v>5507</v>
      </c>
      <c r="B5508">
        <f>52.2565376371429*(1-0.8198)</f>
        <v>9.4166280822131441</v>
      </c>
      <c r="C5508" s="1">
        <v>2</v>
      </c>
    </row>
    <row r="5509" spans="1:3" x14ac:dyDescent="0.3">
      <c r="A5509" t="s">
        <v>5508</v>
      </c>
      <c r="B5509">
        <f>54.5939165871429*(1-0.8198)</f>
        <v>9.837823769003144</v>
      </c>
      <c r="C5509" s="1">
        <v>2</v>
      </c>
    </row>
    <row r="5510" spans="1:3" x14ac:dyDescent="0.3">
      <c r="A5510" t="s">
        <v>5509</v>
      </c>
      <c r="B5510">
        <f>37.0822498842857*(1-0.8198)</f>
        <v>6.6822214291482886</v>
      </c>
      <c r="C5510" s="1">
        <v>2</v>
      </c>
    </row>
    <row r="5511" spans="1:3" x14ac:dyDescent="0.3">
      <c r="A5511" t="s">
        <v>5510</v>
      </c>
      <c r="B5511">
        <f>38.7599257214286*(1-0.8198)</f>
        <v>6.9845386150014299</v>
      </c>
      <c r="C5511" s="1">
        <v>2</v>
      </c>
    </row>
    <row r="5512" spans="1:3" x14ac:dyDescent="0.3">
      <c r="A5512" t="s">
        <v>5511</v>
      </c>
      <c r="B5512">
        <f>47.1591223557143*(1-0.8198)</f>
        <v>8.4980738484997183</v>
      </c>
      <c r="C5512" s="1">
        <v>3</v>
      </c>
    </row>
    <row r="5513" spans="1:3" x14ac:dyDescent="0.3">
      <c r="A5513" t="s">
        <v>5512</v>
      </c>
      <c r="B5513">
        <f>38.1342195757143*(1-0.8198)</f>
        <v>6.8717863675437165</v>
      </c>
      <c r="C5513" s="1">
        <v>2</v>
      </c>
    </row>
    <row r="5514" spans="1:3" x14ac:dyDescent="0.3">
      <c r="A5514" t="s">
        <v>5513</v>
      </c>
      <c r="B5514">
        <f>21.2117861114286*(1-0.8198)</f>
        <v>3.822363857279429</v>
      </c>
      <c r="C5514" s="1">
        <v>3</v>
      </c>
    </row>
    <row r="5515" spans="1:3" x14ac:dyDescent="0.3">
      <c r="A5515" t="s">
        <v>5514</v>
      </c>
      <c r="B5515">
        <f>11.6959511642857*(1-0.8198)</f>
        <v>2.1076103998042863</v>
      </c>
      <c r="C5515" s="1">
        <v>2</v>
      </c>
    </row>
    <row r="5516" spans="1:3" x14ac:dyDescent="0.3">
      <c r="A5516" t="s">
        <v>5515</v>
      </c>
      <c r="B5516">
        <f>2.77705444142857*(1-0.8198)</f>
        <v>0.50042521034542864</v>
      </c>
      <c r="C5516" s="1">
        <v>2</v>
      </c>
    </row>
    <row r="5517" spans="1:3" x14ac:dyDescent="0.3">
      <c r="A5517" t="s">
        <v>5516</v>
      </c>
      <c r="B5517">
        <f>0*(1-0.8198)</f>
        <v>0</v>
      </c>
      <c r="C5517" s="1">
        <v>2</v>
      </c>
    </row>
    <row r="5518" spans="1:3" x14ac:dyDescent="0.3">
      <c r="A5518" t="s">
        <v>5517</v>
      </c>
      <c r="B5518">
        <f>0*(1-0.8198)</f>
        <v>0</v>
      </c>
      <c r="C5518" s="1">
        <v>3</v>
      </c>
    </row>
    <row r="5519" spans="1:3" x14ac:dyDescent="0.3">
      <c r="A5519" t="s">
        <v>5518</v>
      </c>
      <c r="B5519">
        <f>0*(1-0.8198)</f>
        <v>0</v>
      </c>
      <c r="C5519" s="1">
        <v>2</v>
      </c>
    </row>
    <row r="5520" spans="1:3" x14ac:dyDescent="0.3">
      <c r="A5520" t="s">
        <v>5519</v>
      </c>
      <c r="B5520">
        <f>0*(1-0.8198)</f>
        <v>0</v>
      </c>
      <c r="C5520" s="1">
        <v>2</v>
      </c>
    </row>
    <row r="5521" spans="1:3" x14ac:dyDescent="0.3">
      <c r="A5521" t="s">
        <v>5520</v>
      </c>
      <c r="B5521">
        <f>0*(1-0.8198)</f>
        <v>0</v>
      </c>
      <c r="C5521" s="1">
        <v>3</v>
      </c>
    </row>
    <row r="5522" spans="1:3" x14ac:dyDescent="0.3">
      <c r="A5522" t="s">
        <v>5521</v>
      </c>
      <c r="B5522">
        <f>0*(1-0.8198)</f>
        <v>0</v>
      </c>
      <c r="C5522" s="1">
        <v>2</v>
      </c>
    </row>
    <row r="5523" spans="1:3" x14ac:dyDescent="0.3">
      <c r="A5523" t="s">
        <v>5522</v>
      </c>
      <c r="B5523">
        <f>0*(1-0.8198)</f>
        <v>0</v>
      </c>
      <c r="C5523" s="1">
        <v>2</v>
      </c>
    </row>
    <row r="5524" spans="1:3" x14ac:dyDescent="0.3">
      <c r="A5524" t="s">
        <v>5523</v>
      </c>
      <c r="B5524">
        <f>0*(1-0.8198)</f>
        <v>0</v>
      </c>
      <c r="C5524" s="1">
        <v>3</v>
      </c>
    </row>
    <row r="5525" spans="1:3" x14ac:dyDescent="0.3">
      <c r="A5525" t="s">
        <v>5524</v>
      </c>
      <c r="B5525">
        <f>0*(1-0.8198)</f>
        <v>0</v>
      </c>
      <c r="C5525" s="1">
        <v>2</v>
      </c>
    </row>
    <row r="5526" spans="1:3" x14ac:dyDescent="0.3">
      <c r="A5526" t="s">
        <v>5525</v>
      </c>
      <c r="B5526">
        <f>0*(1-0.8198)</f>
        <v>0</v>
      </c>
      <c r="C5526" s="1">
        <v>2</v>
      </c>
    </row>
    <row r="5527" spans="1:3" x14ac:dyDescent="0.3">
      <c r="A5527" t="s">
        <v>5526</v>
      </c>
      <c r="B5527">
        <f>0*(1-0.8198)</f>
        <v>0</v>
      </c>
      <c r="C5527" s="1">
        <v>2</v>
      </c>
    </row>
    <row r="5528" spans="1:3" x14ac:dyDescent="0.3">
      <c r="A5528" t="s">
        <v>5527</v>
      </c>
      <c r="B5528">
        <f>3.5398761*(1-0.8198)</f>
        <v>0.63788567322000012</v>
      </c>
      <c r="C5528" s="1">
        <v>3</v>
      </c>
    </row>
    <row r="5529" spans="1:3" x14ac:dyDescent="0.3">
      <c r="A5529" t="s">
        <v>5528</v>
      </c>
      <c r="B5529">
        <f>10.8989094914286*(1-0.8198)</f>
        <v>1.9639834903554294</v>
      </c>
      <c r="C5529" s="1">
        <v>2</v>
      </c>
    </row>
    <row r="5530" spans="1:3" x14ac:dyDescent="0.3">
      <c r="A5530" t="s">
        <v>5529</v>
      </c>
      <c r="B5530">
        <f>25.0093534714286*(1-0.8198)</f>
        <v>4.5066854955514293</v>
      </c>
      <c r="C5530" s="1">
        <v>2</v>
      </c>
    </row>
    <row r="5531" spans="1:3" x14ac:dyDescent="0.3">
      <c r="A5531" t="s">
        <v>5530</v>
      </c>
      <c r="B5531">
        <f>42.6118878357143*(1-0.8198)</f>
        <v>7.6786621879957178</v>
      </c>
      <c r="C5531" s="1">
        <v>2</v>
      </c>
    </row>
    <row r="5532" spans="1:3" x14ac:dyDescent="0.3">
      <c r="A5532" t="s">
        <v>5531</v>
      </c>
      <c r="B5532">
        <f>45.7297796885714*(1-0.8198)</f>
        <v>8.2405062998805736</v>
      </c>
      <c r="C5532" s="1">
        <v>3</v>
      </c>
    </row>
    <row r="5533" spans="1:3" x14ac:dyDescent="0.3">
      <c r="A5533" t="s">
        <v>5532</v>
      </c>
      <c r="B5533">
        <f>50.7101720057143*(1-0.8198)</f>
        <v>9.1379729954297151</v>
      </c>
      <c r="C5533" s="1">
        <v>2</v>
      </c>
    </row>
    <row r="5534" spans="1:3" x14ac:dyDescent="0.3">
      <c r="A5534" t="s">
        <v>5533</v>
      </c>
      <c r="B5534">
        <f>56.1616895228572*(1-0.8198)</f>
        <v>10.12033645201886</v>
      </c>
      <c r="C5534" s="1">
        <v>2</v>
      </c>
    </row>
    <row r="5535" spans="1:3" x14ac:dyDescent="0.3">
      <c r="A5535" t="s">
        <v>5534</v>
      </c>
      <c r="B5535">
        <f>53.38824702*(1-0.8198)</f>
        <v>9.6205621130040022</v>
      </c>
      <c r="C5535" s="1">
        <v>2</v>
      </c>
    </row>
    <row r="5536" spans="1:3" x14ac:dyDescent="0.3">
      <c r="A5536" t="s">
        <v>5535</v>
      </c>
      <c r="B5536">
        <f>47.3528873585714*(1-0.8198)</f>
        <v>8.532990302014575</v>
      </c>
      <c r="C5536" s="1">
        <v>3</v>
      </c>
    </row>
    <row r="5537" spans="1:3" x14ac:dyDescent="0.3">
      <c r="A5537" t="s">
        <v>5536</v>
      </c>
      <c r="B5537">
        <f>37.4321515114286*(1-0.8198)</f>
        <v>6.7452737023594294</v>
      </c>
      <c r="C5537" s="1">
        <v>2</v>
      </c>
    </row>
    <row r="5538" spans="1:3" x14ac:dyDescent="0.3">
      <c r="A5538" t="s">
        <v>5537</v>
      </c>
      <c r="B5538">
        <f>25.61917812*(1-0.8198)</f>
        <v>4.6165758972240019</v>
      </c>
      <c r="C5538" s="1">
        <v>2</v>
      </c>
    </row>
    <row r="5539" spans="1:3" x14ac:dyDescent="0.3">
      <c r="A5539" t="s">
        <v>5538</v>
      </c>
      <c r="B5539">
        <f>11.6846718957143*(1-0.8198)</f>
        <v>2.1055778756077146</v>
      </c>
      <c r="C5539" s="1">
        <v>3</v>
      </c>
    </row>
    <row r="5540" spans="1:3" x14ac:dyDescent="0.3">
      <c r="A5540" t="s">
        <v>5539</v>
      </c>
      <c r="B5540">
        <f>2.11179456142857*(1-0.8198)</f>
        <v>0.38054537996942861</v>
      </c>
      <c r="C5540" s="1">
        <v>2</v>
      </c>
    </row>
    <row r="5541" spans="1:3" x14ac:dyDescent="0.3">
      <c r="A5541" t="s">
        <v>5540</v>
      </c>
      <c r="B5541">
        <f>0*(1-0.8198)</f>
        <v>0</v>
      </c>
      <c r="C5541" s="1">
        <v>2</v>
      </c>
    </row>
    <row r="5542" spans="1:3" x14ac:dyDescent="0.3">
      <c r="A5542" t="s">
        <v>5541</v>
      </c>
      <c r="B5542">
        <f>0*(1-0.8198)</f>
        <v>0</v>
      </c>
      <c r="C5542" s="1">
        <v>2</v>
      </c>
    </row>
    <row r="5543" spans="1:3" x14ac:dyDescent="0.3">
      <c r="A5543" t="s">
        <v>5542</v>
      </c>
      <c r="B5543">
        <f>0*(1-0.8198)</f>
        <v>0</v>
      </c>
      <c r="C5543" s="1">
        <v>3</v>
      </c>
    </row>
    <row r="5544" spans="1:3" x14ac:dyDescent="0.3">
      <c r="A5544" t="s">
        <v>5543</v>
      </c>
      <c r="B5544">
        <f>0*(1-0.8198)</f>
        <v>0</v>
      </c>
      <c r="C5544" s="1">
        <v>2</v>
      </c>
    </row>
    <row r="5545" spans="1:3" x14ac:dyDescent="0.3">
      <c r="A5545" t="s">
        <v>5544</v>
      </c>
      <c r="B5545">
        <f>0*(1-0.8198)</f>
        <v>0</v>
      </c>
      <c r="C5545" s="1">
        <v>2</v>
      </c>
    </row>
    <row r="5546" spans="1:3" x14ac:dyDescent="0.3">
      <c r="A5546" t="s">
        <v>5545</v>
      </c>
      <c r="B5546">
        <f>0*(1-0.8198)</f>
        <v>0</v>
      </c>
      <c r="C5546" s="1">
        <v>2</v>
      </c>
    </row>
    <row r="5547" spans="1:3" x14ac:dyDescent="0.3">
      <c r="A5547" t="s">
        <v>5546</v>
      </c>
      <c r="B5547">
        <f>0*(1-0.8198)</f>
        <v>0</v>
      </c>
      <c r="C5547" s="1">
        <v>3</v>
      </c>
    </row>
    <row r="5548" spans="1:3" x14ac:dyDescent="0.3">
      <c r="A5548" t="s">
        <v>5547</v>
      </c>
      <c r="B5548">
        <f>0*(1-0.8198)</f>
        <v>0</v>
      </c>
      <c r="C5548" s="1">
        <v>2</v>
      </c>
    </row>
    <row r="5549" spans="1:3" x14ac:dyDescent="0.3">
      <c r="A5549" t="s">
        <v>5548</v>
      </c>
      <c r="B5549">
        <f>0*(1-0.8198)</f>
        <v>0</v>
      </c>
      <c r="C5549" s="1">
        <v>3</v>
      </c>
    </row>
    <row r="5550" spans="1:3" x14ac:dyDescent="0.3">
      <c r="A5550" t="s">
        <v>5549</v>
      </c>
      <c r="B5550">
        <f>0*(1-0.8198)</f>
        <v>0</v>
      </c>
      <c r="C5550" s="1">
        <v>2</v>
      </c>
    </row>
    <row r="5551" spans="1:3" x14ac:dyDescent="0.3">
      <c r="A5551" t="s">
        <v>5550</v>
      </c>
      <c r="B5551">
        <f>0*(1-0.8198)</f>
        <v>0</v>
      </c>
      <c r="C5551" s="1">
        <v>2</v>
      </c>
    </row>
    <row r="5552" spans="1:3" x14ac:dyDescent="0.3">
      <c r="A5552" t="s">
        <v>5551</v>
      </c>
      <c r="B5552">
        <f>7.31987482714286*(1-0.8198)</f>
        <v>1.3190414438511431</v>
      </c>
      <c r="C5552" s="1">
        <v>2</v>
      </c>
    </row>
    <row r="5553" spans="1:3" x14ac:dyDescent="0.3">
      <c r="A5553" t="s">
        <v>5552</v>
      </c>
      <c r="B5553">
        <f>20.2267784771429*(1-0.8198)</f>
        <v>3.6448654815811437</v>
      </c>
      <c r="C5553" s="1">
        <v>3</v>
      </c>
    </row>
    <row r="5554" spans="1:3" x14ac:dyDescent="0.3">
      <c r="A5554" t="s">
        <v>5553</v>
      </c>
      <c r="B5554">
        <f>32.3420037214286*(1-0.8198)</f>
        <v>5.8280290706014304</v>
      </c>
      <c r="C5554" s="1">
        <v>2</v>
      </c>
    </row>
    <row r="5555" spans="1:3" x14ac:dyDescent="0.3">
      <c r="A5555" t="s">
        <v>5554</v>
      </c>
      <c r="B5555">
        <f>42.4501136657143*(1-0.8198)</f>
        <v>7.6495104825617162</v>
      </c>
      <c r="C5555" s="1">
        <v>2</v>
      </c>
    </row>
    <row r="5556" spans="1:3" x14ac:dyDescent="0.3">
      <c r="A5556" t="s">
        <v>5555</v>
      </c>
      <c r="B5556">
        <f>49.5460253271429*(1-0.8198)</f>
        <v>8.9281937639511462</v>
      </c>
      <c r="C5556" s="1">
        <v>2</v>
      </c>
    </row>
    <row r="5557" spans="1:3" x14ac:dyDescent="0.3">
      <c r="A5557" t="s">
        <v>5556</v>
      </c>
      <c r="B5557">
        <f>53.6609089757143*(1-0.8198)</f>
        <v>9.6696957974237172</v>
      </c>
      <c r="C5557" s="1">
        <v>2</v>
      </c>
    </row>
    <row r="5558" spans="1:3" x14ac:dyDescent="0.3">
      <c r="A5558" t="s">
        <v>5557</v>
      </c>
      <c r="B5558">
        <f>54.2381726728571*(1-0.8198)</f>
        <v>9.7737187156488599</v>
      </c>
      <c r="C5558" s="1">
        <v>3</v>
      </c>
    </row>
    <row r="5559" spans="1:3" x14ac:dyDescent="0.3">
      <c r="A5559" t="s">
        <v>5558</v>
      </c>
      <c r="B5559">
        <f>51.6250639628571*(1-0.8198)</f>
        <v>9.3028365261068586</v>
      </c>
      <c r="C5559" s="1">
        <v>2</v>
      </c>
    </row>
    <row r="5560" spans="1:3" x14ac:dyDescent="0.3">
      <c r="A5560" t="s">
        <v>5559</v>
      </c>
      <c r="B5560">
        <f>45.7683296185714*(1-0.8198)</f>
        <v>8.2474529972665742</v>
      </c>
      <c r="C5560" s="1">
        <v>2</v>
      </c>
    </row>
    <row r="5561" spans="1:3" x14ac:dyDescent="0.3">
      <c r="A5561" t="s">
        <v>5560</v>
      </c>
      <c r="B5561">
        <f>36.1800810128571*(1-0.8198)</f>
        <v>6.5196505985168587</v>
      </c>
      <c r="C5561" s="1">
        <v>2</v>
      </c>
    </row>
    <row r="5562" spans="1:3" x14ac:dyDescent="0.3">
      <c r="A5562" t="s">
        <v>5561</v>
      </c>
      <c r="B5562">
        <f>24.0797189028571*(1-0.8198)</f>
        <v>4.3391653462948572</v>
      </c>
      <c r="C5562" s="1">
        <v>3</v>
      </c>
    </row>
    <row r="5563" spans="1:3" x14ac:dyDescent="0.3">
      <c r="A5563" t="s">
        <v>5562</v>
      </c>
      <c r="B5563">
        <f>11.1123207642857*(1-0.8198)</f>
        <v>2.0024402017242862</v>
      </c>
      <c r="C5563" s="1">
        <v>2</v>
      </c>
    </row>
    <row r="5564" spans="1:3" x14ac:dyDescent="0.3">
      <c r="A5564" t="s">
        <v>5563</v>
      </c>
      <c r="B5564">
        <f>1.93320321428571*(1-0.8198)</f>
        <v>0.34836321921428587</v>
      </c>
      <c r="C5564" s="1">
        <v>2</v>
      </c>
    </row>
    <row r="5565" spans="1:3" x14ac:dyDescent="0.3">
      <c r="A5565" t="s">
        <v>5564</v>
      </c>
      <c r="B5565">
        <f>0*(1-0.8198)</f>
        <v>0</v>
      </c>
      <c r="C5565" s="1">
        <v>3</v>
      </c>
    </row>
    <row r="5566" spans="1:3" x14ac:dyDescent="0.3">
      <c r="A5566" t="s">
        <v>5565</v>
      </c>
      <c r="B5566">
        <f>0*(1-0.8198)</f>
        <v>0</v>
      </c>
      <c r="C5566" s="1">
        <v>2</v>
      </c>
    </row>
    <row r="5567" spans="1:3" x14ac:dyDescent="0.3">
      <c r="A5567" t="s">
        <v>5566</v>
      </c>
      <c r="B5567">
        <f>0*(1-0.8198)</f>
        <v>0</v>
      </c>
      <c r="C5567" s="1">
        <v>2</v>
      </c>
    </row>
    <row r="5568" spans="1:3" x14ac:dyDescent="0.3">
      <c r="A5568" t="s">
        <v>5567</v>
      </c>
      <c r="B5568">
        <f>0*(1-0.8198)</f>
        <v>0</v>
      </c>
      <c r="C5568" s="1">
        <v>2</v>
      </c>
    </row>
    <row r="5569" spans="1:3" x14ac:dyDescent="0.3">
      <c r="A5569" t="s">
        <v>5568</v>
      </c>
      <c r="B5569">
        <f>0*(1-0.8198)</f>
        <v>0</v>
      </c>
      <c r="C5569" s="1">
        <v>3</v>
      </c>
    </row>
    <row r="5570" spans="1:3" x14ac:dyDescent="0.3">
      <c r="A5570" t="s">
        <v>5569</v>
      </c>
      <c r="B5570">
        <f>0*(1-0.8198)</f>
        <v>0</v>
      </c>
      <c r="C5570" s="1">
        <v>2</v>
      </c>
    </row>
    <row r="5571" spans="1:3" x14ac:dyDescent="0.3">
      <c r="A5571" t="s">
        <v>5570</v>
      </c>
      <c r="B5571">
        <f>0*(1-0.8198)</f>
        <v>0</v>
      </c>
      <c r="C5571" s="1">
        <v>2</v>
      </c>
    </row>
    <row r="5572" spans="1:3" x14ac:dyDescent="0.3">
      <c r="A5572" t="s">
        <v>5571</v>
      </c>
      <c r="B5572">
        <f>0*(1-0.8198)</f>
        <v>0</v>
      </c>
      <c r="C5572" s="1">
        <v>3</v>
      </c>
    </row>
    <row r="5573" spans="1:3" x14ac:dyDescent="0.3">
      <c r="A5573" t="s">
        <v>5572</v>
      </c>
      <c r="B5573">
        <f>0*(1-0.8198)</f>
        <v>0</v>
      </c>
      <c r="C5573" s="1">
        <v>2</v>
      </c>
    </row>
    <row r="5574" spans="1:3" x14ac:dyDescent="0.3">
      <c r="A5574" t="s">
        <v>5573</v>
      </c>
      <c r="B5574">
        <f>0*(1-0.8198)</f>
        <v>0</v>
      </c>
      <c r="C5574" s="1">
        <v>2</v>
      </c>
    </row>
    <row r="5575" spans="1:3" x14ac:dyDescent="0.3">
      <c r="A5575" t="s">
        <v>5574</v>
      </c>
      <c r="B5575">
        <f>0*(1-0.8198)</f>
        <v>0</v>
      </c>
      <c r="C5575" s="1">
        <v>2</v>
      </c>
    </row>
    <row r="5576" spans="1:3" x14ac:dyDescent="0.3">
      <c r="A5576" t="s">
        <v>5575</v>
      </c>
      <c r="B5576">
        <f>7.35168979*(1-0.8198)</f>
        <v>1.3247745001580002</v>
      </c>
      <c r="C5576" s="1">
        <v>3</v>
      </c>
    </row>
    <row r="5577" spans="1:3" x14ac:dyDescent="0.3">
      <c r="A5577" t="s">
        <v>5576</v>
      </c>
      <c r="B5577">
        <f>20.3266221428571*(1-0.8198)</f>
        <v>3.6628573101428583</v>
      </c>
      <c r="C5577" s="1">
        <v>2</v>
      </c>
    </row>
    <row r="5578" spans="1:3" x14ac:dyDescent="0.3">
      <c r="A5578" t="s">
        <v>5577</v>
      </c>
      <c r="B5578">
        <f>32.47338242*(1-0.8198)</f>
        <v>5.8517035120840024</v>
      </c>
      <c r="C5578" s="1">
        <v>2</v>
      </c>
    </row>
    <row r="5579" spans="1:3" x14ac:dyDescent="0.3">
      <c r="A5579" t="s">
        <v>5578</v>
      </c>
      <c r="B5579">
        <f>42.77012673*(1-0.8198)</f>
        <v>7.707176836746001</v>
      </c>
      <c r="C5579" s="1">
        <v>3</v>
      </c>
    </row>
    <row r="5580" spans="1:3" x14ac:dyDescent="0.3">
      <c r="A5580" t="s">
        <v>5579</v>
      </c>
      <c r="B5580">
        <f>50.1837471471429*(1-0.8198)</f>
        <v>9.0431112359151449</v>
      </c>
      <c r="C5580" s="1">
        <v>2</v>
      </c>
    </row>
    <row r="5581" spans="1:3" x14ac:dyDescent="0.3">
      <c r="A5581" t="s">
        <v>5580</v>
      </c>
      <c r="B5581">
        <f>53.9350064557143*(1-0.8198)</f>
        <v>9.7190881633197161</v>
      </c>
      <c r="C5581" s="1">
        <v>2</v>
      </c>
    </row>
    <row r="5582" spans="1:3" x14ac:dyDescent="0.3">
      <c r="A5582" t="s">
        <v>5581</v>
      </c>
      <c r="B5582">
        <f>54.5698215371429*(1-0.8198)</f>
        <v>9.8334818409931444</v>
      </c>
      <c r="C5582" s="1">
        <v>2</v>
      </c>
    </row>
    <row r="5583" spans="1:3" x14ac:dyDescent="0.3">
      <c r="A5583" t="s">
        <v>5582</v>
      </c>
      <c r="B5583">
        <f>51.9710648142857*(1-0.8198)</f>
        <v>9.3651858795342875</v>
      </c>
      <c r="C5583" s="1">
        <v>3</v>
      </c>
    </row>
    <row r="5584" spans="1:3" x14ac:dyDescent="0.3">
      <c r="A5584" t="s">
        <v>5583</v>
      </c>
      <c r="B5584">
        <f>45.7395336242857*(1-0.8198)</f>
        <v>8.2422639590962881</v>
      </c>
      <c r="C5584" s="1">
        <v>2</v>
      </c>
    </row>
    <row r="5585" spans="1:3" x14ac:dyDescent="0.3">
      <c r="A5585" t="s">
        <v>5584</v>
      </c>
      <c r="B5585">
        <f>36.2573517671429*(1-0.8198)</f>
        <v>6.533574788439144</v>
      </c>
      <c r="C5585" s="1">
        <v>2</v>
      </c>
    </row>
    <row r="5586" spans="1:3" x14ac:dyDescent="0.3">
      <c r="A5586" t="s">
        <v>5585</v>
      </c>
      <c r="B5586">
        <f>24.20747307*(1-0.8198)</f>
        <v>4.3621866472140001</v>
      </c>
      <c r="C5586" s="1">
        <v>2</v>
      </c>
    </row>
    <row r="5587" spans="1:3" x14ac:dyDescent="0.3">
      <c r="A5587" t="s">
        <v>5586</v>
      </c>
      <c r="B5587">
        <f>10.7856330557143*(1-0.8198)</f>
        <v>1.9435710766397145</v>
      </c>
      <c r="C5587" s="1">
        <v>3</v>
      </c>
    </row>
    <row r="5588" spans="1:3" x14ac:dyDescent="0.3">
      <c r="A5588" t="s">
        <v>5587</v>
      </c>
      <c r="B5588">
        <f>1.60174563857143*(1-0.8198)</f>
        <v>0.28863456407057153</v>
      </c>
      <c r="C5588" s="1">
        <v>2</v>
      </c>
    </row>
    <row r="5589" spans="1:3" x14ac:dyDescent="0.3">
      <c r="A5589" t="s">
        <v>5588</v>
      </c>
      <c r="B5589">
        <f>0*(1-0.8198)</f>
        <v>0</v>
      </c>
      <c r="C5589" s="1">
        <v>2</v>
      </c>
    </row>
    <row r="5590" spans="1:3" x14ac:dyDescent="0.3">
      <c r="A5590" t="s">
        <v>5589</v>
      </c>
      <c r="B5590">
        <f>0*(1-0.8198)</f>
        <v>0</v>
      </c>
      <c r="C5590" s="1">
        <v>2</v>
      </c>
    </row>
    <row r="5591" spans="1:3" x14ac:dyDescent="0.3">
      <c r="A5591" t="s">
        <v>5590</v>
      </c>
      <c r="B5591">
        <f>0*(1-0.8198)</f>
        <v>0</v>
      </c>
      <c r="C5591" s="1">
        <v>3</v>
      </c>
    </row>
    <row r="5592" spans="1:3" x14ac:dyDescent="0.3">
      <c r="A5592" t="s">
        <v>5591</v>
      </c>
      <c r="B5592">
        <f>0*(1-0.8198)</f>
        <v>0</v>
      </c>
      <c r="C5592" s="1">
        <v>2</v>
      </c>
    </row>
    <row r="5593" spans="1:3" x14ac:dyDescent="0.3">
      <c r="A5593" t="s">
        <v>5592</v>
      </c>
      <c r="B5593">
        <f>0*(1-0.8198)</f>
        <v>0</v>
      </c>
      <c r="C5593" s="1">
        <v>2</v>
      </c>
    </row>
    <row r="5594" spans="1:3" x14ac:dyDescent="0.3">
      <c r="A5594" t="s">
        <v>5593</v>
      </c>
      <c r="B5594">
        <f>0*(1-0.8198)</f>
        <v>0</v>
      </c>
      <c r="C5594" s="1">
        <v>3</v>
      </c>
    </row>
    <row r="5595" spans="1:3" x14ac:dyDescent="0.3">
      <c r="A5595" t="s">
        <v>5594</v>
      </c>
      <c r="B5595">
        <f>0*(1-0.8198)</f>
        <v>0</v>
      </c>
      <c r="C5595" s="1">
        <v>2</v>
      </c>
    </row>
    <row r="5596" spans="1:3" x14ac:dyDescent="0.3">
      <c r="A5596" t="s">
        <v>5595</v>
      </c>
      <c r="B5596">
        <f>0*(1-0.8198)</f>
        <v>0</v>
      </c>
      <c r="C5596" s="1">
        <v>2</v>
      </c>
    </row>
    <row r="5597" spans="1:3" x14ac:dyDescent="0.3">
      <c r="A5597" t="s">
        <v>5596</v>
      </c>
      <c r="B5597">
        <f>0*(1-0.8198)</f>
        <v>0</v>
      </c>
      <c r="C5597" s="1">
        <v>3</v>
      </c>
    </row>
    <row r="5598" spans="1:3" x14ac:dyDescent="0.3">
      <c r="A5598" t="s">
        <v>5597</v>
      </c>
      <c r="B5598">
        <f>0*(1-0.8198)</f>
        <v>0</v>
      </c>
      <c r="C5598" s="1">
        <v>2</v>
      </c>
    </row>
    <row r="5599" spans="1:3" x14ac:dyDescent="0.3">
      <c r="A5599" t="s">
        <v>5598</v>
      </c>
      <c r="B5599">
        <f>0*(1-0.8198)</f>
        <v>0</v>
      </c>
      <c r="C5599" s="1">
        <v>2</v>
      </c>
    </row>
    <row r="5600" spans="1:3" x14ac:dyDescent="0.3">
      <c r="A5600" t="s">
        <v>5599</v>
      </c>
      <c r="B5600">
        <f>7.32326986142857*(1-0.8198)</f>
        <v>1.3196532290294289</v>
      </c>
      <c r="C5600" s="1">
        <v>2</v>
      </c>
    </row>
    <row r="5601" spans="1:3" x14ac:dyDescent="0.3">
      <c r="A5601" t="s">
        <v>5600</v>
      </c>
      <c r="B5601">
        <f>20.3275991028571*(1-0.8198)</f>
        <v>3.6630333583348569</v>
      </c>
      <c r="C5601" s="1">
        <v>3</v>
      </c>
    </row>
    <row r="5602" spans="1:3" x14ac:dyDescent="0.3">
      <c r="A5602" t="s">
        <v>5601</v>
      </c>
      <c r="B5602">
        <f>33.0431338942857*(1-0.8198)</f>
        <v>5.9543727277502887</v>
      </c>
      <c r="C5602" s="1">
        <v>2</v>
      </c>
    </row>
    <row r="5603" spans="1:3" x14ac:dyDescent="0.3">
      <c r="A5603" t="s">
        <v>5602</v>
      </c>
      <c r="B5603">
        <f>42.9671258857143*(1-0.8198)</f>
        <v>7.7426760846057148</v>
      </c>
      <c r="C5603" s="1">
        <v>2</v>
      </c>
    </row>
    <row r="5604" spans="1:3" x14ac:dyDescent="0.3">
      <c r="A5604" t="s">
        <v>5603</v>
      </c>
      <c r="B5604">
        <f>50.7717313585714*(1-0.8198)</f>
        <v>9.1490659908145737</v>
      </c>
      <c r="C5604" s="1">
        <v>2</v>
      </c>
    </row>
    <row r="5605" spans="1:3" x14ac:dyDescent="0.3">
      <c r="A5605" t="s">
        <v>5604</v>
      </c>
      <c r="B5605">
        <f>54.7275291357143*(1-0.8198)</f>
        <v>9.8619007502557157</v>
      </c>
      <c r="C5605" s="1">
        <v>3</v>
      </c>
    </row>
    <row r="5606" spans="1:3" x14ac:dyDescent="0.3">
      <c r="A5606" t="s">
        <v>5605</v>
      </c>
      <c r="B5606">
        <f>55.06383963*(1-0.8198)</f>
        <v>9.922503901326003</v>
      </c>
      <c r="C5606" s="1">
        <v>2</v>
      </c>
    </row>
    <row r="5607" spans="1:3" x14ac:dyDescent="0.3">
      <c r="A5607" t="s">
        <v>5606</v>
      </c>
      <c r="B5607">
        <f>52.03759337*(1-0.8198)</f>
        <v>9.3771743252739999</v>
      </c>
      <c r="C5607" s="1">
        <v>2</v>
      </c>
    </row>
    <row r="5608" spans="1:3" x14ac:dyDescent="0.3">
      <c r="A5608" t="s">
        <v>5607</v>
      </c>
      <c r="B5608">
        <f>45.8703984728571*(1-0.8198)</f>
        <v>8.2658458048088583</v>
      </c>
      <c r="C5608" s="1">
        <v>2</v>
      </c>
    </row>
    <row r="5609" spans="1:3" x14ac:dyDescent="0.3">
      <c r="A5609" t="s">
        <v>5608</v>
      </c>
      <c r="B5609">
        <f>36.3106549357143*(1-0.8198)</f>
        <v>6.5431800194157157</v>
      </c>
      <c r="C5609" s="1">
        <v>3</v>
      </c>
    </row>
    <row r="5610" spans="1:3" x14ac:dyDescent="0.3">
      <c r="A5610" t="s">
        <v>5609</v>
      </c>
      <c r="B5610">
        <f>23.9414023385714*(1-0.8198)</f>
        <v>4.3142407014105721</v>
      </c>
      <c r="C5610" s="1">
        <v>2</v>
      </c>
    </row>
    <row r="5611" spans="1:3" x14ac:dyDescent="0.3">
      <c r="A5611" t="s">
        <v>5610</v>
      </c>
      <c r="B5611">
        <f>10.8480474328571*(1-0.8198)</f>
        <v>1.9548181474008575</v>
      </c>
      <c r="C5611" s="1">
        <v>2</v>
      </c>
    </row>
    <row r="5612" spans="1:3" x14ac:dyDescent="0.3">
      <c r="A5612" t="s">
        <v>5611</v>
      </c>
      <c r="B5612">
        <f>1.45060641285714*(1-0.8198)</f>
        <v>0.26139927559685716</v>
      </c>
      <c r="C5612" s="1">
        <v>3</v>
      </c>
    </row>
    <row r="5613" spans="1:3" x14ac:dyDescent="0.3">
      <c r="A5613" t="s">
        <v>5612</v>
      </c>
      <c r="B5613">
        <f>0*(1-0.8198)</f>
        <v>0</v>
      </c>
      <c r="C5613" s="1">
        <v>2</v>
      </c>
    </row>
    <row r="5614" spans="1:3" x14ac:dyDescent="0.3">
      <c r="A5614" t="s">
        <v>5613</v>
      </c>
      <c r="B5614">
        <f>0*(1-0.8198)</f>
        <v>0</v>
      </c>
      <c r="C5614" s="1">
        <v>2</v>
      </c>
    </row>
    <row r="5615" spans="1:3" x14ac:dyDescent="0.3">
      <c r="A5615" t="s">
        <v>5614</v>
      </c>
      <c r="B5615">
        <f>0*(1-0.8198)</f>
        <v>0</v>
      </c>
      <c r="C5615" s="1">
        <v>3</v>
      </c>
    </row>
    <row r="5616" spans="1:3" x14ac:dyDescent="0.3">
      <c r="A5616" t="s">
        <v>5615</v>
      </c>
      <c r="B5616">
        <f>0*(1-0.8198)</f>
        <v>0</v>
      </c>
      <c r="C5616" s="1">
        <v>2</v>
      </c>
    </row>
    <row r="5617" spans="1:3" x14ac:dyDescent="0.3">
      <c r="A5617" t="s">
        <v>5616</v>
      </c>
      <c r="B5617">
        <f>0*(1-0.8198)</f>
        <v>0</v>
      </c>
      <c r="C5617" s="1">
        <v>2</v>
      </c>
    </row>
    <row r="5618" spans="1:3" x14ac:dyDescent="0.3">
      <c r="A5618" t="s">
        <v>5617</v>
      </c>
      <c r="B5618">
        <f>0*(1-0.8198)</f>
        <v>0</v>
      </c>
      <c r="C5618" s="1">
        <v>3</v>
      </c>
    </row>
    <row r="5619" spans="1:3" x14ac:dyDescent="0.3">
      <c r="A5619" t="s">
        <v>5618</v>
      </c>
      <c r="B5619">
        <f>0*(1-0.8198)</f>
        <v>0</v>
      </c>
      <c r="C5619" s="1">
        <v>2</v>
      </c>
    </row>
    <row r="5620" spans="1:3" x14ac:dyDescent="0.3">
      <c r="A5620" t="s">
        <v>5619</v>
      </c>
      <c r="B5620">
        <f>0*(1-0.8198)</f>
        <v>0</v>
      </c>
      <c r="C5620" s="1">
        <v>3</v>
      </c>
    </row>
    <row r="5621" spans="1:3" x14ac:dyDescent="0.3">
      <c r="A5621" t="s">
        <v>5620</v>
      </c>
      <c r="B5621">
        <f>0*(1-0.8198)</f>
        <v>0</v>
      </c>
      <c r="C5621" s="1">
        <v>2</v>
      </c>
    </row>
    <row r="5622" spans="1:3" x14ac:dyDescent="0.3">
      <c r="A5622" t="s">
        <v>5621</v>
      </c>
      <c r="B5622">
        <f>0*(1-0.8198)</f>
        <v>0</v>
      </c>
      <c r="C5622" s="1">
        <v>2</v>
      </c>
    </row>
    <row r="5623" spans="1:3" x14ac:dyDescent="0.3">
      <c r="A5623" t="s">
        <v>5622</v>
      </c>
      <c r="B5623">
        <f>0*(1-0.8198)</f>
        <v>0</v>
      </c>
      <c r="C5623" s="1">
        <v>3</v>
      </c>
    </row>
    <row r="5624" spans="1:3" x14ac:dyDescent="0.3">
      <c r="A5624" t="s">
        <v>5623</v>
      </c>
      <c r="B5624">
        <f>6.96107729857143*(1-0.8198)</f>
        <v>1.2543861292025715</v>
      </c>
      <c r="C5624" s="1">
        <v>2</v>
      </c>
    </row>
    <row r="5625" spans="1:3" x14ac:dyDescent="0.3">
      <c r="A5625" t="s">
        <v>5624</v>
      </c>
      <c r="B5625">
        <f>20.0466250628571*(1-0.8198)</f>
        <v>3.6124018363268582</v>
      </c>
      <c r="C5625" s="1">
        <v>2</v>
      </c>
    </row>
    <row r="5626" spans="1:3" x14ac:dyDescent="0.3">
      <c r="A5626" t="s">
        <v>5625</v>
      </c>
      <c r="B5626">
        <f>32.0820289157143*(1-0.8198)</f>
        <v>5.781181610611716</v>
      </c>
      <c r="C5626" s="1">
        <v>2</v>
      </c>
    </row>
    <row r="5627" spans="1:3" x14ac:dyDescent="0.3">
      <c r="A5627" t="s">
        <v>5626</v>
      </c>
      <c r="B5627">
        <f>41.3322622614286*(1-0.8198)</f>
        <v>7.4480736595094328</v>
      </c>
      <c r="C5627" s="1">
        <v>3</v>
      </c>
    </row>
    <row r="5628" spans="1:3" x14ac:dyDescent="0.3">
      <c r="A5628" t="s">
        <v>5627</v>
      </c>
      <c r="B5628">
        <f>49.1735901642857*(1-0.8198)</f>
        <v>8.8610809476042878</v>
      </c>
      <c r="C5628" s="1">
        <v>2</v>
      </c>
    </row>
    <row r="5629" spans="1:3" x14ac:dyDescent="0.3">
      <c r="A5629" t="s">
        <v>5628</v>
      </c>
      <c r="B5629">
        <f>53.3310609514286*(1-0.8198)</f>
        <v>9.6102571834474304</v>
      </c>
      <c r="C5629" s="1">
        <v>2</v>
      </c>
    </row>
    <row r="5630" spans="1:3" x14ac:dyDescent="0.3">
      <c r="A5630" t="s">
        <v>5629</v>
      </c>
      <c r="B5630">
        <f>53.9955969571429*(1-0.8198)</f>
        <v>9.7300065716771442</v>
      </c>
      <c r="C5630" s="1">
        <v>3</v>
      </c>
    </row>
    <row r="5631" spans="1:3" x14ac:dyDescent="0.3">
      <c r="A5631" t="s">
        <v>5630</v>
      </c>
      <c r="B5631">
        <f>51.2600636842857*(1-0.8198)</f>
        <v>9.2370634759082861</v>
      </c>
      <c r="C5631" s="1">
        <v>2</v>
      </c>
    </row>
    <row r="5632" spans="1:3" x14ac:dyDescent="0.3">
      <c r="A5632" t="s">
        <v>5631</v>
      </c>
      <c r="B5632">
        <f>44.8299465771429*(1-0.8198)</f>
        <v>8.0783563732011441</v>
      </c>
      <c r="C5632" s="1">
        <v>2</v>
      </c>
    </row>
    <row r="5633" spans="1:3" x14ac:dyDescent="0.3">
      <c r="A5633" t="s">
        <v>5632</v>
      </c>
      <c r="B5633">
        <f>32.5501601485714*(1-0.8198)</f>
        <v>5.8655388587725721</v>
      </c>
      <c r="C5633" s="1">
        <v>2</v>
      </c>
    </row>
    <row r="5634" spans="1:3" x14ac:dyDescent="0.3">
      <c r="A5634" t="s">
        <v>5633</v>
      </c>
      <c r="B5634">
        <f>18.65635969*(1-0.8198)</f>
        <v>3.3618760161380004</v>
      </c>
      <c r="C5634" s="1">
        <v>3</v>
      </c>
    </row>
    <row r="5635" spans="1:3" x14ac:dyDescent="0.3">
      <c r="A5635" t="s">
        <v>5634</v>
      </c>
      <c r="B5635">
        <f>8.82085819714286*(1-0.8198)</f>
        <v>1.5895186471251432</v>
      </c>
      <c r="C5635" s="1">
        <v>2</v>
      </c>
    </row>
    <row r="5636" spans="1:3" x14ac:dyDescent="0.3">
      <c r="A5636" t="s">
        <v>5635</v>
      </c>
      <c r="B5636">
        <f>0.57583579*(1-0.8198)</f>
        <v>0.10376560935800003</v>
      </c>
      <c r="C5636" s="1">
        <v>3</v>
      </c>
    </row>
    <row r="5637" spans="1:3" x14ac:dyDescent="0.3">
      <c r="A5637" t="s">
        <v>5636</v>
      </c>
      <c r="B5637">
        <f>0*(1-0.8198)</f>
        <v>0</v>
      </c>
      <c r="C5637" s="1">
        <v>2</v>
      </c>
    </row>
    <row r="5638" spans="1:3" x14ac:dyDescent="0.3">
      <c r="A5638" t="s">
        <v>5637</v>
      </c>
      <c r="B5638">
        <f>0*(1-0.8198)</f>
        <v>0</v>
      </c>
      <c r="C5638" s="1">
        <v>2</v>
      </c>
    </row>
    <row r="5639" spans="1:3" x14ac:dyDescent="0.3">
      <c r="A5639" t="s">
        <v>5638</v>
      </c>
      <c r="B5639">
        <f>0*(1-0.8198)</f>
        <v>0</v>
      </c>
      <c r="C5639" s="1">
        <v>3</v>
      </c>
    </row>
    <row r="5640" spans="1:3" x14ac:dyDescent="0.3">
      <c r="A5640" t="s">
        <v>5639</v>
      </c>
      <c r="B5640">
        <f>0*(1-0.8198)</f>
        <v>0</v>
      </c>
      <c r="C5640" s="1">
        <v>2</v>
      </c>
    </row>
    <row r="5641" spans="1:3" x14ac:dyDescent="0.3">
      <c r="A5641" t="s">
        <v>5640</v>
      </c>
      <c r="B5641">
        <f>0*(1-0.8198)</f>
        <v>0</v>
      </c>
      <c r="C5641" s="1">
        <v>2</v>
      </c>
    </row>
    <row r="5642" spans="1:3" x14ac:dyDescent="0.3">
      <c r="A5642" t="s">
        <v>5641</v>
      </c>
      <c r="B5642">
        <f>0*(1-0.8198)</f>
        <v>0</v>
      </c>
      <c r="C5642" s="1">
        <v>2</v>
      </c>
    </row>
    <row r="5643" spans="1:3" x14ac:dyDescent="0.3">
      <c r="A5643" t="s">
        <v>5642</v>
      </c>
      <c r="B5643">
        <f>0*(1-0.8198)</f>
        <v>0</v>
      </c>
      <c r="C5643" s="1">
        <v>3</v>
      </c>
    </row>
    <row r="5644" spans="1:3" x14ac:dyDescent="0.3">
      <c r="A5644" t="s">
        <v>5643</v>
      </c>
      <c r="B5644">
        <f>0*(1-0.8198)</f>
        <v>0</v>
      </c>
      <c r="C5644" s="1">
        <v>2</v>
      </c>
    </row>
    <row r="5645" spans="1:3" x14ac:dyDescent="0.3">
      <c r="A5645" t="s">
        <v>5644</v>
      </c>
      <c r="B5645">
        <f>0*(1-0.8198)</f>
        <v>0</v>
      </c>
      <c r="C5645" s="1">
        <v>2</v>
      </c>
    </row>
    <row r="5646" spans="1:3" x14ac:dyDescent="0.3">
      <c r="A5646" t="s">
        <v>5645</v>
      </c>
      <c r="B5646">
        <f>0*(1-0.8198)</f>
        <v>0</v>
      </c>
      <c r="C5646" s="1">
        <v>3</v>
      </c>
    </row>
    <row r="5647" spans="1:3" x14ac:dyDescent="0.3">
      <c r="A5647" t="s">
        <v>5646</v>
      </c>
      <c r="B5647">
        <f>0*(1-0.8198)</f>
        <v>0</v>
      </c>
      <c r="C5647" s="1">
        <v>2</v>
      </c>
    </row>
    <row r="5648" spans="1:3" x14ac:dyDescent="0.3">
      <c r="A5648" t="s">
        <v>5647</v>
      </c>
      <c r="B5648">
        <f>6.89187322142857*(1-0.8198)</f>
        <v>1.2419155545014287</v>
      </c>
      <c r="C5648" s="1">
        <v>3</v>
      </c>
    </row>
    <row r="5649" spans="1:3" x14ac:dyDescent="0.3">
      <c r="A5649" t="s">
        <v>5648</v>
      </c>
      <c r="B5649">
        <f>20.0311666857143*(1-0.8198)</f>
        <v>3.609616236765715</v>
      </c>
      <c r="C5649" s="1">
        <v>2</v>
      </c>
    </row>
    <row r="5650" spans="1:3" x14ac:dyDescent="0.3">
      <c r="A5650" t="s">
        <v>5649</v>
      </c>
      <c r="B5650">
        <f>32.5095805571429*(1-0.8198)</f>
        <v>5.8582264163971445</v>
      </c>
      <c r="C5650" s="1">
        <v>2</v>
      </c>
    </row>
    <row r="5651" spans="1:3" x14ac:dyDescent="0.3">
      <c r="A5651" t="s">
        <v>5650</v>
      </c>
      <c r="B5651">
        <f>43.2154285871429*(1-0.8198)</f>
        <v>7.7874202314031455</v>
      </c>
      <c r="C5651" s="1">
        <v>3</v>
      </c>
    </row>
    <row r="5652" spans="1:3" x14ac:dyDescent="0.3">
      <c r="A5652" t="s">
        <v>5651</v>
      </c>
      <c r="B5652">
        <f>50.7680676357143*(1-0.8198)</f>
        <v>9.148405787955717</v>
      </c>
      <c r="C5652" s="1">
        <v>2</v>
      </c>
    </row>
    <row r="5653" spans="1:3" x14ac:dyDescent="0.3">
      <c r="A5653" t="s">
        <v>5652</v>
      </c>
      <c r="B5653">
        <f>54.5810068814286*(1-0.8198)</f>
        <v>9.8354974400334303</v>
      </c>
      <c r="C5653" s="1">
        <v>2</v>
      </c>
    </row>
    <row r="5654" spans="1:3" x14ac:dyDescent="0.3">
      <c r="A5654" t="s">
        <v>5653</v>
      </c>
      <c r="B5654">
        <f>54.8169636071429*(1-0.8198)</f>
        <v>9.8780168420071455</v>
      </c>
      <c r="C5654" s="1">
        <v>2</v>
      </c>
    </row>
    <row r="5655" spans="1:3" x14ac:dyDescent="0.3">
      <c r="A5655" t="s">
        <v>5654</v>
      </c>
      <c r="B5655">
        <f>52.1905333128571*(1-0.8198)</f>
        <v>9.4047341029768603</v>
      </c>
      <c r="C5655" s="1">
        <v>3</v>
      </c>
    </row>
    <row r="5656" spans="1:3" x14ac:dyDescent="0.3">
      <c r="A5656" t="s">
        <v>5655</v>
      </c>
      <c r="B5656">
        <f>45.9679087128572*(1-0.8198)</f>
        <v>8.2834171500568594</v>
      </c>
      <c r="C5656" s="1">
        <v>2</v>
      </c>
    </row>
    <row r="5657" spans="1:3" x14ac:dyDescent="0.3">
      <c r="A5657" t="s">
        <v>5656</v>
      </c>
      <c r="B5657">
        <f>36.0248879928571*(1-0.8198)</f>
        <v>6.4916848163128584</v>
      </c>
      <c r="C5657" s="1">
        <v>3</v>
      </c>
    </row>
    <row r="5658" spans="1:3" x14ac:dyDescent="0.3">
      <c r="A5658" t="s">
        <v>5657</v>
      </c>
      <c r="B5658">
        <f>23.6239114085714*(1-0.8198)</f>
        <v>4.2570288358245714</v>
      </c>
      <c r="C5658" s="1">
        <v>2</v>
      </c>
    </row>
    <row r="5659" spans="1:3" x14ac:dyDescent="0.3">
      <c r="A5659" t="s">
        <v>5658</v>
      </c>
      <c r="B5659">
        <f>10.2469840957143*(1-0.8198)</f>
        <v>1.8465065340477145</v>
      </c>
      <c r="C5659" s="1">
        <v>2</v>
      </c>
    </row>
    <row r="5660" spans="1:3" x14ac:dyDescent="0.3">
      <c r="A5660" t="s">
        <v>5659</v>
      </c>
      <c r="B5660">
        <f>1.34861962714286*(1-0.8198)</f>
        <v>0.24302125681114287</v>
      </c>
      <c r="C5660" s="1">
        <v>3</v>
      </c>
    </row>
    <row r="5661" spans="1:3" x14ac:dyDescent="0.3">
      <c r="A5661" t="s">
        <v>5660</v>
      </c>
      <c r="B5661">
        <f>0*(1-0.8198)</f>
        <v>0</v>
      </c>
      <c r="C5661" s="1">
        <v>2</v>
      </c>
    </row>
    <row r="5662" spans="1:3" x14ac:dyDescent="0.3">
      <c r="A5662" t="s">
        <v>5661</v>
      </c>
      <c r="B5662">
        <f>0*(1-0.8198)</f>
        <v>0</v>
      </c>
      <c r="C5662" s="1">
        <v>2</v>
      </c>
    </row>
    <row r="5663" spans="1:3" x14ac:dyDescent="0.3">
      <c r="A5663" t="s">
        <v>5662</v>
      </c>
      <c r="B5663">
        <f>0*(1-0.8198)</f>
        <v>0</v>
      </c>
      <c r="C5663" s="1">
        <v>3</v>
      </c>
    </row>
    <row r="5664" spans="1:3" x14ac:dyDescent="0.3">
      <c r="A5664" t="s">
        <v>5663</v>
      </c>
      <c r="B5664">
        <f>0*(1-0.8198)</f>
        <v>0</v>
      </c>
      <c r="C5664" s="1">
        <v>2</v>
      </c>
    </row>
    <row r="5665" spans="1:3" x14ac:dyDescent="0.3">
      <c r="A5665" t="s">
        <v>5664</v>
      </c>
      <c r="B5665">
        <f>0*(1-0.8198)</f>
        <v>0</v>
      </c>
      <c r="C5665" s="1">
        <v>2</v>
      </c>
    </row>
    <row r="5666" spans="1:3" x14ac:dyDescent="0.3">
      <c r="A5666" t="s">
        <v>5665</v>
      </c>
      <c r="B5666">
        <f>0*(1-0.8198)</f>
        <v>0</v>
      </c>
      <c r="C5666" s="1">
        <v>3</v>
      </c>
    </row>
    <row r="5667" spans="1:3" x14ac:dyDescent="0.3">
      <c r="A5667" t="s">
        <v>5666</v>
      </c>
      <c r="B5667">
        <f>0*(1-0.8198)</f>
        <v>0</v>
      </c>
      <c r="C5667" s="1">
        <v>2</v>
      </c>
    </row>
    <row r="5668" spans="1:3" x14ac:dyDescent="0.3">
      <c r="A5668" t="s">
        <v>5667</v>
      </c>
      <c r="B5668">
        <f>0*(1-0.8198)</f>
        <v>0</v>
      </c>
      <c r="C5668" s="1">
        <v>2</v>
      </c>
    </row>
    <row r="5669" spans="1:3" x14ac:dyDescent="0.3">
      <c r="A5669" t="s">
        <v>5668</v>
      </c>
      <c r="B5669">
        <f>0*(1-0.8198)</f>
        <v>0</v>
      </c>
      <c r="C5669" s="1">
        <v>3</v>
      </c>
    </row>
    <row r="5670" spans="1:3" x14ac:dyDescent="0.3">
      <c r="A5670" t="s">
        <v>5669</v>
      </c>
      <c r="B5670">
        <f>0*(1-0.8198)</f>
        <v>0</v>
      </c>
      <c r="C5670" s="1">
        <v>2</v>
      </c>
    </row>
    <row r="5671" spans="1:3" x14ac:dyDescent="0.3">
      <c r="A5671" t="s">
        <v>5670</v>
      </c>
      <c r="B5671">
        <f>0*(1-0.8198)</f>
        <v>0</v>
      </c>
      <c r="C5671" s="1">
        <v>3</v>
      </c>
    </row>
    <row r="5672" spans="1:3" x14ac:dyDescent="0.3">
      <c r="A5672" t="s">
        <v>5671</v>
      </c>
      <c r="B5672">
        <f>6.92874830142857*(1-0.8198)</f>
        <v>1.2485604439174287</v>
      </c>
      <c r="C5672" s="1">
        <v>2</v>
      </c>
    </row>
    <row r="5673" spans="1:3" x14ac:dyDescent="0.3">
      <c r="A5673" t="s">
        <v>5672</v>
      </c>
      <c r="B5673">
        <f>19.8628954*(1-0.8198)</f>
        <v>3.5792937510800011</v>
      </c>
      <c r="C5673" s="1">
        <v>2</v>
      </c>
    </row>
    <row r="5674" spans="1:3" x14ac:dyDescent="0.3">
      <c r="A5674" t="s">
        <v>5673</v>
      </c>
      <c r="B5674">
        <f>32.5036184842857*(1-0.8198)</f>
        <v>5.8571520508682884</v>
      </c>
      <c r="C5674" s="1">
        <v>3</v>
      </c>
    </row>
    <row r="5675" spans="1:3" x14ac:dyDescent="0.3">
      <c r="A5675" t="s">
        <v>5674</v>
      </c>
      <c r="B5675">
        <f>43.5271274171429*(1-0.8198)</f>
        <v>7.8435883605691457</v>
      </c>
      <c r="C5675" s="1">
        <v>2</v>
      </c>
    </row>
    <row r="5676" spans="1:3" x14ac:dyDescent="0.3">
      <c r="A5676" t="s">
        <v>5675</v>
      </c>
      <c r="B5676">
        <f>51.6575776142857*(1-0.8198)</f>
        <v>9.3086954860942868</v>
      </c>
      <c r="C5676" s="1">
        <v>2</v>
      </c>
    </row>
    <row r="5677" spans="1:3" x14ac:dyDescent="0.3">
      <c r="A5677" t="s">
        <v>5676</v>
      </c>
      <c r="B5677">
        <f>55.2193932357143*(1-0.8198)</f>
        <v>9.9505346610757162</v>
      </c>
      <c r="C5677" s="1">
        <v>3</v>
      </c>
    </row>
    <row r="5678" spans="1:3" x14ac:dyDescent="0.3">
      <c r="A5678" t="s">
        <v>5677</v>
      </c>
      <c r="B5678">
        <f>55.75189897*(1-0.8198)</f>
        <v>10.046492194394002</v>
      </c>
      <c r="C5678" s="1">
        <v>2</v>
      </c>
    </row>
    <row r="5679" spans="1:3" x14ac:dyDescent="0.3">
      <c r="A5679" t="s">
        <v>5678</v>
      </c>
      <c r="B5679">
        <f>52.5534292328571*(1-0.8198)</f>
        <v>9.4701279477608598</v>
      </c>
      <c r="C5679" s="1">
        <v>2</v>
      </c>
    </row>
    <row r="5680" spans="1:3" x14ac:dyDescent="0.3">
      <c r="A5680" t="s">
        <v>5679</v>
      </c>
      <c r="B5680">
        <f>46.2188863214286*(1-0.8198)</f>
        <v>8.3286433151214307</v>
      </c>
      <c r="C5680" s="1">
        <v>3</v>
      </c>
    </row>
    <row r="5681" spans="1:3" x14ac:dyDescent="0.3">
      <c r="A5681" t="s">
        <v>5680</v>
      </c>
      <c r="B5681">
        <f>36.1121812485714*(1-0.8198)</f>
        <v>6.5074150609925718</v>
      </c>
      <c r="C5681" s="1">
        <v>2</v>
      </c>
    </row>
    <row r="5682" spans="1:3" x14ac:dyDescent="0.3">
      <c r="A5682" t="s">
        <v>5681</v>
      </c>
      <c r="B5682">
        <f>23.5329563957143*(1-0.8198)</f>
        <v>4.2406387425077146</v>
      </c>
      <c r="C5682" s="1">
        <v>2</v>
      </c>
    </row>
    <row r="5683" spans="1:3" x14ac:dyDescent="0.3">
      <c r="A5683" t="s">
        <v>5682</v>
      </c>
      <c r="B5683">
        <f>10.0746289771429*(1-0.8198)</f>
        <v>1.8154481416811432</v>
      </c>
      <c r="C5683" s="1">
        <v>3</v>
      </c>
    </row>
    <row r="5684" spans="1:3" x14ac:dyDescent="0.3">
      <c r="A5684" t="s">
        <v>5683</v>
      </c>
      <c r="B5684">
        <f>0.8514*(1-0.8198)</f>
        <v>0.15342228000000002</v>
      </c>
      <c r="C5684" s="1">
        <v>2</v>
      </c>
    </row>
    <row r="5685" spans="1:3" x14ac:dyDescent="0.3">
      <c r="A5685" t="s">
        <v>5684</v>
      </c>
      <c r="B5685">
        <f>0*(1-0.8198)</f>
        <v>0</v>
      </c>
      <c r="C5685" s="1">
        <v>3</v>
      </c>
    </row>
    <row r="5686" spans="1:3" x14ac:dyDescent="0.3">
      <c r="A5686" t="s">
        <v>5685</v>
      </c>
      <c r="B5686">
        <f>0*(1-0.8198)</f>
        <v>0</v>
      </c>
      <c r="C5686" s="1">
        <v>2</v>
      </c>
    </row>
    <row r="5687" spans="1:3" x14ac:dyDescent="0.3">
      <c r="A5687" t="s">
        <v>5686</v>
      </c>
      <c r="B5687">
        <f>0*(1-0.8198)</f>
        <v>0</v>
      </c>
      <c r="C5687" s="1">
        <v>2</v>
      </c>
    </row>
    <row r="5688" spans="1:3" x14ac:dyDescent="0.3">
      <c r="A5688" t="s">
        <v>5687</v>
      </c>
      <c r="B5688">
        <f>0*(1-0.8198)</f>
        <v>0</v>
      </c>
      <c r="C5688" s="1">
        <v>3</v>
      </c>
    </row>
    <row r="5689" spans="1:3" x14ac:dyDescent="0.3">
      <c r="A5689" t="s">
        <v>5688</v>
      </c>
      <c r="B5689">
        <f>0*(1-0.8198)</f>
        <v>0</v>
      </c>
      <c r="C5689" s="1">
        <v>2</v>
      </c>
    </row>
    <row r="5690" spans="1:3" x14ac:dyDescent="0.3">
      <c r="A5690" t="s">
        <v>5689</v>
      </c>
      <c r="B5690">
        <f>0*(1-0.8198)</f>
        <v>0</v>
      </c>
      <c r="C5690" s="1">
        <v>2</v>
      </c>
    </row>
    <row r="5691" spans="1:3" x14ac:dyDescent="0.3">
      <c r="A5691" t="s">
        <v>5690</v>
      </c>
      <c r="B5691">
        <f>0*(1-0.8198)</f>
        <v>0</v>
      </c>
      <c r="C5691" s="1">
        <v>2</v>
      </c>
    </row>
    <row r="5692" spans="1:3" x14ac:dyDescent="0.3">
      <c r="A5692" t="s">
        <v>5691</v>
      </c>
      <c r="B5692">
        <f>0*(1-0.8198)</f>
        <v>0</v>
      </c>
      <c r="C5692" s="1">
        <v>3</v>
      </c>
    </row>
    <row r="5693" spans="1:3" x14ac:dyDescent="0.3">
      <c r="A5693" t="s">
        <v>5692</v>
      </c>
      <c r="B5693">
        <f>0*(1-0.8198)</f>
        <v>0</v>
      </c>
      <c r="C5693" s="1">
        <v>2</v>
      </c>
    </row>
    <row r="5694" spans="1:3" x14ac:dyDescent="0.3">
      <c r="A5694" t="s">
        <v>5693</v>
      </c>
      <c r="B5694">
        <f>0*(1-0.8198)</f>
        <v>0</v>
      </c>
      <c r="C5694" s="1">
        <v>2</v>
      </c>
    </row>
    <row r="5695" spans="1:3" x14ac:dyDescent="0.3">
      <c r="A5695" t="s">
        <v>5694</v>
      </c>
      <c r="B5695">
        <f>0*(1-0.8198)</f>
        <v>0</v>
      </c>
      <c r="C5695" s="1">
        <v>2</v>
      </c>
    </row>
    <row r="5696" spans="1:3" x14ac:dyDescent="0.3">
      <c r="A5696" t="s">
        <v>5695</v>
      </c>
      <c r="B5696">
        <f>2.74836318285714*(1-0.8198)</f>
        <v>0.49525504555085736</v>
      </c>
      <c r="C5696" s="1">
        <v>3</v>
      </c>
    </row>
    <row r="5697" spans="1:3" x14ac:dyDescent="0.3">
      <c r="A5697" t="s">
        <v>5696</v>
      </c>
      <c r="B5697">
        <f>12.6997183471429*(1-0.8198)</f>
        <v>2.2884892461551432</v>
      </c>
      <c r="C5697" s="1">
        <v>3</v>
      </c>
    </row>
    <row r="5698" spans="1:3" x14ac:dyDescent="0.3">
      <c r="A5698" t="s">
        <v>5697</v>
      </c>
      <c r="B5698">
        <f>29.4050042071429*(1-0.8198)</f>
        <v>5.2987817581271441</v>
      </c>
      <c r="C5698" s="1">
        <v>2</v>
      </c>
    </row>
    <row r="5699" spans="1:3" x14ac:dyDescent="0.3">
      <c r="A5699" t="s">
        <v>5698</v>
      </c>
      <c r="B5699">
        <f>26.7732263714286*(1-0.8198)</f>
        <v>4.8245353921314296</v>
      </c>
      <c r="C5699" s="1">
        <v>2</v>
      </c>
    </row>
    <row r="5700" spans="1:3" x14ac:dyDescent="0.3">
      <c r="A5700" t="s">
        <v>5699</v>
      </c>
      <c r="B5700">
        <f>21.0520890257143*(1-0.8198)</f>
        <v>3.7935864424337153</v>
      </c>
      <c r="C5700" s="1">
        <v>2</v>
      </c>
    </row>
    <row r="5701" spans="1:3" x14ac:dyDescent="0.3">
      <c r="A5701" t="s">
        <v>5700</v>
      </c>
      <c r="B5701">
        <f>48.5628964242857*(1-0.8198)</f>
        <v>8.7510339356562863</v>
      </c>
      <c r="C5701" s="1">
        <v>3</v>
      </c>
    </row>
    <row r="5702" spans="1:3" x14ac:dyDescent="0.3">
      <c r="A5702" t="s">
        <v>5701</v>
      </c>
      <c r="B5702">
        <f>6.34164*(1-0.8198)</f>
        <v>1.1427635280000001</v>
      </c>
      <c r="C5702" s="1">
        <v>2</v>
      </c>
    </row>
    <row r="5703" spans="1:3" x14ac:dyDescent="0.3">
      <c r="A5703" t="s">
        <v>5702</v>
      </c>
      <c r="B5703">
        <f>24.3624498614286*(1-0.8198)</f>
        <v>4.3901134650294296</v>
      </c>
      <c r="C5703" s="1">
        <v>2</v>
      </c>
    </row>
    <row r="5704" spans="1:3" x14ac:dyDescent="0.3">
      <c r="A5704" t="s">
        <v>5703</v>
      </c>
      <c r="B5704">
        <f>37.2358894371429*(1-0.8198)</f>
        <v>6.7099072765731442</v>
      </c>
      <c r="C5704" s="1">
        <v>3</v>
      </c>
    </row>
    <row r="5705" spans="1:3" x14ac:dyDescent="0.3">
      <c r="A5705" t="s">
        <v>5704</v>
      </c>
      <c r="B5705">
        <f>3.00656*(1-0.8198)</f>
        <v>0.54178211200000015</v>
      </c>
      <c r="C5705" s="1">
        <v>2</v>
      </c>
    </row>
    <row r="5706" spans="1:3" x14ac:dyDescent="0.3">
      <c r="A5706" t="s">
        <v>5705</v>
      </c>
      <c r="B5706">
        <f>1.95822*(1-0.8198)</f>
        <v>0.35287124400000008</v>
      </c>
      <c r="C5706" s="1">
        <v>2</v>
      </c>
    </row>
    <row r="5707" spans="1:3" x14ac:dyDescent="0.3">
      <c r="A5707" t="s">
        <v>5706</v>
      </c>
      <c r="B5707">
        <f>0.75336*(1-0.8198)</f>
        <v>0.13575547200000002</v>
      </c>
      <c r="C5707" s="1">
        <v>3</v>
      </c>
    </row>
    <row r="5708" spans="1:3" x14ac:dyDescent="0.3">
      <c r="A5708" t="s">
        <v>5707</v>
      </c>
      <c r="B5708">
        <f>0*(1-0.8198)</f>
        <v>0</v>
      </c>
      <c r="C5708" s="1">
        <v>2</v>
      </c>
    </row>
    <row r="5709" spans="1:3" x14ac:dyDescent="0.3">
      <c r="A5709" t="s">
        <v>5708</v>
      </c>
      <c r="B5709">
        <f>0*(1-0.8198)</f>
        <v>0</v>
      </c>
      <c r="C5709" s="1">
        <v>2</v>
      </c>
    </row>
    <row r="5710" spans="1:3" x14ac:dyDescent="0.3">
      <c r="A5710" t="s">
        <v>5709</v>
      </c>
      <c r="B5710">
        <f>0*(1-0.8198)</f>
        <v>0</v>
      </c>
      <c r="C5710" s="1">
        <v>3</v>
      </c>
    </row>
    <row r="5711" spans="1:3" x14ac:dyDescent="0.3">
      <c r="A5711" t="s">
        <v>5710</v>
      </c>
      <c r="B5711">
        <f>0*(1-0.8198)</f>
        <v>0</v>
      </c>
      <c r="C5711" s="1">
        <v>2</v>
      </c>
    </row>
    <row r="5712" spans="1:3" x14ac:dyDescent="0.3">
      <c r="A5712" t="s">
        <v>5711</v>
      </c>
      <c r="B5712">
        <f>0*(1-0.8198)</f>
        <v>0</v>
      </c>
      <c r="C5712" s="1">
        <v>2</v>
      </c>
    </row>
    <row r="5713" spans="1:3" x14ac:dyDescent="0.3">
      <c r="A5713" t="s">
        <v>5712</v>
      </c>
      <c r="B5713">
        <f>0*(1-0.8198)</f>
        <v>0</v>
      </c>
      <c r="C5713" s="1">
        <v>2</v>
      </c>
    </row>
    <row r="5714" spans="1:3" x14ac:dyDescent="0.3">
      <c r="A5714" t="s">
        <v>5713</v>
      </c>
      <c r="B5714">
        <f>0*(1-0.8198)</f>
        <v>0</v>
      </c>
      <c r="C5714" s="1">
        <v>3</v>
      </c>
    </row>
    <row r="5715" spans="1:3" x14ac:dyDescent="0.3">
      <c r="A5715" t="s">
        <v>5714</v>
      </c>
      <c r="B5715">
        <f>0*(1-0.8198)</f>
        <v>0</v>
      </c>
      <c r="C5715" s="1">
        <v>2</v>
      </c>
    </row>
    <row r="5716" spans="1:3" x14ac:dyDescent="0.3">
      <c r="A5716" t="s">
        <v>5715</v>
      </c>
      <c r="B5716">
        <f>0*(1-0.8198)</f>
        <v>0</v>
      </c>
      <c r="C5716" s="1">
        <v>2</v>
      </c>
    </row>
    <row r="5717" spans="1:3" x14ac:dyDescent="0.3">
      <c r="A5717" t="s">
        <v>5716</v>
      </c>
      <c r="B5717">
        <f>0*(1-0.8198)</f>
        <v>0</v>
      </c>
      <c r="C5717" s="1">
        <v>3</v>
      </c>
    </row>
    <row r="5718" spans="1:3" x14ac:dyDescent="0.3">
      <c r="A5718" t="s">
        <v>5717</v>
      </c>
      <c r="B5718">
        <f>0*(1-0.8198)</f>
        <v>0</v>
      </c>
      <c r="C5718" s="1">
        <v>2</v>
      </c>
    </row>
    <row r="5719" spans="1:3" x14ac:dyDescent="0.3">
      <c r="A5719" t="s">
        <v>5718</v>
      </c>
      <c r="B5719">
        <f>0*(1-0.8198)</f>
        <v>0</v>
      </c>
      <c r="C5719" s="1">
        <v>2</v>
      </c>
    </row>
    <row r="5720" spans="1:3" x14ac:dyDescent="0.3">
      <c r="A5720" t="s">
        <v>5719</v>
      </c>
      <c r="B5720">
        <f>0.4644*(1-0.8198)</f>
        <v>8.3684880000000031E-2</v>
      </c>
      <c r="C5720" s="1">
        <v>2</v>
      </c>
    </row>
    <row r="5721" spans="1:3" x14ac:dyDescent="0.3">
      <c r="A5721" t="s">
        <v>5720</v>
      </c>
      <c r="B5721">
        <f>1.11886*(1-0.8198)</f>
        <v>0.20161857200000002</v>
      </c>
      <c r="C5721" s="1">
        <v>3</v>
      </c>
    </row>
    <row r="5722" spans="1:3" x14ac:dyDescent="0.3">
      <c r="A5722" t="s">
        <v>5721</v>
      </c>
      <c r="B5722">
        <f>2.81564*(1-0.8198)</f>
        <v>0.50737832800000016</v>
      </c>
      <c r="C5722" s="1">
        <v>2</v>
      </c>
    </row>
    <row r="5723" spans="1:3" x14ac:dyDescent="0.3">
      <c r="A5723" t="s">
        <v>5722</v>
      </c>
      <c r="B5723">
        <f>3.4271*(1-0.8198)</f>
        <v>0.61756342000000009</v>
      </c>
      <c r="C5723" s="1">
        <v>3</v>
      </c>
    </row>
    <row r="5724" spans="1:3" x14ac:dyDescent="0.3">
      <c r="A5724" t="s">
        <v>5723</v>
      </c>
      <c r="B5724">
        <f>3.77024*(1-0.8198)</f>
        <v>0.67939724800000012</v>
      </c>
      <c r="C5724" s="1">
        <v>2</v>
      </c>
    </row>
    <row r="5725" spans="1:3" x14ac:dyDescent="0.3">
      <c r="A5725" t="s">
        <v>5724</v>
      </c>
      <c r="B5725">
        <f>4.1796*(1-0.8198)</f>
        <v>0.75316392000000021</v>
      </c>
      <c r="C5725" s="1">
        <v>2</v>
      </c>
    </row>
    <row r="5726" spans="1:3" x14ac:dyDescent="0.3">
      <c r="A5726" t="s">
        <v>5725</v>
      </c>
      <c r="B5726">
        <f>9.6922*(1-0.8198)</f>
        <v>1.7465344400000005</v>
      </c>
      <c r="C5726" s="1">
        <v>3</v>
      </c>
    </row>
    <row r="5727" spans="1:3" x14ac:dyDescent="0.3">
      <c r="A5727" t="s">
        <v>5726</v>
      </c>
      <c r="B5727">
        <f>7.59036*(1-0.8198)</f>
        <v>1.367782872</v>
      </c>
      <c r="C5727" s="1">
        <v>2</v>
      </c>
    </row>
    <row r="5728" spans="1:3" x14ac:dyDescent="0.3">
      <c r="A5728" t="s">
        <v>5727</v>
      </c>
      <c r="B5728">
        <f>5.25804*(1-0.8198)</f>
        <v>0.94749880800000019</v>
      </c>
      <c r="C5728" s="1">
        <v>2</v>
      </c>
    </row>
    <row r="5729" spans="1:3" x14ac:dyDescent="0.3">
      <c r="A5729" t="s">
        <v>5728</v>
      </c>
      <c r="B5729">
        <f>11.41048*(1-0.8198)</f>
        <v>2.0561684960000006</v>
      </c>
      <c r="C5729" s="1">
        <v>3</v>
      </c>
    </row>
    <row r="5730" spans="1:3" x14ac:dyDescent="0.3">
      <c r="A5730" t="s">
        <v>5729</v>
      </c>
      <c r="B5730">
        <f>5.24256*(1-0.8198)</f>
        <v>0.94470931200000019</v>
      </c>
      <c r="C5730" s="1">
        <v>2</v>
      </c>
    </row>
    <row r="5731" spans="1:3" x14ac:dyDescent="0.3">
      <c r="A5731" t="s">
        <v>5730</v>
      </c>
      <c r="B5731">
        <f>0.51944*(1-0.8198)</f>
        <v>9.3603088000000043E-2</v>
      </c>
      <c r="C5731" s="1">
        <v>2</v>
      </c>
    </row>
    <row r="5732" spans="1:3" x14ac:dyDescent="0.3">
      <c r="A5732" t="s">
        <v>5731</v>
      </c>
      <c r="B5732">
        <f>0.6149*(1-0.8198)</f>
        <v>0.11080498000000004</v>
      </c>
      <c r="C5732" s="1">
        <v>2</v>
      </c>
    </row>
    <row r="5733" spans="1:3" x14ac:dyDescent="0.3">
      <c r="A5733" t="s">
        <v>5732</v>
      </c>
      <c r="B5733">
        <f>0*(1-0.8198)</f>
        <v>0</v>
      </c>
      <c r="C5733" s="1">
        <v>3</v>
      </c>
    </row>
    <row r="5734" spans="1:3" x14ac:dyDescent="0.3">
      <c r="A5734" t="s">
        <v>5733</v>
      </c>
      <c r="B5734">
        <f>0*(1-0.8198)</f>
        <v>0</v>
      </c>
      <c r="C5734" s="1">
        <v>2</v>
      </c>
    </row>
    <row r="5735" spans="1:3" x14ac:dyDescent="0.3">
      <c r="A5735" t="s">
        <v>5734</v>
      </c>
      <c r="B5735">
        <f>0*(1-0.8198)</f>
        <v>0</v>
      </c>
      <c r="C5735" s="1">
        <v>3</v>
      </c>
    </row>
    <row r="5736" spans="1:3" x14ac:dyDescent="0.3">
      <c r="A5736" t="s">
        <v>5735</v>
      </c>
      <c r="B5736">
        <f>0*(1-0.8198)</f>
        <v>0</v>
      </c>
      <c r="C5736" s="1">
        <v>2</v>
      </c>
    </row>
    <row r="5737" spans="1:3" x14ac:dyDescent="0.3">
      <c r="A5737" t="s">
        <v>5736</v>
      </c>
      <c r="B5737">
        <f>0*(1-0.8198)</f>
        <v>0</v>
      </c>
      <c r="C5737" s="1">
        <v>2</v>
      </c>
    </row>
    <row r="5738" spans="1:3" x14ac:dyDescent="0.3">
      <c r="A5738" t="s">
        <v>5737</v>
      </c>
      <c r="B5738">
        <f>0*(1-0.8198)</f>
        <v>0</v>
      </c>
      <c r="C5738" s="1">
        <v>2</v>
      </c>
    </row>
    <row r="5739" spans="1:3" x14ac:dyDescent="0.3">
      <c r="A5739" t="s">
        <v>5738</v>
      </c>
      <c r="B5739">
        <f>0*(1-0.8198)</f>
        <v>0</v>
      </c>
      <c r="C5739" s="1">
        <v>3</v>
      </c>
    </row>
    <row r="5740" spans="1:3" x14ac:dyDescent="0.3">
      <c r="A5740" t="s">
        <v>5739</v>
      </c>
      <c r="B5740">
        <f>0*(1-0.8198)</f>
        <v>0</v>
      </c>
      <c r="C5740" s="1">
        <v>2</v>
      </c>
    </row>
    <row r="5741" spans="1:3" x14ac:dyDescent="0.3">
      <c r="A5741" t="s">
        <v>5740</v>
      </c>
      <c r="B5741">
        <f>0*(1-0.8198)</f>
        <v>0</v>
      </c>
      <c r="C5741" s="1">
        <v>2</v>
      </c>
    </row>
    <row r="5742" spans="1:3" x14ac:dyDescent="0.3">
      <c r="A5742" t="s">
        <v>5741</v>
      </c>
      <c r="B5742">
        <f>0*(1-0.8198)</f>
        <v>0</v>
      </c>
      <c r="C5742" s="1">
        <v>3</v>
      </c>
    </row>
    <row r="5743" spans="1:3" x14ac:dyDescent="0.3">
      <c r="A5743" t="s">
        <v>5742</v>
      </c>
      <c r="B5743">
        <f>0*(1-0.8198)</f>
        <v>0</v>
      </c>
      <c r="C5743" s="1">
        <v>2</v>
      </c>
    </row>
    <row r="5744" spans="1:3" x14ac:dyDescent="0.3">
      <c r="A5744" t="s">
        <v>5743</v>
      </c>
      <c r="B5744">
        <f>7.54185421857143*(1-0.8198)</f>
        <v>1.3590421301865718</v>
      </c>
      <c r="C5744" s="1">
        <v>2</v>
      </c>
    </row>
    <row r="5745" spans="1:3" x14ac:dyDescent="0.3">
      <c r="A5745" t="s">
        <v>5744</v>
      </c>
      <c r="B5745">
        <f>6.19578436857143*(1-0.8198)</f>
        <v>1.1164803432165717</v>
      </c>
      <c r="C5745" s="1">
        <v>2</v>
      </c>
    </row>
    <row r="5746" spans="1:3" x14ac:dyDescent="0.3">
      <c r="A5746" t="s">
        <v>5745</v>
      </c>
      <c r="B5746">
        <f>20.2856304271429*(1-0.8198)</f>
        <v>3.6554706029711439</v>
      </c>
      <c r="C5746" s="1">
        <v>3</v>
      </c>
    </row>
    <row r="5747" spans="1:3" x14ac:dyDescent="0.3">
      <c r="A5747" t="s">
        <v>5746</v>
      </c>
      <c r="B5747">
        <f>40.6935397085714*(1-0.8198)</f>
        <v>7.3329758554845741</v>
      </c>
      <c r="C5747" s="1">
        <v>3</v>
      </c>
    </row>
    <row r="5748" spans="1:3" x14ac:dyDescent="0.3">
      <c r="A5748" t="s">
        <v>5747</v>
      </c>
      <c r="B5748">
        <f>54.5089369771429*(1-0.8198)</f>
        <v>9.8225104432811428</v>
      </c>
      <c r="C5748" s="1">
        <v>3</v>
      </c>
    </row>
    <row r="5749" spans="1:3" x14ac:dyDescent="0.3">
      <c r="A5749" t="s">
        <v>5748</v>
      </c>
      <c r="B5749">
        <f>59.1881802071429*(1-0.8198)</f>
        <v>10.665710073327144</v>
      </c>
      <c r="C5749" s="1">
        <v>2</v>
      </c>
    </row>
    <row r="5750" spans="1:3" x14ac:dyDescent="0.3">
      <c r="A5750" t="s">
        <v>5749</v>
      </c>
      <c r="B5750">
        <f>58.6225535385714*(1-0.8198)</f>
        <v>10.563784147650573</v>
      </c>
      <c r="C5750" s="1">
        <v>3</v>
      </c>
    </row>
    <row r="5751" spans="1:3" x14ac:dyDescent="0.3">
      <c r="A5751" t="s">
        <v>5750</v>
      </c>
      <c r="B5751">
        <f>55.0615551628571*(1-0.8198)</f>
        <v>9.9220922403468599</v>
      </c>
      <c r="C5751" s="1">
        <v>3</v>
      </c>
    </row>
    <row r="5752" spans="1:3" x14ac:dyDescent="0.3">
      <c r="A5752" t="s">
        <v>5751</v>
      </c>
      <c r="B5752">
        <f>45.6581294642857*(1-0.8198)</f>
        <v>8.2275949294642885</v>
      </c>
      <c r="C5752" s="1">
        <v>2</v>
      </c>
    </row>
    <row r="5753" spans="1:3" x14ac:dyDescent="0.3">
      <c r="A5753" t="s">
        <v>5752</v>
      </c>
      <c r="B5753">
        <f>16.8413953571429*(1-0.8198)</f>
        <v>3.0348194433571436</v>
      </c>
      <c r="C5753" s="1">
        <v>2</v>
      </c>
    </row>
    <row r="5754" spans="1:3" x14ac:dyDescent="0.3">
      <c r="A5754" t="s">
        <v>5753</v>
      </c>
      <c r="B5754">
        <f>21.2692135328571*(1-0.8198)</f>
        <v>3.8327122786208578</v>
      </c>
      <c r="C5754" s="1">
        <v>3</v>
      </c>
    </row>
    <row r="5755" spans="1:3" x14ac:dyDescent="0.3">
      <c r="A5755" t="s">
        <v>5754</v>
      </c>
      <c r="B5755">
        <f>9.73833869285714*(1-0.8198)</f>
        <v>1.7548486324528578</v>
      </c>
      <c r="C5755" s="1">
        <v>2</v>
      </c>
    </row>
    <row r="5756" spans="1:3" x14ac:dyDescent="0.3">
      <c r="A5756" t="s">
        <v>5755</v>
      </c>
      <c r="B5756">
        <f>0.54696*(1-0.8198)</f>
        <v>9.8562192000000021E-2</v>
      </c>
      <c r="C5756" s="1">
        <v>2</v>
      </c>
    </row>
    <row r="5757" spans="1:3" x14ac:dyDescent="0.3">
      <c r="A5757" t="s">
        <v>5756</v>
      </c>
      <c r="B5757">
        <f>0*(1-0.8198)</f>
        <v>0</v>
      </c>
      <c r="C5757" s="1">
        <v>3</v>
      </c>
    </row>
    <row r="5758" spans="1:3" x14ac:dyDescent="0.3">
      <c r="A5758" t="s">
        <v>5757</v>
      </c>
      <c r="B5758">
        <f>0*(1-0.8198)</f>
        <v>0</v>
      </c>
      <c r="C5758" s="1">
        <v>2</v>
      </c>
    </row>
    <row r="5759" spans="1:3" x14ac:dyDescent="0.3">
      <c r="A5759" t="s">
        <v>5758</v>
      </c>
      <c r="B5759">
        <f>0*(1-0.8198)</f>
        <v>0</v>
      </c>
      <c r="C5759" s="1">
        <v>3</v>
      </c>
    </row>
    <row r="5760" spans="1:3" x14ac:dyDescent="0.3">
      <c r="A5760" t="s">
        <v>5759</v>
      </c>
      <c r="B5760">
        <f>0*(1-0.8198)</f>
        <v>0</v>
      </c>
      <c r="C5760" s="1">
        <v>2</v>
      </c>
    </row>
    <row r="5761" spans="1:3" x14ac:dyDescent="0.3">
      <c r="A5761" t="s">
        <v>5760</v>
      </c>
      <c r="B5761">
        <f>0*(1-0.8198)</f>
        <v>0</v>
      </c>
      <c r="C5761" s="1">
        <v>2</v>
      </c>
    </row>
    <row r="5762" spans="1:3" x14ac:dyDescent="0.3">
      <c r="A5762" t="s">
        <v>5761</v>
      </c>
      <c r="B5762">
        <f>0*(1-0.8198)</f>
        <v>0</v>
      </c>
      <c r="C5762" s="1">
        <v>2</v>
      </c>
    </row>
    <row r="5763" spans="1:3" x14ac:dyDescent="0.3">
      <c r="A5763" t="s">
        <v>5762</v>
      </c>
      <c r="B5763">
        <f>0*(1-0.8198)</f>
        <v>0</v>
      </c>
      <c r="C5763" s="1">
        <v>3</v>
      </c>
    </row>
    <row r="5764" spans="1:3" x14ac:dyDescent="0.3">
      <c r="A5764" t="s">
        <v>5763</v>
      </c>
      <c r="B5764">
        <f>0*(1-0.8198)</f>
        <v>0</v>
      </c>
      <c r="C5764" s="1">
        <v>2</v>
      </c>
    </row>
    <row r="5765" spans="1:3" x14ac:dyDescent="0.3">
      <c r="A5765" t="s">
        <v>5764</v>
      </c>
      <c r="B5765">
        <f>0*(1-0.8198)</f>
        <v>0</v>
      </c>
      <c r="C5765" s="1">
        <v>3</v>
      </c>
    </row>
    <row r="5766" spans="1:3" x14ac:dyDescent="0.3">
      <c r="A5766" t="s">
        <v>5765</v>
      </c>
      <c r="B5766">
        <f>0*(1-0.8198)</f>
        <v>0</v>
      </c>
      <c r="C5766" s="1">
        <v>2</v>
      </c>
    </row>
    <row r="5767" spans="1:3" x14ac:dyDescent="0.3">
      <c r="A5767" t="s">
        <v>5766</v>
      </c>
      <c r="B5767">
        <f>0*(1-0.8198)</f>
        <v>0</v>
      </c>
      <c r="C5767" s="1">
        <v>3</v>
      </c>
    </row>
    <row r="5768" spans="1:3" x14ac:dyDescent="0.3">
      <c r="A5768" t="s">
        <v>5767</v>
      </c>
      <c r="B5768">
        <f>7.24680075*(1-0.8198)</f>
        <v>1.3058734951500004</v>
      </c>
      <c r="C5768" s="1">
        <v>2</v>
      </c>
    </row>
    <row r="5769" spans="1:3" x14ac:dyDescent="0.3">
      <c r="A5769" t="s">
        <v>5768</v>
      </c>
      <c r="B5769">
        <f>21.6395463642857*(1-0.8198)</f>
        <v>3.8994462548442868</v>
      </c>
      <c r="C5769" s="1">
        <v>2</v>
      </c>
    </row>
    <row r="5770" spans="1:3" x14ac:dyDescent="0.3">
      <c r="A5770" t="s">
        <v>5769</v>
      </c>
      <c r="B5770">
        <f>35.3435295885714*(1-0.8198)</f>
        <v>6.3689040318605734</v>
      </c>
      <c r="C5770" s="1">
        <v>3</v>
      </c>
    </row>
    <row r="5771" spans="1:3" x14ac:dyDescent="0.3">
      <c r="A5771" t="s">
        <v>5770</v>
      </c>
      <c r="B5771">
        <f>45.8415858928571*(1-0.8198)</f>
        <v>8.260653777892859</v>
      </c>
      <c r="C5771" s="1">
        <v>2</v>
      </c>
    </row>
    <row r="5772" spans="1:3" x14ac:dyDescent="0.3">
      <c r="A5772" t="s">
        <v>5771</v>
      </c>
      <c r="B5772">
        <f>51.8217816528571*(1-0.8198)</f>
        <v>9.3382850538448601</v>
      </c>
      <c r="C5772" s="1">
        <v>3</v>
      </c>
    </row>
    <row r="5773" spans="1:3" x14ac:dyDescent="0.3">
      <c r="A5773" t="s">
        <v>5772</v>
      </c>
      <c r="B5773">
        <f>56.0569242614286*(1-0.8198)</f>
        <v>10.101457751909431</v>
      </c>
      <c r="C5773" s="1">
        <v>3</v>
      </c>
    </row>
    <row r="5774" spans="1:3" x14ac:dyDescent="0.3">
      <c r="A5774" t="s">
        <v>5773</v>
      </c>
      <c r="B5774">
        <f>56.5516253171429*(1-0.8198)</f>
        <v>10.190602882149145</v>
      </c>
      <c r="C5774" s="1">
        <v>2</v>
      </c>
    </row>
    <row r="5775" spans="1:3" x14ac:dyDescent="0.3">
      <c r="A5775" t="s">
        <v>5774</v>
      </c>
      <c r="B5775">
        <f>54.53635476*(1-0.8198)</f>
        <v>9.8274511277520009</v>
      </c>
      <c r="C5775" s="1">
        <v>3</v>
      </c>
    </row>
    <row r="5776" spans="1:3" x14ac:dyDescent="0.3">
      <c r="A5776" t="s">
        <v>5775</v>
      </c>
      <c r="B5776">
        <f>47.88867172*(1-0.8198)</f>
        <v>8.6295386439440041</v>
      </c>
      <c r="C5776" s="1">
        <v>3</v>
      </c>
    </row>
    <row r="5777" spans="1:3" x14ac:dyDescent="0.3">
      <c r="A5777" t="s">
        <v>5776</v>
      </c>
      <c r="B5777">
        <f>37.2157329414286*(1-0.8198)</f>
        <v>6.7062750760454293</v>
      </c>
      <c r="C5777" s="1">
        <v>2</v>
      </c>
    </row>
    <row r="5778" spans="1:3" x14ac:dyDescent="0.3">
      <c r="A5778" t="s">
        <v>5777</v>
      </c>
      <c r="B5778">
        <f>24.03814853*(1-0.8198)</f>
        <v>4.331674365106001</v>
      </c>
      <c r="C5778" s="1">
        <v>3</v>
      </c>
    </row>
    <row r="5779" spans="1:3" x14ac:dyDescent="0.3">
      <c r="A5779" t="s">
        <v>5778</v>
      </c>
      <c r="B5779">
        <f>9.79811692428571*(1-0.8198)</f>
        <v>1.7656206697562862</v>
      </c>
      <c r="C5779" s="1">
        <v>2</v>
      </c>
    </row>
    <row r="5780" spans="1:3" x14ac:dyDescent="0.3">
      <c r="A5780" t="s">
        <v>5779</v>
      </c>
      <c r="B5780">
        <f>0.4601*(1-0.8198)</f>
        <v>8.2910019999999987E-2</v>
      </c>
      <c r="C5780" s="1">
        <v>3</v>
      </c>
    </row>
    <row r="5781" spans="1:3" x14ac:dyDescent="0.3">
      <c r="A5781" t="s">
        <v>5780</v>
      </c>
      <c r="B5781">
        <f>0*(1-0.8198)</f>
        <v>0</v>
      </c>
      <c r="C5781" s="1">
        <v>2</v>
      </c>
    </row>
    <row r="5782" spans="1:3" x14ac:dyDescent="0.3">
      <c r="A5782" t="s">
        <v>5781</v>
      </c>
      <c r="B5782">
        <f>0*(1-0.8198)</f>
        <v>0</v>
      </c>
      <c r="C5782" s="1">
        <v>2</v>
      </c>
    </row>
    <row r="5783" spans="1:3" x14ac:dyDescent="0.3">
      <c r="A5783" t="s">
        <v>5782</v>
      </c>
      <c r="B5783">
        <f>0*(1-0.8198)</f>
        <v>0</v>
      </c>
      <c r="C5783" s="1">
        <v>3</v>
      </c>
    </row>
    <row r="5784" spans="1:3" x14ac:dyDescent="0.3">
      <c r="A5784" t="s">
        <v>5783</v>
      </c>
      <c r="B5784">
        <f>0*(1-0.8198)</f>
        <v>0</v>
      </c>
      <c r="C5784" s="1">
        <v>2</v>
      </c>
    </row>
    <row r="5785" spans="1:3" x14ac:dyDescent="0.3">
      <c r="A5785" t="s">
        <v>5784</v>
      </c>
      <c r="B5785">
        <f>0*(1-0.8198)</f>
        <v>0</v>
      </c>
      <c r="C5785" s="1">
        <v>2</v>
      </c>
    </row>
    <row r="5786" spans="1:3" x14ac:dyDescent="0.3">
      <c r="A5786" t="s">
        <v>5785</v>
      </c>
      <c r="B5786">
        <f>0*(1-0.8198)</f>
        <v>0</v>
      </c>
      <c r="C5786" s="1">
        <v>3</v>
      </c>
    </row>
    <row r="5787" spans="1:3" x14ac:dyDescent="0.3">
      <c r="A5787" t="s">
        <v>5786</v>
      </c>
      <c r="B5787">
        <f>0*(1-0.8198)</f>
        <v>0</v>
      </c>
      <c r="C5787" s="1">
        <v>2</v>
      </c>
    </row>
    <row r="5788" spans="1:3" x14ac:dyDescent="0.3">
      <c r="A5788" t="s">
        <v>5787</v>
      </c>
      <c r="B5788">
        <f>0*(1-0.8198)</f>
        <v>0</v>
      </c>
      <c r="C5788" s="1">
        <v>3</v>
      </c>
    </row>
    <row r="5789" spans="1:3" x14ac:dyDescent="0.3">
      <c r="A5789" t="s">
        <v>5788</v>
      </c>
      <c r="B5789">
        <f>0*(1-0.8198)</f>
        <v>0</v>
      </c>
      <c r="C5789" s="1">
        <v>2</v>
      </c>
    </row>
    <row r="5790" spans="1:3" x14ac:dyDescent="0.3">
      <c r="A5790" t="s">
        <v>5789</v>
      </c>
      <c r="B5790">
        <f>0*(1-0.8198)</f>
        <v>0</v>
      </c>
      <c r="C5790" s="1">
        <v>2</v>
      </c>
    </row>
    <row r="5791" spans="1:3" x14ac:dyDescent="0.3">
      <c r="A5791" t="s">
        <v>5790</v>
      </c>
      <c r="B5791">
        <f>0*(1-0.8198)</f>
        <v>0</v>
      </c>
      <c r="C5791" s="1">
        <v>2</v>
      </c>
    </row>
    <row r="5792" spans="1:3" x14ac:dyDescent="0.3">
      <c r="A5792" t="s">
        <v>5791</v>
      </c>
      <c r="B5792">
        <f>4.69035621142857*(1-0.8198)</f>
        <v>0.84520218929942892</v>
      </c>
      <c r="C5792" s="1">
        <v>3</v>
      </c>
    </row>
    <row r="5793" spans="1:3" x14ac:dyDescent="0.3">
      <c r="A5793" t="s">
        <v>5792</v>
      </c>
      <c r="B5793">
        <f>15.2199709528571*(1-0.8198)</f>
        <v>2.7426387657048577</v>
      </c>
      <c r="C5793" s="1">
        <v>2</v>
      </c>
    </row>
    <row r="5794" spans="1:3" x14ac:dyDescent="0.3">
      <c r="A5794" t="s">
        <v>5793</v>
      </c>
      <c r="B5794">
        <f>20.8053901014286*(1-0.8198)</f>
        <v>3.749131296277429</v>
      </c>
      <c r="C5794" s="1">
        <v>3</v>
      </c>
    </row>
    <row r="5795" spans="1:3" x14ac:dyDescent="0.3">
      <c r="A5795" t="s">
        <v>5794</v>
      </c>
      <c r="B5795">
        <f>31.6870072042857*(1-0.8198)</f>
        <v>5.7099986982122877</v>
      </c>
      <c r="C5795" s="1">
        <v>2</v>
      </c>
    </row>
    <row r="5796" spans="1:3" x14ac:dyDescent="0.3">
      <c r="A5796" t="s">
        <v>5795</v>
      </c>
      <c r="B5796">
        <f>34.2580808342857*(1-0.8198)</f>
        <v>6.1733061663382864</v>
      </c>
      <c r="C5796" s="1">
        <v>3</v>
      </c>
    </row>
    <row r="5797" spans="1:3" x14ac:dyDescent="0.3">
      <c r="A5797" t="s">
        <v>5796</v>
      </c>
      <c r="B5797">
        <f>48.0861740371429*(1-0.8198)</f>
        <v>8.6651285614931464</v>
      </c>
      <c r="C5797" s="1">
        <v>3</v>
      </c>
    </row>
    <row r="5798" spans="1:3" x14ac:dyDescent="0.3">
      <c r="A5798" t="s">
        <v>5797</v>
      </c>
      <c r="B5798">
        <f>52.59148024*(1-0.8198)</f>
        <v>9.4769847392480031</v>
      </c>
      <c r="C5798" s="1">
        <v>2</v>
      </c>
    </row>
    <row r="5799" spans="1:3" x14ac:dyDescent="0.3">
      <c r="A5799" t="s">
        <v>5798</v>
      </c>
      <c r="B5799">
        <f>49.4381538071429*(1-0.8198)</f>
        <v>8.9087553160471451</v>
      </c>
      <c r="C5799" s="1">
        <v>2</v>
      </c>
    </row>
    <row r="5800" spans="1:3" x14ac:dyDescent="0.3">
      <c r="A5800" t="s">
        <v>5799</v>
      </c>
      <c r="B5800">
        <f>41.0333155728571*(1-0.8198)</f>
        <v>7.3942034662288592</v>
      </c>
      <c r="C5800" s="1">
        <v>3</v>
      </c>
    </row>
    <row r="5801" spans="1:3" x14ac:dyDescent="0.3">
      <c r="A5801" t="s">
        <v>5800</v>
      </c>
      <c r="B5801">
        <f>30.0528591614286*(1-0.8198)</f>
        <v>5.41552522088943</v>
      </c>
      <c r="C5801" s="1">
        <v>3</v>
      </c>
    </row>
    <row r="5802" spans="1:3" x14ac:dyDescent="0.3">
      <c r="A5802" t="s">
        <v>5801</v>
      </c>
      <c r="B5802">
        <f>17.3559069428571*(1-0.8198)</f>
        <v>3.1275344311028577</v>
      </c>
      <c r="C5802" s="1">
        <v>2</v>
      </c>
    </row>
    <row r="5803" spans="1:3" x14ac:dyDescent="0.3">
      <c r="A5803" t="s">
        <v>5802</v>
      </c>
      <c r="B5803">
        <f>6.41859722285714*(1-0.8198)</f>
        <v>1.1566312195588575</v>
      </c>
      <c r="C5803" s="1">
        <v>2</v>
      </c>
    </row>
    <row r="5804" spans="1:3" x14ac:dyDescent="0.3">
      <c r="A5804" t="s">
        <v>5803</v>
      </c>
      <c r="B5804">
        <f>0.27262*(1-0.8198)</f>
        <v>4.9126124000000014E-2</v>
      </c>
      <c r="C5804" s="1">
        <v>3</v>
      </c>
    </row>
    <row r="5805" spans="1:3" x14ac:dyDescent="0.3">
      <c r="A5805" t="s">
        <v>5804</v>
      </c>
      <c r="B5805">
        <f>0*(1-0.8198)</f>
        <v>0</v>
      </c>
      <c r="C5805" s="1">
        <v>2</v>
      </c>
    </row>
    <row r="5806" spans="1:3" x14ac:dyDescent="0.3">
      <c r="A5806" t="s">
        <v>5805</v>
      </c>
      <c r="B5806">
        <f>0*(1-0.8198)</f>
        <v>0</v>
      </c>
      <c r="C5806" s="1">
        <v>3</v>
      </c>
    </row>
    <row r="5807" spans="1:3" x14ac:dyDescent="0.3">
      <c r="A5807" t="s">
        <v>5806</v>
      </c>
      <c r="B5807">
        <f>0*(1-0.8198)</f>
        <v>0</v>
      </c>
      <c r="C5807" s="1">
        <v>2</v>
      </c>
    </row>
    <row r="5808" spans="1:3" x14ac:dyDescent="0.3">
      <c r="A5808" t="s">
        <v>5807</v>
      </c>
      <c r="B5808">
        <f>0*(1-0.8198)</f>
        <v>0</v>
      </c>
      <c r="C5808" s="1">
        <v>2</v>
      </c>
    </row>
    <row r="5809" spans="1:3" x14ac:dyDescent="0.3">
      <c r="A5809" t="s">
        <v>5808</v>
      </c>
      <c r="B5809">
        <f>0*(1-0.8198)</f>
        <v>0</v>
      </c>
      <c r="C5809" s="1">
        <v>3</v>
      </c>
    </row>
    <row r="5810" spans="1:3" x14ac:dyDescent="0.3">
      <c r="A5810" t="s">
        <v>5809</v>
      </c>
      <c r="B5810">
        <f>0*(1-0.8198)</f>
        <v>0</v>
      </c>
      <c r="C5810" s="1">
        <v>2</v>
      </c>
    </row>
    <row r="5811" spans="1:3" x14ac:dyDescent="0.3">
      <c r="A5811" t="s">
        <v>5810</v>
      </c>
      <c r="B5811">
        <f>0*(1-0.8198)</f>
        <v>0</v>
      </c>
      <c r="C5811" s="1">
        <v>2</v>
      </c>
    </row>
    <row r="5812" spans="1:3" x14ac:dyDescent="0.3">
      <c r="A5812" t="s">
        <v>5811</v>
      </c>
      <c r="B5812">
        <f>0*(1-0.8198)</f>
        <v>0</v>
      </c>
      <c r="C5812" s="1">
        <v>3</v>
      </c>
    </row>
    <row r="5813" spans="1:3" x14ac:dyDescent="0.3">
      <c r="A5813" t="s">
        <v>5812</v>
      </c>
      <c r="B5813">
        <f>0*(1-0.8198)</f>
        <v>0</v>
      </c>
      <c r="C5813" s="1">
        <v>2</v>
      </c>
    </row>
    <row r="5814" spans="1:3" x14ac:dyDescent="0.3">
      <c r="A5814" t="s">
        <v>5813</v>
      </c>
      <c r="B5814">
        <f>0*(1-0.8198)</f>
        <v>0</v>
      </c>
      <c r="C5814" s="1">
        <v>3</v>
      </c>
    </row>
    <row r="5815" spans="1:3" x14ac:dyDescent="0.3">
      <c r="A5815" t="s">
        <v>5814</v>
      </c>
      <c r="B5815">
        <f>0*(1-0.8198)</f>
        <v>0</v>
      </c>
      <c r="C5815" s="1">
        <v>2</v>
      </c>
    </row>
    <row r="5816" spans="1:3" x14ac:dyDescent="0.3">
      <c r="A5816" t="s">
        <v>5815</v>
      </c>
      <c r="B5816">
        <f>4.30804192142857*(1-0.8198)</f>
        <v>0.77630915424142888</v>
      </c>
      <c r="C5816" s="1">
        <v>2</v>
      </c>
    </row>
    <row r="5817" spans="1:3" x14ac:dyDescent="0.3">
      <c r="A5817" t="s">
        <v>5816</v>
      </c>
      <c r="B5817">
        <f>14.9394158557143*(1-0.8198)</f>
        <v>2.6920827371997147</v>
      </c>
      <c r="C5817" s="1">
        <v>3</v>
      </c>
    </row>
    <row r="5818" spans="1:3" x14ac:dyDescent="0.3">
      <c r="A5818" t="s">
        <v>5817</v>
      </c>
      <c r="B5818">
        <f>33.4026480485714*(1-0.8198)</f>
        <v>6.0191571783525735</v>
      </c>
      <c r="C5818" s="1">
        <v>2</v>
      </c>
    </row>
    <row r="5819" spans="1:3" x14ac:dyDescent="0.3">
      <c r="A5819" t="s">
        <v>5818</v>
      </c>
      <c r="B5819">
        <f>43.0557377057143*(1-0.8198)</f>
        <v>7.7586439345697151</v>
      </c>
      <c r="C5819" s="1">
        <v>2</v>
      </c>
    </row>
    <row r="5820" spans="1:3" x14ac:dyDescent="0.3">
      <c r="A5820" t="s">
        <v>5819</v>
      </c>
      <c r="B5820">
        <f>50.9157541457143*(1-0.8198)</f>
        <v>9.1750188970577167</v>
      </c>
      <c r="C5820" s="1">
        <v>2</v>
      </c>
    </row>
    <row r="5821" spans="1:3" x14ac:dyDescent="0.3">
      <c r="A5821" t="s">
        <v>5820</v>
      </c>
      <c r="B5821">
        <f>55.2614242*(1-0.8198)</f>
        <v>9.9581086408400026</v>
      </c>
      <c r="C5821" s="1">
        <v>3</v>
      </c>
    </row>
    <row r="5822" spans="1:3" x14ac:dyDescent="0.3">
      <c r="A5822" t="s">
        <v>5821</v>
      </c>
      <c r="B5822">
        <f>54.68685347*(1-0.8198)</f>
        <v>9.8545709952940026</v>
      </c>
      <c r="C5822" s="1">
        <v>2</v>
      </c>
    </row>
    <row r="5823" spans="1:3" x14ac:dyDescent="0.3">
      <c r="A5823" t="s">
        <v>5822</v>
      </c>
      <c r="B5823">
        <f>52.1086028942857*(1-0.8198)</f>
        <v>9.389970241550289</v>
      </c>
      <c r="C5823" s="1">
        <v>3</v>
      </c>
    </row>
    <row r="5824" spans="1:3" x14ac:dyDescent="0.3">
      <c r="A5824" t="s">
        <v>5823</v>
      </c>
      <c r="B5824">
        <f>45.7500785757143*(1-0.8198)</f>
        <v>8.2441641593437165</v>
      </c>
      <c r="C5824" s="1">
        <v>2</v>
      </c>
    </row>
    <row r="5825" spans="1:3" x14ac:dyDescent="0.3">
      <c r="A5825" t="s">
        <v>5824</v>
      </c>
      <c r="B5825">
        <f>35.6090555714286*(1-0.8198)</f>
        <v>6.4167518139714295</v>
      </c>
      <c r="C5825" s="1">
        <v>3</v>
      </c>
    </row>
    <row r="5826" spans="1:3" x14ac:dyDescent="0.3">
      <c r="A5826" t="s">
        <v>5825</v>
      </c>
      <c r="B5826">
        <f>22.6946456571429*(1-0.8198)</f>
        <v>4.0895751474171433</v>
      </c>
      <c r="C5826" s="1">
        <v>2</v>
      </c>
    </row>
    <row r="5827" spans="1:3" x14ac:dyDescent="0.3">
      <c r="A5827" t="s">
        <v>5826</v>
      </c>
      <c r="B5827">
        <f>8.82165898*(1-0.8198)</f>
        <v>1.5896629481960003</v>
      </c>
      <c r="C5827" s="1">
        <v>3</v>
      </c>
    </row>
    <row r="5828" spans="1:3" x14ac:dyDescent="0.3">
      <c r="A5828" t="s">
        <v>5827</v>
      </c>
      <c r="B5828">
        <f>0.22532*(1-0.8198)</f>
        <v>4.0602664000000011E-2</v>
      </c>
      <c r="C5828" s="1">
        <v>2</v>
      </c>
    </row>
    <row r="5829" spans="1:3" x14ac:dyDescent="0.3">
      <c r="A5829" t="s">
        <v>5828</v>
      </c>
      <c r="B5829">
        <f>0*(1-0.8198)</f>
        <v>0</v>
      </c>
      <c r="C5829" s="1">
        <v>2</v>
      </c>
    </row>
    <row r="5830" spans="1:3" x14ac:dyDescent="0.3">
      <c r="A5830" t="s">
        <v>5829</v>
      </c>
      <c r="B5830">
        <f>0*(1-0.8198)</f>
        <v>0</v>
      </c>
      <c r="C5830" s="1">
        <v>3</v>
      </c>
    </row>
    <row r="5831" spans="1:3" x14ac:dyDescent="0.3">
      <c r="A5831" t="s">
        <v>5830</v>
      </c>
      <c r="B5831">
        <f>0*(1-0.8198)</f>
        <v>0</v>
      </c>
      <c r="C5831" s="1">
        <v>2</v>
      </c>
    </row>
    <row r="5832" spans="1:3" x14ac:dyDescent="0.3">
      <c r="A5832" t="s">
        <v>5831</v>
      </c>
      <c r="B5832">
        <f>0*(1-0.8198)</f>
        <v>0</v>
      </c>
      <c r="C5832" s="1">
        <v>2</v>
      </c>
    </row>
    <row r="5833" spans="1:3" x14ac:dyDescent="0.3">
      <c r="A5833" t="s">
        <v>5832</v>
      </c>
      <c r="B5833">
        <f>0*(1-0.8198)</f>
        <v>0</v>
      </c>
      <c r="C5833" s="1">
        <v>3</v>
      </c>
    </row>
    <row r="5834" spans="1:3" x14ac:dyDescent="0.3">
      <c r="A5834" t="s">
        <v>5833</v>
      </c>
      <c r="B5834">
        <f>0*(1-0.8198)</f>
        <v>0</v>
      </c>
      <c r="C5834" s="1">
        <v>2</v>
      </c>
    </row>
    <row r="5835" spans="1:3" x14ac:dyDescent="0.3">
      <c r="A5835" t="s">
        <v>5834</v>
      </c>
      <c r="B5835">
        <f>0*(1-0.8198)</f>
        <v>0</v>
      </c>
      <c r="C5835" s="1">
        <v>3</v>
      </c>
    </row>
    <row r="5836" spans="1:3" x14ac:dyDescent="0.3">
      <c r="A5836" t="s">
        <v>5835</v>
      </c>
      <c r="B5836">
        <f>0*(1-0.8198)</f>
        <v>0</v>
      </c>
      <c r="C5836" s="1">
        <v>2</v>
      </c>
    </row>
    <row r="5837" spans="1:3" x14ac:dyDescent="0.3">
      <c r="A5837" t="s">
        <v>5836</v>
      </c>
      <c r="B5837">
        <f>0*(1-0.8198)</f>
        <v>0</v>
      </c>
      <c r="C5837" s="1">
        <v>3</v>
      </c>
    </row>
    <row r="5838" spans="1:3" x14ac:dyDescent="0.3">
      <c r="A5838" t="s">
        <v>5837</v>
      </c>
      <c r="B5838">
        <f>0*(1-0.8198)</f>
        <v>0</v>
      </c>
      <c r="C5838" s="1">
        <v>2</v>
      </c>
    </row>
    <row r="5839" spans="1:3" x14ac:dyDescent="0.3">
      <c r="A5839" t="s">
        <v>5838</v>
      </c>
      <c r="B5839">
        <f>0*(1-0.8198)</f>
        <v>0</v>
      </c>
      <c r="C5839" s="1">
        <v>2</v>
      </c>
    </row>
    <row r="5840" spans="1:3" x14ac:dyDescent="0.3">
      <c r="A5840" t="s">
        <v>5839</v>
      </c>
      <c r="B5840">
        <f>4.59161432857143*(1-0.8198)</f>
        <v>0.82740890200857153</v>
      </c>
      <c r="C5840" s="1">
        <v>3</v>
      </c>
    </row>
    <row r="5841" spans="1:3" x14ac:dyDescent="0.3">
      <c r="A5841" t="s">
        <v>5840</v>
      </c>
      <c r="B5841">
        <f>18.0988559671429*(1-0.8198)</f>
        <v>3.2614138452791441</v>
      </c>
      <c r="C5841" s="1">
        <v>2</v>
      </c>
    </row>
    <row r="5842" spans="1:3" x14ac:dyDescent="0.3">
      <c r="A5842" t="s">
        <v>5841</v>
      </c>
      <c r="B5842">
        <f>29.1633913842857*(1-0.8198)</f>
        <v>5.2552431274482867</v>
      </c>
      <c r="C5842" s="1">
        <v>2</v>
      </c>
    </row>
    <row r="5843" spans="1:3" x14ac:dyDescent="0.3">
      <c r="A5843" t="s">
        <v>5842</v>
      </c>
      <c r="B5843">
        <f>33.2561581671429*(1-0.8198)</f>
        <v>5.9927597017191454</v>
      </c>
      <c r="C5843" s="1">
        <v>3</v>
      </c>
    </row>
    <row r="5844" spans="1:3" x14ac:dyDescent="0.3">
      <c r="A5844" t="s">
        <v>5843</v>
      </c>
      <c r="B5844">
        <f>42.1231543814286*(1-0.8198)</f>
        <v>7.5905924195334311</v>
      </c>
      <c r="C5844" s="1">
        <v>2</v>
      </c>
    </row>
    <row r="5845" spans="1:3" x14ac:dyDescent="0.3">
      <c r="A5845" t="s">
        <v>5844</v>
      </c>
      <c r="B5845">
        <f>54.8472563085714*(1-0.8198)</f>
        <v>9.8834755868045736</v>
      </c>
      <c r="C5845" s="1">
        <v>2</v>
      </c>
    </row>
    <row r="5846" spans="1:3" x14ac:dyDescent="0.3">
      <c r="A5846" t="s">
        <v>5845</v>
      </c>
      <c r="B5846">
        <f>55.6956424385714*(1-0.8198)</f>
        <v>10.036354767430574</v>
      </c>
      <c r="C5846" s="1">
        <v>3</v>
      </c>
    </row>
    <row r="5847" spans="1:3" x14ac:dyDescent="0.3">
      <c r="A5847" t="s">
        <v>5846</v>
      </c>
      <c r="B5847">
        <f>51.9925791271429*(1-0.8198)</f>
        <v>9.3690627587111432</v>
      </c>
      <c r="C5847" s="1">
        <v>2</v>
      </c>
    </row>
    <row r="5848" spans="1:3" x14ac:dyDescent="0.3">
      <c r="A5848" t="s">
        <v>5847</v>
      </c>
      <c r="B5848">
        <f>44.3400039014286*(1-0.8198)</f>
        <v>7.9900687030374318</v>
      </c>
      <c r="C5848" s="1">
        <v>2</v>
      </c>
    </row>
    <row r="5849" spans="1:3" x14ac:dyDescent="0.3">
      <c r="A5849" t="s">
        <v>5848</v>
      </c>
      <c r="B5849">
        <f>32.1460381014286*(1-0.8198)</f>
        <v>5.7927160658774302</v>
      </c>
      <c r="C5849" s="1">
        <v>3</v>
      </c>
    </row>
    <row r="5850" spans="1:3" x14ac:dyDescent="0.3">
      <c r="A5850" t="s">
        <v>5849</v>
      </c>
      <c r="B5850">
        <f>21.3112499028571*(1-0.8198)</f>
        <v>3.840287232494858</v>
      </c>
      <c r="C5850" s="1">
        <v>2</v>
      </c>
    </row>
    <row r="5851" spans="1:3" x14ac:dyDescent="0.3">
      <c r="A5851" t="s">
        <v>5850</v>
      </c>
      <c r="B5851">
        <f>4.84721333142857*(1-0.8198)</f>
        <v>0.87346784232342878</v>
      </c>
      <c r="C5851" s="1">
        <v>3</v>
      </c>
    </row>
    <row r="5852" spans="1:3" x14ac:dyDescent="0.3">
      <c r="A5852" t="s">
        <v>5851</v>
      </c>
      <c r="B5852">
        <f>0.1032*(1-0.8198)</f>
        <v>1.8596640000000005E-2</v>
      </c>
      <c r="C5852" s="1">
        <v>2</v>
      </c>
    </row>
    <row r="5853" spans="1:3" x14ac:dyDescent="0.3">
      <c r="A5853" t="s">
        <v>5852</v>
      </c>
      <c r="B5853">
        <f>0*(1-0.8198)</f>
        <v>0</v>
      </c>
      <c r="C5853" s="1">
        <v>2</v>
      </c>
    </row>
    <row r="5854" spans="1:3" x14ac:dyDescent="0.3">
      <c r="A5854" t="s">
        <v>5853</v>
      </c>
      <c r="B5854">
        <f>0*(1-0.8198)</f>
        <v>0</v>
      </c>
      <c r="C5854" s="1">
        <v>3</v>
      </c>
    </row>
    <row r="5855" spans="1:3" x14ac:dyDescent="0.3">
      <c r="A5855" t="s">
        <v>5854</v>
      </c>
      <c r="B5855">
        <f>0*(1-0.8198)</f>
        <v>0</v>
      </c>
      <c r="C5855" s="1">
        <v>2</v>
      </c>
    </row>
    <row r="5856" spans="1:3" x14ac:dyDescent="0.3">
      <c r="A5856" t="s">
        <v>5855</v>
      </c>
      <c r="B5856">
        <f>0*(1-0.8198)</f>
        <v>0</v>
      </c>
      <c r="C5856" s="1">
        <v>2</v>
      </c>
    </row>
    <row r="5857" spans="1:3" x14ac:dyDescent="0.3">
      <c r="A5857" t="s">
        <v>5856</v>
      </c>
      <c r="B5857">
        <f>0*(1-0.8198)</f>
        <v>0</v>
      </c>
      <c r="C5857" s="1">
        <v>3</v>
      </c>
    </row>
    <row r="5858" spans="1:3" x14ac:dyDescent="0.3">
      <c r="A5858" t="s">
        <v>5857</v>
      </c>
      <c r="B5858">
        <f>0*(1-0.8198)</f>
        <v>0</v>
      </c>
      <c r="C5858" s="1">
        <v>2</v>
      </c>
    </row>
    <row r="5859" spans="1:3" x14ac:dyDescent="0.3">
      <c r="A5859" t="s">
        <v>5858</v>
      </c>
      <c r="B5859">
        <f>0*(1-0.8198)</f>
        <v>0</v>
      </c>
      <c r="C5859" s="1">
        <v>3</v>
      </c>
    </row>
    <row r="5860" spans="1:3" x14ac:dyDescent="0.3">
      <c r="A5860" t="s">
        <v>5859</v>
      </c>
      <c r="B5860">
        <f>0*(1-0.8198)</f>
        <v>0</v>
      </c>
      <c r="C5860" s="1">
        <v>2</v>
      </c>
    </row>
    <row r="5861" spans="1:3" x14ac:dyDescent="0.3">
      <c r="A5861" t="s">
        <v>5860</v>
      </c>
      <c r="B5861">
        <f>0*(1-0.8198)</f>
        <v>0</v>
      </c>
      <c r="C5861" s="1">
        <v>2</v>
      </c>
    </row>
    <row r="5862" spans="1:3" x14ac:dyDescent="0.3">
      <c r="A5862" t="s">
        <v>5861</v>
      </c>
      <c r="B5862">
        <f>0*(1-0.8198)</f>
        <v>0</v>
      </c>
      <c r="C5862" s="1">
        <v>3</v>
      </c>
    </row>
    <row r="5863" spans="1:3" x14ac:dyDescent="0.3">
      <c r="A5863" t="s">
        <v>5862</v>
      </c>
      <c r="B5863">
        <f>0*(1-0.8198)</f>
        <v>0</v>
      </c>
      <c r="C5863" s="1">
        <v>2</v>
      </c>
    </row>
    <row r="5864" spans="1:3" x14ac:dyDescent="0.3">
      <c r="A5864" t="s">
        <v>5863</v>
      </c>
      <c r="B5864">
        <f>1.90764806857143*(1-0.8198)</f>
        <v>0.34375818195657148</v>
      </c>
      <c r="C5864" s="1">
        <v>3</v>
      </c>
    </row>
    <row r="5865" spans="1:3" x14ac:dyDescent="0.3">
      <c r="A5865" t="s">
        <v>5864</v>
      </c>
      <c r="B5865">
        <f>11.0904969128571*(1-0.8198)</f>
        <v>1.9985075436968578</v>
      </c>
      <c r="C5865" s="1">
        <v>8</v>
      </c>
    </row>
    <row r="5866" spans="1:3" x14ac:dyDescent="0.3">
      <c r="A5866" t="s">
        <v>5865</v>
      </c>
      <c r="B5866">
        <f>15.81372429*(1-0.8198)</f>
        <v>2.8496331170580005</v>
      </c>
      <c r="C5866" s="1">
        <v>9</v>
      </c>
    </row>
    <row r="5867" spans="1:3" x14ac:dyDescent="0.3">
      <c r="A5867" t="s">
        <v>5866</v>
      </c>
      <c r="B5867">
        <f>21.6962568528571*(1-0.8198)</f>
        <v>3.909665484884858</v>
      </c>
      <c r="C5867" s="1">
        <v>11</v>
      </c>
    </row>
    <row r="5868" spans="1:3" x14ac:dyDescent="0.3">
      <c r="A5868" t="s">
        <v>5867</v>
      </c>
      <c r="B5868">
        <f>21.7472690428571*(1-0.8198)</f>
        <v>3.9188578815228579</v>
      </c>
      <c r="C5868" s="1">
        <v>11</v>
      </c>
    </row>
    <row r="5869" spans="1:3" x14ac:dyDescent="0.3">
      <c r="A5869" t="s">
        <v>5868</v>
      </c>
      <c r="B5869">
        <f>18.2824266528571*(1-0.8198)</f>
        <v>3.2944932828448579</v>
      </c>
      <c r="C5869" s="1">
        <v>10</v>
      </c>
    </row>
    <row r="5870" spans="1:3" x14ac:dyDescent="0.3">
      <c r="A5870" t="s">
        <v>5869</v>
      </c>
      <c r="B5870">
        <f>20.7444989685714*(1-0.8198)</f>
        <v>3.738158714136572</v>
      </c>
      <c r="C5870" s="1">
        <v>13</v>
      </c>
    </row>
    <row r="5871" spans="1:3" x14ac:dyDescent="0.3">
      <c r="A5871" t="s">
        <v>5870</v>
      </c>
      <c r="B5871">
        <f>10.88932*(1-0.8198)</f>
        <v>1.9622554640000009</v>
      </c>
      <c r="C5871" s="1">
        <v>11</v>
      </c>
    </row>
    <row r="5872" spans="1:3" x14ac:dyDescent="0.3">
      <c r="A5872" t="s">
        <v>5871</v>
      </c>
      <c r="B5872">
        <f>6.2006*(1-0.8198)</f>
        <v>1.1173481200000002</v>
      </c>
      <c r="C5872" s="1">
        <v>4</v>
      </c>
    </row>
    <row r="5873" spans="1:3" x14ac:dyDescent="0.3">
      <c r="A5873" t="s">
        <v>5872</v>
      </c>
      <c r="B5873">
        <f>6.19888*(1-0.8198)</f>
        <v>1.1170381760000003</v>
      </c>
      <c r="C5873" s="1">
        <v>3</v>
      </c>
    </row>
    <row r="5874" spans="1:3" x14ac:dyDescent="0.3">
      <c r="A5874" t="s">
        <v>5873</v>
      </c>
      <c r="B5874">
        <f>3.29466*(1-0.8198)</f>
        <v>0.5936977320000002</v>
      </c>
      <c r="C5874" s="1">
        <v>3</v>
      </c>
    </row>
    <row r="5875" spans="1:3" x14ac:dyDescent="0.3">
      <c r="A5875" t="s">
        <v>5874</v>
      </c>
      <c r="B5875">
        <f>2.20074*(1-0.8198)</f>
        <v>0.3965733480000001</v>
      </c>
      <c r="C5875" s="1">
        <v>3</v>
      </c>
    </row>
    <row r="5876" spans="1:3" x14ac:dyDescent="0.3">
      <c r="A5876" t="s">
        <v>5875</v>
      </c>
      <c r="B5876">
        <f>0*(1-0.8198)</f>
        <v>0</v>
      </c>
      <c r="C5876" s="1">
        <v>4</v>
      </c>
    </row>
    <row r="5877" spans="1:3" x14ac:dyDescent="0.3">
      <c r="A5877" t="s">
        <v>5876</v>
      </c>
      <c r="B5877">
        <f>0*(1-0.8198)</f>
        <v>0</v>
      </c>
      <c r="C5877" s="1">
        <v>4</v>
      </c>
    </row>
    <row r="5878" spans="1:3" x14ac:dyDescent="0.3">
      <c r="A5878" t="s">
        <v>5877</v>
      </c>
      <c r="B5878">
        <f>0*(1-0.8198)</f>
        <v>0</v>
      </c>
      <c r="C5878" s="1">
        <v>4</v>
      </c>
    </row>
    <row r="5879" spans="1:3" x14ac:dyDescent="0.3">
      <c r="A5879" t="s">
        <v>5878</v>
      </c>
      <c r="B5879">
        <f>0*(1-0.8198)</f>
        <v>0</v>
      </c>
      <c r="C5879" s="1">
        <v>4</v>
      </c>
    </row>
    <row r="5880" spans="1:3" x14ac:dyDescent="0.3">
      <c r="A5880" t="s">
        <v>5879</v>
      </c>
      <c r="B5880">
        <f>0*(1-0.8198)</f>
        <v>0</v>
      </c>
      <c r="C5880" s="1">
        <v>4</v>
      </c>
    </row>
    <row r="5881" spans="1:3" x14ac:dyDescent="0.3">
      <c r="A5881" t="s">
        <v>5880</v>
      </c>
      <c r="B5881">
        <f>0*(1-0.8198)</f>
        <v>0</v>
      </c>
      <c r="C5881" s="1">
        <v>2</v>
      </c>
    </row>
    <row r="5882" spans="1:3" x14ac:dyDescent="0.3">
      <c r="A5882" t="s">
        <v>5881</v>
      </c>
      <c r="B5882">
        <f>0*(1-0.8198)</f>
        <v>0</v>
      </c>
      <c r="C5882" s="1">
        <v>3</v>
      </c>
    </row>
    <row r="5883" spans="1:3" x14ac:dyDescent="0.3">
      <c r="A5883" t="s">
        <v>5882</v>
      </c>
      <c r="B5883">
        <f>0*(1-0.8198)</f>
        <v>0</v>
      </c>
      <c r="C5883" s="1">
        <v>2</v>
      </c>
    </row>
    <row r="5884" spans="1:3" x14ac:dyDescent="0.3">
      <c r="A5884" t="s">
        <v>5883</v>
      </c>
      <c r="B5884">
        <f>0*(1-0.8198)</f>
        <v>0</v>
      </c>
      <c r="C5884" s="1">
        <v>3</v>
      </c>
    </row>
    <row r="5885" spans="1:3" x14ac:dyDescent="0.3">
      <c r="A5885" t="s">
        <v>5884</v>
      </c>
      <c r="B5885">
        <f>0*(1-0.8198)</f>
        <v>0</v>
      </c>
      <c r="C5885" s="1">
        <v>2</v>
      </c>
    </row>
    <row r="5886" spans="1:3" x14ac:dyDescent="0.3">
      <c r="A5886" t="s">
        <v>5885</v>
      </c>
      <c r="B5886">
        <f>0*(1-0.8198)</f>
        <v>0</v>
      </c>
      <c r="C5886" s="1">
        <v>2</v>
      </c>
    </row>
    <row r="5887" spans="1:3" x14ac:dyDescent="0.3">
      <c r="A5887" t="s">
        <v>5886</v>
      </c>
      <c r="B5887">
        <f>0*(1-0.8198)</f>
        <v>0</v>
      </c>
      <c r="C5887" s="1">
        <v>2</v>
      </c>
    </row>
    <row r="5888" spans="1:3" x14ac:dyDescent="0.3">
      <c r="A5888" t="s">
        <v>5887</v>
      </c>
      <c r="B5888">
        <f>0.23134*(1-0.8198)</f>
        <v>4.1687468000000012E-2</v>
      </c>
      <c r="C5888" s="1">
        <v>3</v>
      </c>
    </row>
    <row r="5889" spans="1:3" x14ac:dyDescent="0.3">
      <c r="A5889" t="s">
        <v>5888</v>
      </c>
      <c r="B5889">
        <f>3.05472*(1-0.8198)</f>
        <v>0.55046054400000022</v>
      </c>
      <c r="C5889" s="1">
        <v>9</v>
      </c>
    </row>
    <row r="5890" spans="1:3" x14ac:dyDescent="0.3">
      <c r="A5890" t="s">
        <v>5889</v>
      </c>
      <c r="B5890">
        <f>3.1132*(1-0.8198)</f>
        <v>0.5609986400000001</v>
      </c>
      <c r="C5890" s="1">
        <v>15</v>
      </c>
    </row>
    <row r="5891" spans="1:3" x14ac:dyDescent="0.3">
      <c r="A5891" t="s">
        <v>5890</v>
      </c>
      <c r="B5891">
        <f>14.8619900557143*(1-0.8198)</f>
        <v>2.6781306080397149</v>
      </c>
      <c r="C5891" s="1">
        <v>14</v>
      </c>
    </row>
    <row r="5892" spans="1:3" x14ac:dyDescent="0.3">
      <c r="A5892" t="s">
        <v>5891</v>
      </c>
      <c r="B5892">
        <f>10.32774*(1-0.8198)</f>
        <v>1.8610587480000003</v>
      </c>
      <c r="C5892" s="1">
        <v>12</v>
      </c>
    </row>
    <row r="5893" spans="1:3" x14ac:dyDescent="0.3">
      <c r="A5893" t="s">
        <v>5892</v>
      </c>
      <c r="B5893">
        <f>40.1336644742857*(1-0.8198)</f>
        <v>7.2320863382662868</v>
      </c>
      <c r="C5893" s="1">
        <v>13</v>
      </c>
    </row>
    <row r="5894" spans="1:3" x14ac:dyDescent="0.3">
      <c r="A5894" t="s">
        <v>5893</v>
      </c>
      <c r="B5894">
        <f>42.3092320285714*(1-0.8198)</f>
        <v>7.6241236115485727</v>
      </c>
      <c r="C5894" s="1">
        <v>12</v>
      </c>
    </row>
    <row r="5895" spans="1:3" x14ac:dyDescent="0.3">
      <c r="A5895" t="s">
        <v>5894</v>
      </c>
      <c r="B5895">
        <f>51.2985524928571*(1-0.8198)</f>
        <v>9.2439991592128603</v>
      </c>
      <c r="C5895" s="1">
        <v>12</v>
      </c>
    </row>
    <row r="5896" spans="1:3" x14ac:dyDescent="0.3">
      <c r="A5896" t="s">
        <v>5895</v>
      </c>
      <c r="B5896">
        <f>41.8145884085714*(1-0.8198)</f>
        <v>7.534988831224573</v>
      </c>
      <c r="C5896" s="1">
        <v>6</v>
      </c>
    </row>
    <row r="5897" spans="1:3" x14ac:dyDescent="0.3">
      <c r="A5897" t="s">
        <v>5896</v>
      </c>
      <c r="B5897">
        <f>33.4086604928571*(1-0.8198)</f>
        <v>6.0202406208128583</v>
      </c>
      <c r="C5897" s="1">
        <v>3</v>
      </c>
    </row>
    <row r="5898" spans="1:3" x14ac:dyDescent="0.3">
      <c r="A5898" t="s">
        <v>5897</v>
      </c>
      <c r="B5898">
        <f>17.67176332*(1-0.8198)</f>
        <v>3.1844517502640004</v>
      </c>
      <c r="C5898" s="1">
        <v>4</v>
      </c>
    </row>
    <row r="5899" spans="1:3" x14ac:dyDescent="0.3">
      <c r="A5899" t="s">
        <v>5898</v>
      </c>
      <c r="B5899">
        <f>5.01959535571429*(1-0.8198)</f>
        <v>0.90453108309971464</v>
      </c>
      <c r="C5899" s="1">
        <v>3</v>
      </c>
    </row>
    <row r="5900" spans="1:3" x14ac:dyDescent="0.3">
      <c r="A5900" t="s">
        <v>5899</v>
      </c>
      <c r="B5900">
        <f>0*(1-0.8198)</f>
        <v>0</v>
      </c>
      <c r="C5900" s="1">
        <v>4</v>
      </c>
    </row>
    <row r="5901" spans="1:3" x14ac:dyDescent="0.3">
      <c r="A5901" t="s">
        <v>5900</v>
      </c>
      <c r="B5901">
        <f>0*(1-0.8198)</f>
        <v>0</v>
      </c>
      <c r="C5901" s="1">
        <v>5</v>
      </c>
    </row>
    <row r="5902" spans="1:3" x14ac:dyDescent="0.3">
      <c r="A5902" t="s">
        <v>5901</v>
      </c>
      <c r="B5902">
        <f>0*(1-0.8198)</f>
        <v>0</v>
      </c>
      <c r="C5902" s="1">
        <v>5</v>
      </c>
    </row>
    <row r="5903" spans="1:3" x14ac:dyDescent="0.3">
      <c r="A5903" t="s">
        <v>5902</v>
      </c>
      <c r="B5903">
        <f>0*(1-0.8198)</f>
        <v>0</v>
      </c>
      <c r="C5903" s="1">
        <v>4</v>
      </c>
    </row>
    <row r="5904" spans="1:3" x14ac:dyDescent="0.3">
      <c r="A5904" t="s">
        <v>5903</v>
      </c>
      <c r="B5904">
        <f>0*(1-0.8198)</f>
        <v>0</v>
      </c>
      <c r="C5904" s="1">
        <v>4</v>
      </c>
    </row>
    <row r="5905" spans="1:3" x14ac:dyDescent="0.3">
      <c r="A5905" t="s">
        <v>5904</v>
      </c>
      <c r="B5905">
        <f>0*(1-0.8198)</f>
        <v>0</v>
      </c>
      <c r="C5905" s="1">
        <v>3</v>
      </c>
    </row>
    <row r="5906" spans="1:3" x14ac:dyDescent="0.3">
      <c r="A5906" t="s">
        <v>5905</v>
      </c>
      <c r="B5906">
        <f>0*(1-0.8198)</f>
        <v>0</v>
      </c>
      <c r="C5906" s="1">
        <v>2</v>
      </c>
    </row>
    <row r="5907" spans="1:3" x14ac:dyDescent="0.3">
      <c r="A5907" t="s">
        <v>5906</v>
      </c>
      <c r="B5907">
        <f>0*(1-0.8198)</f>
        <v>0</v>
      </c>
      <c r="C5907" s="1">
        <v>2</v>
      </c>
    </row>
    <row r="5908" spans="1:3" x14ac:dyDescent="0.3">
      <c r="A5908" t="s">
        <v>5907</v>
      </c>
      <c r="B5908">
        <f>0*(1-0.8198)</f>
        <v>0</v>
      </c>
      <c r="C5908" s="1">
        <v>3</v>
      </c>
    </row>
    <row r="5909" spans="1:3" x14ac:dyDescent="0.3">
      <c r="A5909" t="s">
        <v>5908</v>
      </c>
      <c r="B5909">
        <f>0*(1-0.8198)</f>
        <v>0</v>
      </c>
      <c r="C5909" s="1">
        <v>2</v>
      </c>
    </row>
    <row r="5910" spans="1:3" x14ac:dyDescent="0.3">
      <c r="A5910" t="s">
        <v>5909</v>
      </c>
      <c r="B5910">
        <f>0*(1-0.8198)</f>
        <v>0</v>
      </c>
      <c r="C5910" s="1">
        <v>2</v>
      </c>
    </row>
    <row r="5911" spans="1:3" x14ac:dyDescent="0.3">
      <c r="A5911" t="s">
        <v>5910</v>
      </c>
      <c r="B5911">
        <f>0*(1-0.8198)</f>
        <v>0</v>
      </c>
      <c r="C5911" s="1">
        <v>2</v>
      </c>
    </row>
    <row r="5912" spans="1:3" x14ac:dyDescent="0.3">
      <c r="A5912" t="s">
        <v>5911</v>
      </c>
      <c r="B5912">
        <f>3.19605633142857*(1-0.8198)</f>
        <v>0.57592935092342867</v>
      </c>
      <c r="C5912" s="1">
        <v>3</v>
      </c>
    </row>
    <row r="5913" spans="1:3" x14ac:dyDescent="0.3">
      <c r="A5913" t="s">
        <v>5912</v>
      </c>
      <c r="B5913">
        <f>13.8472866828571*(1-0.8198)</f>
        <v>2.4952810602508579</v>
      </c>
      <c r="C5913" s="1">
        <v>4</v>
      </c>
    </row>
    <row r="5914" spans="1:3" x14ac:dyDescent="0.3">
      <c r="A5914" t="s">
        <v>5913</v>
      </c>
      <c r="B5914">
        <f>23.3300016785714*(1-0.8198)</f>
        <v>4.2040663024785729</v>
      </c>
      <c r="C5914" s="1">
        <v>8</v>
      </c>
    </row>
    <row r="5915" spans="1:3" x14ac:dyDescent="0.3">
      <c r="A5915" t="s">
        <v>5914</v>
      </c>
      <c r="B5915">
        <f>37.78143185*(1-0.8198)</f>
        <v>6.8082140193700003</v>
      </c>
      <c r="C5915" s="1">
        <v>9</v>
      </c>
    </row>
    <row r="5916" spans="1:3" x14ac:dyDescent="0.3">
      <c r="A5916" t="s">
        <v>5915</v>
      </c>
      <c r="B5916">
        <f>44.9080070571429*(1-0.8198)</f>
        <v>8.0924228716971456</v>
      </c>
      <c r="C5916" s="1">
        <v>9</v>
      </c>
    </row>
    <row r="5917" spans="1:3" x14ac:dyDescent="0.3">
      <c r="A5917" t="s">
        <v>5916</v>
      </c>
      <c r="B5917">
        <f>50.9536279928571*(1-0.8198)</f>
        <v>9.181843764312859</v>
      </c>
      <c r="C5917" s="1">
        <v>8</v>
      </c>
    </row>
    <row r="5918" spans="1:3" x14ac:dyDescent="0.3">
      <c r="A5918" t="s">
        <v>5917</v>
      </c>
      <c r="B5918">
        <f>48.9563520142857*(1-0.8198)</f>
        <v>8.8219346329742869</v>
      </c>
      <c r="C5918" s="1">
        <v>8</v>
      </c>
    </row>
    <row r="5919" spans="1:3" x14ac:dyDescent="0.3">
      <c r="A5919" t="s">
        <v>5918</v>
      </c>
      <c r="B5919">
        <f>48.5879430642857*(1-0.8198)</f>
        <v>8.7555473401842878</v>
      </c>
      <c r="C5919" s="1">
        <v>8</v>
      </c>
    </row>
    <row r="5920" spans="1:3" x14ac:dyDescent="0.3">
      <c r="A5920" t="s">
        <v>5919</v>
      </c>
      <c r="B5920">
        <f>41.6816738728571*(1-0.8198)</f>
        <v>7.5110376318888585</v>
      </c>
      <c r="C5920" s="1">
        <v>5</v>
      </c>
    </row>
    <row r="5921" spans="1:3" x14ac:dyDescent="0.3">
      <c r="A5921" t="s">
        <v>5920</v>
      </c>
      <c r="B5921">
        <f>31.7506683357143*(1-0.8198)</f>
        <v>5.721470434095715</v>
      </c>
      <c r="C5921" s="1">
        <v>4</v>
      </c>
    </row>
    <row r="5922" spans="1:3" x14ac:dyDescent="0.3">
      <c r="A5922" t="s">
        <v>5921</v>
      </c>
      <c r="B5922">
        <f>18.1511291014286*(1-0.8198)</f>
        <v>3.2708334640774295</v>
      </c>
      <c r="C5922" s="1">
        <v>3</v>
      </c>
    </row>
    <row r="5923" spans="1:3" x14ac:dyDescent="0.3">
      <c r="A5923" t="s">
        <v>5922</v>
      </c>
      <c r="B5923">
        <f>6.60655329428571*(1-0.8198)</f>
        <v>1.190500903630286</v>
      </c>
      <c r="C5923" s="1">
        <v>4</v>
      </c>
    </row>
    <row r="5924" spans="1:3" x14ac:dyDescent="0.3">
      <c r="A5924" t="s">
        <v>5923</v>
      </c>
      <c r="B5924">
        <f>0*(1-0.8198)</f>
        <v>0</v>
      </c>
      <c r="C5924" s="1">
        <v>5</v>
      </c>
    </row>
    <row r="5925" spans="1:3" x14ac:dyDescent="0.3">
      <c r="A5925" t="s">
        <v>5924</v>
      </c>
      <c r="B5925">
        <f>0*(1-0.8198)</f>
        <v>0</v>
      </c>
      <c r="C5925" s="1">
        <v>5</v>
      </c>
    </row>
    <row r="5926" spans="1:3" x14ac:dyDescent="0.3">
      <c r="A5926" t="s">
        <v>5925</v>
      </c>
      <c r="B5926">
        <f>0*(1-0.8198)</f>
        <v>0</v>
      </c>
      <c r="C5926" s="1">
        <v>5</v>
      </c>
    </row>
    <row r="5927" spans="1:3" x14ac:dyDescent="0.3">
      <c r="A5927" t="s">
        <v>5926</v>
      </c>
      <c r="B5927">
        <f>0*(1-0.8198)</f>
        <v>0</v>
      </c>
      <c r="C5927" s="1">
        <v>4</v>
      </c>
    </row>
    <row r="5928" spans="1:3" x14ac:dyDescent="0.3">
      <c r="A5928" t="s">
        <v>5927</v>
      </c>
      <c r="B5928">
        <f>0*(1-0.8198)</f>
        <v>0</v>
      </c>
      <c r="C5928" s="1">
        <v>4</v>
      </c>
    </row>
    <row r="5929" spans="1:3" x14ac:dyDescent="0.3">
      <c r="A5929" t="s">
        <v>5928</v>
      </c>
      <c r="B5929">
        <f>0*(1-0.8198)</f>
        <v>0</v>
      </c>
      <c r="C5929" s="1">
        <v>2</v>
      </c>
    </row>
    <row r="5930" spans="1:3" x14ac:dyDescent="0.3">
      <c r="A5930" t="s">
        <v>5929</v>
      </c>
      <c r="B5930">
        <f>0*(1-0.8198)</f>
        <v>0</v>
      </c>
      <c r="C5930" s="1">
        <v>3</v>
      </c>
    </row>
    <row r="5931" spans="1:3" x14ac:dyDescent="0.3">
      <c r="A5931" t="s">
        <v>5930</v>
      </c>
      <c r="B5931">
        <f>0*(1-0.8198)</f>
        <v>0</v>
      </c>
      <c r="C5931" s="1">
        <v>2</v>
      </c>
    </row>
    <row r="5932" spans="1:3" x14ac:dyDescent="0.3">
      <c r="A5932" t="s">
        <v>5931</v>
      </c>
      <c r="B5932">
        <f>0*(1-0.8198)</f>
        <v>0</v>
      </c>
      <c r="C5932" s="1">
        <v>2</v>
      </c>
    </row>
    <row r="5933" spans="1:3" x14ac:dyDescent="0.3">
      <c r="A5933" t="s">
        <v>5932</v>
      </c>
      <c r="B5933">
        <f>0*(1-0.8198)</f>
        <v>0</v>
      </c>
      <c r="C5933" s="1">
        <v>3</v>
      </c>
    </row>
    <row r="5934" spans="1:3" x14ac:dyDescent="0.3">
      <c r="A5934" t="s">
        <v>5933</v>
      </c>
      <c r="B5934">
        <f>0*(1-0.8198)</f>
        <v>0</v>
      </c>
      <c r="C5934" s="1">
        <v>2</v>
      </c>
    </row>
    <row r="5935" spans="1:3" x14ac:dyDescent="0.3">
      <c r="A5935" t="s">
        <v>5934</v>
      </c>
      <c r="B5935">
        <f>0*(1-0.8198)</f>
        <v>0</v>
      </c>
      <c r="C5935" s="1">
        <v>2</v>
      </c>
    </row>
    <row r="5936" spans="1:3" x14ac:dyDescent="0.3">
      <c r="A5936" t="s">
        <v>5935</v>
      </c>
      <c r="B5936">
        <f>4.49155621571429*(1-0.8198)</f>
        <v>0.80937843007171451</v>
      </c>
      <c r="C5936" s="1">
        <v>4</v>
      </c>
    </row>
    <row r="5937" spans="1:3" x14ac:dyDescent="0.3">
      <c r="A5937" t="s">
        <v>5936</v>
      </c>
      <c r="B5937">
        <f>14.4096307314286*(1-0.8198)</f>
        <v>2.5966154578034284</v>
      </c>
      <c r="C5937" s="1">
        <v>9</v>
      </c>
    </row>
    <row r="5938" spans="1:3" x14ac:dyDescent="0.3">
      <c r="A5938" t="s">
        <v>5937</v>
      </c>
      <c r="B5938">
        <f>28.3474134942857*(1-0.8198)</f>
        <v>5.1082039116702864</v>
      </c>
      <c r="C5938" s="1">
        <v>10</v>
      </c>
    </row>
    <row r="5939" spans="1:3" x14ac:dyDescent="0.3">
      <c r="A5939" t="s">
        <v>5938</v>
      </c>
      <c r="B5939">
        <f>40.1606719142857*(1-0.8198)</f>
        <v>7.2369530789542864</v>
      </c>
      <c r="C5939" s="1">
        <v>9</v>
      </c>
    </row>
    <row r="5940" spans="1:3" x14ac:dyDescent="0.3">
      <c r="A5940" t="s">
        <v>5939</v>
      </c>
      <c r="B5940">
        <f>48.76494292*(1-0.8198)</f>
        <v>8.7874427141840012</v>
      </c>
      <c r="C5940" s="1">
        <v>9</v>
      </c>
    </row>
    <row r="5941" spans="1:3" x14ac:dyDescent="0.3">
      <c r="A5941" t="s">
        <v>5940</v>
      </c>
      <c r="B5941">
        <f>53.1544219885714*(1-0.8198)</f>
        <v>9.5784268423405745</v>
      </c>
      <c r="C5941" s="1">
        <v>10</v>
      </c>
    </row>
    <row r="5942" spans="1:3" x14ac:dyDescent="0.3">
      <c r="A5942" t="s">
        <v>5941</v>
      </c>
      <c r="B5942">
        <f>53.4149752057143*(1-0.8198)</f>
        <v>9.6253785320697176</v>
      </c>
      <c r="C5942" s="1">
        <v>8</v>
      </c>
    </row>
    <row r="5943" spans="1:3" x14ac:dyDescent="0.3">
      <c r="A5943" t="s">
        <v>5942</v>
      </c>
      <c r="B5943">
        <f>49.9542105671429*(1-0.8198)</f>
        <v>9.0017487441991442</v>
      </c>
      <c r="C5943" s="1">
        <v>7</v>
      </c>
    </row>
    <row r="5944" spans="1:3" x14ac:dyDescent="0.3">
      <c r="A5944" t="s">
        <v>5943</v>
      </c>
      <c r="B5944">
        <f>42.6390568942857*(1-0.8198)</f>
        <v>7.6835580523502873</v>
      </c>
      <c r="C5944" s="1">
        <v>4</v>
      </c>
    </row>
    <row r="5945" spans="1:3" x14ac:dyDescent="0.3">
      <c r="A5945" t="s">
        <v>5944</v>
      </c>
      <c r="B5945">
        <f>31.8830929171429*(1-0.8198)</f>
        <v>5.7453333436691434</v>
      </c>
      <c r="C5945" s="1">
        <v>3</v>
      </c>
    </row>
    <row r="5946" spans="1:3" x14ac:dyDescent="0.3">
      <c r="A5946" t="s">
        <v>5945</v>
      </c>
      <c r="B5946">
        <f>18.74994403*(1-0.8198)</f>
        <v>3.3787399142060006</v>
      </c>
      <c r="C5946" s="1">
        <v>3</v>
      </c>
    </row>
    <row r="5947" spans="1:3" x14ac:dyDescent="0.3">
      <c r="A5947" t="s">
        <v>5946</v>
      </c>
      <c r="B5947">
        <f>6.57284897285714*(1-0.8198)</f>
        <v>1.1844273849088574</v>
      </c>
      <c r="C5947" s="1">
        <v>3</v>
      </c>
    </row>
    <row r="5948" spans="1:3" x14ac:dyDescent="0.3">
      <c r="A5948" t="s">
        <v>5947</v>
      </c>
      <c r="B5948">
        <f>0*(1-0.8198)</f>
        <v>0</v>
      </c>
      <c r="C5948" s="1">
        <v>4</v>
      </c>
    </row>
    <row r="5949" spans="1:3" x14ac:dyDescent="0.3">
      <c r="A5949" t="s">
        <v>5948</v>
      </c>
      <c r="B5949">
        <f>0*(1-0.8198)</f>
        <v>0</v>
      </c>
      <c r="C5949" s="1">
        <v>5</v>
      </c>
    </row>
    <row r="5950" spans="1:3" x14ac:dyDescent="0.3">
      <c r="A5950" t="s">
        <v>5949</v>
      </c>
      <c r="B5950">
        <f>0*(1-0.8198)</f>
        <v>0</v>
      </c>
      <c r="C5950" s="1">
        <v>4</v>
      </c>
    </row>
    <row r="5951" spans="1:3" x14ac:dyDescent="0.3">
      <c r="A5951" t="s">
        <v>5950</v>
      </c>
      <c r="B5951">
        <f>0*(1-0.8198)</f>
        <v>0</v>
      </c>
      <c r="C5951" s="1">
        <v>5</v>
      </c>
    </row>
    <row r="5952" spans="1:3" x14ac:dyDescent="0.3">
      <c r="A5952" t="s">
        <v>5951</v>
      </c>
      <c r="B5952">
        <f>0*(1-0.8198)</f>
        <v>0</v>
      </c>
      <c r="C5952" s="1">
        <v>4</v>
      </c>
    </row>
    <row r="5953" spans="1:3" x14ac:dyDescent="0.3">
      <c r="A5953" t="s">
        <v>5952</v>
      </c>
      <c r="B5953">
        <f>0*(1-0.8198)</f>
        <v>0</v>
      </c>
      <c r="C5953" s="1">
        <v>2</v>
      </c>
    </row>
    <row r="5954" spans="1:3" x14ac:dyDescent="0.3">
      <c r="A5954" t="s">
        <v>5953</v>
      </c>
      <c r="B5954">
        <f>0*(1-0.8198)</f>
        <v>0</v>
      </c>
      <c r="C5954" s="1">
        <v>2</v>
      </c>
    </row>
    <row r="5955" spans="1:3" x14ac:dyDescent="0.3">
      <c r="A5955" t="s">
        <v>5954</v>
      </c>
      <c r="B5955">
        <f>0*(1-0.8198)</f>
        <v>0</v>
      </c>
      <c r="C5955" s="1">
        <v>3</v>
      </c>
    </row>
    <row r="5956" spans="1:3" x14ac:dyDescent="0.3">
      <c r="A5956" t="s">
        <v>5955</v>
      </c>
      <c r="B5956">
        <f>0*(1-0.8198)</f>
        <v>0</v>
      </c>
      <c r="C5956" s="1">
        <v>2</v>
      </c>
    </row>
    <row r="5957" spans="1:3" x14ac:dyDescent="0.3">
      <c r="A5957" t="s">
        <v>5956</v>
      </c>
      <c r="B5957">
        <f>0*(1-0.8198)</f>
        <v>0</v>
      </c>
      <c r="C5957" s="1">
        <v>3</v>
      </c>
    </row>
    <row r="5958" spans="1:3" x14ac:dyDescent="0.3">
      <c r="A5958" t="s">
        <v>5957</v>
      </c>
      <c r="B5958">
        <f>0*(1-0.8198)</f>
        <v>0</v>
      </c>
      <c r="C5958" s="1">
        <v>2</v>
      </c>
    </row>
    <row r="5959" spans="1:3" x14ac:dyDescent="0.3">
      <c r="A5959" t="s">
        <v>5958</v>
      </c>
      <c r="B5959">
        <f>0*(1-0.8198)</f>
        <v>0</v>
      </c>
      <c r="C5959" s="1">
        <v>2</v>
      </c>
    </row>
    <row r="5960" spans="1:3" x14ac:dyDescent="0.3">
      <c r="A5960" t="s">
        <v>5959</v>
      </c>
      <c r="B5960">
        <f>4.16001337714286*(1-0.8198)</f>
        <v>0.74963441056114299</v>
      </c>
      <c r="C5960" s="1">
        <v>4</v>
      </c>
    </row>
    <row r="5961" spans="1:3" x14ac:dyDescent="0.3">
      <c r="A5961" t="s">
        <v>5960</v>
      </c>
      <c r="B5961">
        <f>16.4254168585714*(1-0.8198)</f>
        <v>2.9598601179145723</v>
      </c>
      <c r="C5961" s="1">
        <v>7</v>
      </c>
    </row>
    <row r="5962" spans="1:3" x14ac:dyDescent="0.3">
      <c r="A5962" t="s">
        <v>5961</v>
      </c>
      <c r="B5962">
        <f>29.6304971285714*(1-0.8198)</f>
        <v>5.3394155825685736</v>
      </c>
      <c r="C5962" s="1">
        <v>10</v>
      </c>
    </row>
    <row r="5963" spans="1:3" x14ac:dyDescent="0.3">
      <c r="A5963" t="s">
        <v>5962</v>
      </c>
      <c r="B5963">
        <f>41.3764388028571*(1-0.8198)</f>
        <v>7.4560342722748585</v>
      </c>
      <c r="C5963" s="1">
        <v>10</v>
      </c>
    </row>
    <row r="5964" spans="1:3" x14ac:dyDescent="0.3">
      <c r="A5964" t="s">
        <v>5963</v>
      </c>
      <c r="B5964">
        <f>49.5093261171429*(1-0.8198)</f>
        <v>8.9215805663091441</v>
      </c>
      <c r="C5964" s="1">
        <v>10</v>
      </c>
    </row>
    <row r="5965" spans="1:3" x14ac:dyDescent="0.3">
      <c r="A5965" t="s">
        <v>5964</v>
      </c>
      <c r="B5965">
        <f>53.3872300085714*(1-0.8198)</f>
        <v>9.6203788475445737</v>
      </c>
      <c r="C5965" s="1">
        <v>11</v>
      </c>
    </row>
    <row r="5966" spans="1:3" x14ac:dyDescent="0.3">
      <c r="A5966" t="s">
        <v>5965</v>
      </c>
      <c r="B5966">
        <f>53.80971195*(1-0.8198)</f>
        <v>9.6965100933900015</v>
      </c>
      <c r="C5966" s="1">
        <v>10</v>
      </c>
    </row>
    <row r="5967" spans="1:3" x14ac:dyDescent="0.3">
      <c r="A5967" t="s">
        <v>5966</v>
      </c>
      <c r="B5967">
        <f>50.3501495914286*(1-0.8198)</f>
        <v>9.07309695637543</v>
      </c>
      <c r="C5967" s="1">
        <v>8</v>
      </c>
    </row>
    <row r="5968" spans="1:3" x14ac:dyDescent="0.3">
      <c r="A5968" t="s">
        <v>5967</v>
      </c>
      <c r="B5968">
        <f>43.2572972571429*(1-0.8198)</f>
        <v>7.7949649657371456</v>
      </c>
      <c r="C5968" s="1">
        <v>3</v>
      </c>
    </row>
    <row r="5969" spans="1:3" x14ac:dyDescent="0.3">
      <c r="A5969" t="s">
        <v>5968</v>
      </c>
      <c r="B5969">
        <f>32.8648753671429*(1-0.8198)</f>
        <v>5.9222505411591451</v>
      </c>
      <c r="C5969" s="1">
        <v>2</v>
      </c>
    </row>
    <row r="5970" spans="1:3" x14ac:dyDescent="0.3">
      <c r="A5970" t="s">
        <v>5969</v>
      </c>
      <c r="B5970">
        <f>19.7072120571429*(1-0.8198)</f>
        <v>3.5512396126971439</v>
      </c>
      <c r="C5970" s="1">
        <v>3</v>
      </c>
    </row>
    <row r="5971" spans="1:3" x14ac:dyDescent="0.3">
      <c r="A5971" t="s">
        <v>5970</v>
      </c>
      <c r="B5971">
        <f>6.76949724857143*(1-0.8198)</f>
        <v>1.2198634041925716</v>
      </c>
      <c r="C5971" s="1">
        <v>4</v>
      </c>
    </row>
    <row r="5972" spans="1:3" x14ac:dyDescent="0.3">
      <c r="A5972" t="s">
        <v>5971</v>
      </c>
      <c r="B5972">
        <f>0*(1-0.8198)</f>
        <v>0</v>
      </c>
      <c r="C5972" s="1">
        <v>5</v>
      </c>
    </row>
    <row r="5973" spans="1:3" x14ac:dyDescent="0.3">
      <c r="A5973" t="s">
        <v>5972</v>
      </c>
      <c r="B5973">
        <f>0*(1-0.8198)</f>
        <v>0</v>
      </c>
      <c r="C5973" s="1">
        <v>5</v>
      </c>
    </row>
    <row r="5974" spans="1:3" x14ac:dyDescent="0.3">
      <c r="A5974" t="s">
        <v>5973</v>
      </c>
      <c r="B5974">
        <f>0*(1-0.8198)</f>
        <v>0</v>
      </c>
      <c r="C5974" s="1">
        <v>4</v>
      </c>
    </row>
    <row r="5975" spans="1:3" x14ac:dyDescent="0.3">
      <c r="A5975" t="s">
        <v>5974</v>
      </c>
      <c r="B5975">
        <f>0*(1-0.8198)</f>
        <v>0</v>
      </c>
      <c r="C5975" s="1">
        <v>5</v>
      </c>
    </row>
    <row r="5976" spans="1:3" x14ac:dyDescent="0.3">
      <c r="A5976" t="s">
        <v>5975</v>
      </c>
      <c r="B5976">
        <f>0*(1-0.8198)</f>
        <v>0</v>
      </c>
      <c r="C5976" s="1">
        <v>4</v>
      </c>
    </row>
    <row r="5977" spans="1:3" x14ac:dyDescent="0.3">
      <c r="A5977" t="s">
        <v>5976</v>
      </c>
      <c r="B5977">
        <f>0*(1-0.8198)</f>
        <v>0</v>
      </c>
      <c r="C5977" s="1">
        <v>3</v>
      </c>
    </row>
    <row r="5978" spans="1:3" x14ac:dyDescent="0.3">
      <c r="A5978" t="s">
        <v>5977</v>
      </c>
      <c r="B5978">
        <f>0*(1-0.8198)</f>
        <v>0</v>
      </c>
      <c r="C5978" s="1">
        <v>2</v>
      </c>
    </row>
    <row r="5979" spans="1:3" x14ac:dyDescent="0.3">
      <c r="A5979" t="s">
        <v>5978</v>
      </c>
      <c r="B5979">
        <f>0*(1-0.8198)</f>
        <v>0</v>
      </c>
      <c r="C5979" s="1">
        <v>3</v>
      </c>
    </row>
    <row r="5980" spans="1:3" x14ac:dyDescent="0.3">
      <c r="A5980" t="s">
        <v>5979</v>
      </c>
      <c r="B5980">
        <f>0*(1-0.8198)</f>
        <v>0</v>
      </c>
      <c r="C5980" s="1">
        <v>2</v>
      </c>
    </row>
    <row r="5981" spans="1:3" x14ac:dyDescent="0.3">
      <c r="A5981" t="s">
        <v>5980</v>
      </c>
      <c r="B5981">
        <f>0*(1-0.8198)</f>
        <v>0</v>
      </c>
      <c r="C5981" s="1">
        <v>2</v>
      </c>
    </row>
    <row r="5982" spans="1:3" x14ac:dyDescent="0.3">
      <c r="A5982" t="s">
        <v>5981</v>
      </c>
      <c r="B5982">
        <f>0*(1-0.8198)</f>
        <v>0</v>
      </c>
      <c r="C5982" s="1">
        <v>3</v>
      </c>
    </row>
    <row r="5983" spans="1:3" x14ac:dyDescent="0.3">
      <c r="A5983" t="s">
        <v>5982</v>
      </c>
      <c r="B5983">
        <f>0*(1-0.8198)</f>
        <v>0</v>
      </c>
      <c r="C5983" s="1">
        <v>2</v>
      </c>
    </row>
    <row r="5984" spans="1:3" x14ac:dyDescent="0.3">
      <c r="A5984" t="s">
        <v>5983</v>
      </c>
      <c r="B5984">
        <f>5.51903961857143*(1-0.8198)</f>
        <v>0.99453093926657177</v>
      </c>
      <c r="C5984" s="1">
        <v>3</v>
      </c>
    </row>
    <row r="5985" spans="1:3" x14ac:dyDescent="0.3">
      <c r="A5985" t="s">
        <v>5984</v>
      </c>
      <c r="B5985">
        <f>19.12809721*(1-0.8198)</f>
        <v>3.4468831172420011</v>
      </c>
      <c r="C5985" s="1">
        <v>2</v>
      </c>
    </row>
    <row r="5986" spans="1:3" x14ac:dyDescent="0.3">
      <c r="A5986" t="s">
        <v>5985</v>
      </c>
      <c r="B5986">
        <f>32.6109463*(1-0.8198)</f>
        <v>5.8764925232600014</v>
      </c>
      <c r="C5986" s="1">
        <v>2</v>
      </c>
    </row>
    <row r="5987" spans="1:3" x14ac:dyDescent="0.3">
      <c r="A5987" t="s">
        <v>5986</v>
      </c>
      <c r="B5987">
        <f>43.5651776871429*(1-0.8198)</f>
        <v>7.8504450192231436</v>
      </c>
      <c r="C5987" s="1">
        <v>3</v>
      </c>
    </row>
    <row r="5988" spans="1:3" x14ac:dyDescent="0.3">
      <c r="A5988" t="s">
        <v>5987</v>
      </c>
      <c r="B5988">
        <f>50.8214423071429*(1-0.8198)</f>
        <v>9.1580239037471465</v>
      </c>
      <c r="C5988" s="1">
        <v>2</v>
      </c>
    </row>
    <row r="5989" spans="1:3" x14ac:dyDescent="0.3">
      <c r="A5989" t="s">
        <v>5988</v>
      </c>
      <c r="B5989">
        <f>54.5712989557143*(1-0.8198)</f>
        <v>9.8337480718197163</v>
      </c>
      <c r="C5989" s="1">
        <v>2</v>
      </c>
    </row>
    <row r="5990" spans="1:3" x14ac:dyDescent="0.3">
      <c r="A5990" t="s">
        <v>5989</v>
      </c>
      <c r="B5990">
        <f>54.2733692785714*(1-0.8198)</f>
        <v>9.780061143998573</v>
      </c>
      <c r="C5990" s="1">
        <v>3</v>
      </c>
    </row>
    <row r="5991" spans="1:3" x14ac:dyDescent="0.3">
      <c r="A5991" t="s">
        <v>5990</v>
      </c>
      <c r="B5991">
        <f>51.5229498357143*(1-0.8198)</f>
        <v>9.2844355603957158</v>
      </c>
      <c r="C5991" s="1">
        <v>2</v>
      </c>
    </row>
    <row r="5992" spans="1:3" x14ac:dyDescent="0.3">
      <c r="A5992" t="s">
        <v>5991</v>
      </c>
      <c r="B5992">
        <f>44.7936140342857*(1-0.8198)</f>
        <v>8.0718092489782869</v>
      </c>
      <c r="C5992" s="1">
        <v>3</v>
      </c>
    </row>
    <row r="5993" spans="1:3" x14ac:dyDescent="0.3">
      <c r="A5993" t="s">
        <v>5992</v>
      </c>
      <c r="B5993">
        <f>33.83555362*(1-0.8198)</f>
        <v>6.0971667623240018</v>
      </c>
      <c r="C5993" s="1">
        <v>2</v>
      </c>
    </row>
    <row r="5994" spans="1:3" x14ac:dyDescent="0.3">
      <c r="A5994" t="s">
        <v>5993</v>
      </c>
      <c r="B5994">
        <f>20.1271919514286*(1-0.8198)</f>
        <v>3.6269199896474289</v>
      </c>
      <c r="C5994" s="1">
        <v>3</v>
      </c>
    </row>
    <row r="5995" spans="1:3" x14ac:dyDescent="0.3">
      <c r="A5995" t="s">
        <v>5994</v>
      </c>
      <c r="B5995">
        <f>6.87701346571429*(1-0.8198)</f>
        <v>1.2392378265217145</v>
      </c>
      <c r="C5995" s="1">
        <v>2</v>
      </c>
    </row>
    <row r="5996" spans="1:3" x14ac:dyDescent="0.3">
      <c r="A5996" t="s">
        <v>5995</v>
      </c>
      <c r="B5996">
        <f>0*(1-0.8198)</f>
        <v>0</v>
      </c>
      <c r="C5996" s="1">
        <v>3</v>
      </c>
    </row>
    <row r="5997" spans="1:3" x14ac:dyDescent="0.3">
      <c r="A5997" t="s">
        <v>5996</v>
      </c>
      <c r="B5997">
        <f>0*(1-0.8198)</f>
        <v>0</v>
      </c>
      <c r="C5997" s="1">
        <v>2</v>
      </c>
    </row>
    <row r="5998" spans="1:3" x14ac:dyDescent="0.3">
      <c r="A5998" t="s">
        <v>5997</v>
      </c>
      <c r="B5998">
        <f>0*(1-0.8198)</f>
        <v>0</v>
      </c>
      <c r="C5998" s="1">
        <v>2</v>
      </c>
    </row>
    <row r="5999" spans="1:3" x14ac:dyDescent="0.3">
      <c r="A5999" t="s">
        <v>5998</v>
      </c>
      <c r="B5999">
        <f>0*(1-0.8198)</f>
        <v>0</v>
      </c>
      <c r="C5999" s="1">
        <v>3</v>
      </c>
    </row>
    <row r="6000" spans="1:3" x14ac:dyDescent="0.3">
      <c r="A6000" t="s">
        <v>5999</v>
      </c>
      <c r="B6000">
        <f>0*(1-0.8198)</f>
        <v>0</v>
      </c>
      <c r="C6000" s="1">
        <v>2</v>
      </c>
    </row>
    <row r="6001" spans="1:3" x14ac:dyDescent="0.3">
      <c r="A6001" t="s">
        <v>6000</v>
      </c>
      <c r="B6001">
        <f>0*(1-0.8198)</f>
        <v>0</v>
      </c>
      <c r="C6001" s="1">
        <v>3</v>
      </c>
    </row>
    <row r="6002" spans="1:3" x14ac:dyDescent="0.3">
      <c r="A6002" t="s">
        <v>6001</v>
      </c>
      <c r="B6002">
        <f>0*(1-0.8198)</f>
        <v>0</v>
      </c>
      <c r="C6002" s="1">
        <v>2</v>
      </c>
    </row>
    <row r="6003" spans="1:3" x14ac:dyDescent="0.3">
      <c r="A6003" t="s">
        <v>6002</v>
      </c>
      <c r="B6003">
        <f>0*(1-0.8198)</f>
        <v>0</v>
      </c>
      <c r="C6003" s="1">
        <v>2</v>
      </c>
    </row>
    <row r="6004" spans="1:3" x14ac:dyDescent="0.3">
      <c r="A6004" t="s">
        <v>6003</v>
      </c>
      <c r="B6004">
        <f>0*(1-0.8198)</f>
        <v>0</v>
      </c>
      <c r="C6004" s="1">
        <v>3</v>
      </c>
    </row>
    <row r="6005" spans="1:3" x14ac:dyDescent="0.3">
      <c r="A6005" t="s">
        <v>6004</v>
      </c>
      <c r="B6005">
        <f>0*(1-0.8198)</f>
        <v>0</v>
      </c>
      <c r="C6005" s="1">
        <v>2</v>
      </c>
    </row>
    <row r="6006" spans="1:3" x14ac:dyDescent="0.3">
      <c r="A6006" t="s">
        <v>6005</v>
      </c>
      <c r="B6006">
        <f>0*(1-0.8198)</f>
        <v>0</v>
      </c>
      <c r="C6006" s="1">
        <v>3</v>
      </c>
    </row>
    <row r="6007" spans="1:3" x14ac:dyDescent="0.3">
      <c r="A6007" t="s">
        <v>6006</v>
      </c>
      <c r="B6007">
        <f>0*(1-0.8198)</f>
        <v>0</v>
      </c>
      <c r="C6007" s="1">
        <v>2</v>
      </c>
    </row>
    <row r="6008" spans="1:3" x14ac:dyDescent="0.3">
      <c r="A6008" t="s">
        <v>6007</v>
      </c>
      <c r="B6008">
        <f>5.23057184571429*(1-0.8198)</f>
        <v>0.94254904659771443</v>
      </c>
      <c r="C6008" s="1">
        <v>2</v>
      </c>
    </row>
    <row r="6009" spans="1:3" x14ac:dyDescent="0.3">
      <c r="A6009" t="s">
        <v>6008</v>
      </c>
      <c r="B6009">
        <f>18.796117*(1-0.8198)</f>
        <v>3.3870602834000003</v>
      </c>
      <c r="C6009" s="1">
        <v>3</v>
      </c>
    </row>
    <row r="6010" spans="1:3" x14ac:dyDescent="0.3">
      <c r="A6010" t="s">
        <v>6009</v>
      </c>
      <c r="B6010">
        <f>32.0826099071429*(1-0.8198)</f>
        <v>5.7812863052671446</v>
      </c>
      <c r="C6010" s="1">
        <v>2</v>
      </c>
    </row>
    <row r="6011" spans="1:3" x14ac:dyDescent="0.3">
      <c r="A6011" t="s">
        <v>6010</v>
      </c>
      <c r="B6011">
        <f>43.3531855371429*(1-0.8198)</f>
        <v>7.812244033793144</v>
      </c>
      <c r="C6011" s="1">
        <v>3</v>
      </c>
    </row>
    <row r="6012" spans="1:3" x14ac:dyDescent="0.3">
      <c r="A6012" t="s">
        <v>6011</v>
      </c>
      <c r="B6012">
        <f>50.8495875885714*(1-0.8198)</f>
        <v>9.1630956834605737</v>
      </c>
      <c r="C6012" s="1">
        <v>2</v>
      </c>
    </row>
    <row r="6013" spans="1:3" x14ac:dyDescent="0.3">
      <c r="A6013" t="s">
        <v>6012</v>
      </c>
      <c r="B6013">
        <f>54.20443991*(1-0.8198)</f>
        <v>9.7676400717820044</v>
      </c>
      <c r="C6013" s="1">
        <v>3</v>
      </c>
    </row>
    <row r="6014" spans="1:3" x14ac:dyDescent="0.3">
      <c r="A6014" t="s">
        <v>6013</v>
      </c>
      <c r="B6014">
        <f>53.9892762642857*(1-0.8198)</f>
        <v>9.7288675828242877</v>
      </c>
      <c r="C6014" s="1">
        <v>2</v>
      </c>
    </row>
    <row r="6015" spans="1:3" x14ac:dyDescent="0.3">
      <c r="A6015" t="s">
        <v>6014</v>
      </c>
      <c r="B6015">
        <f>51.1731878357143*(1-0.8198)</f>
        <v>9.2214084479957155</v>
      </c>
      <c r="C6015" s="1">
        <v>2</v>
      </c>
    </row>
    <row r="6016" spans="1:3" x14ac:dyDescent="0.3">
      <c r="A6016" t="s">
        <v>6015</v>
      </c>
      <c r="B6016">
        <f>44.1542606714286*(1-0.8198)</f>
        <v>7.9565977729914303</v>
      </c>
      <c r="C6016" s="1">
        <v>3</v>
      </c>
    </row>
    <row r="6017" spans="1:3" x14ac:dyDescent="0.3">
      <c r="A6017" t="s">
        <v>6016</v>
      </c>
      <c r="B6017">
        <f>33.3373288985714*(1-0.8198)</f>
        <v>6.0073866675225727</v>
      </c>
      <c r="C6017" s="1">
        <v>2</v>
      </c>
    </row>
    <row r="6018" spans="1:3" x14ac:dyDescent="0.3">
      <c r="A6018" t="s">
        <v>6017</v>
      </c>
      <c r="B6018">
        <f>19.7534476842857*(1-0.8198)</f>
        <v>3.5595712727082862</v>
      </c>
      <c r="C6018" s="1">
        <v>2</v>
      </c>
    </row>
    <row r="6019" spans="1:3" x14ac:dyDescent="0.3">
      <c r="A6019" t="s">
        <v>6018</v>
      </c>
      <c r="B6019">
        <f>6.49793873428572*(1-0.8198)</f>
        <v>1.1709285599182861</v>
      </c>
      <c r="C6019" s="1">
        <v>3</v>
      </c>
    </row>
    <row r="6020" spans="1:3" x14ac:dyDescent="0.3">
      <c r="A6020" t="s">
        <v>6019</v>
      </c>
      <c r="B6020">
        <f>0*(1-0.8198)</f>
        <v>0</v>
      </c>
      <c r="C6020" s="1">
        <v>2</v>
      </c>
    </row>
    <row r="6021" spans="1:3" x14ac:dyDescent="0.3">
      <c r="A6021" t="s">
        <v>6020</v>
      </c>
      <c r="B6021">
        <f>0*(1-0.8198)</f>
        <v>0</v>
      </c>
      <c r="C6021" s="1">
        <v>3</v>
      </c>
    </row>
    <row r="6022" spans="1:3" x14ac:dyDescent="0.3">
      <c r="A6022" t="s">
        <v>6021</v>
      </c>
      <c r="B6022">
        <f>0*(1-0.8198)</f>
        <v>0</v>
      </c>
      <c r="C6022" s="1">
        <v>2</v>
      </c>
    </row>
    <row r="6023" spans="1:3" x14ac:dyDescent="0.3">
      <c r="A6023" t="s">
        <v>6022</v>
      </c>
      <c r="B6023">
        <f>0*(1-0.8198)</f>
        <v>0</v>
      </c>
      <c r="C6023" s="1">
        <v>2</v>
      </c>
    </row>
    <row r="6024" spans="1:3" x14ac:dyDescent="0.3">
      <c r="A6024" t="s">
        <v>6023</v>
      </c>
      <c r="B6024">
        <f>0*(1-0.8198)</f>
        <v>0</v>
      </c>
      <c r="C6024" s="1">
        <v>3</v>
      </c>
    </row>
    <row r="6025" spans="1:3" x14ac:dyDescent="0.3">
      <c r="A6025" t="s">
        <v>6024</v>
      </c>
      <c r="B6025">
        <f>0*(1-0.8198)</f>
        <v>0</v>
      </c>
      <c r="C6025" s="1">
        <v>2</v>
      </c>
    </row>
    <row r="6026" spans="1:3" x14ac:dyDescent="0.3">
      <c r="A6026" t="s">
        <v>6025</v>
      </c>
      <c r="B6026">
        <f>0*(1-0.8198)</f>
        <v>0</v>
      </c>
      <c r="C6026" s="1">
        <v>3</v>
      </c>
    </row>
    <row r="6027" spans="1:3" x14ac:dyDescent="0.3">
      <c r="A6027" t="s">
        <v>6026</v>
      </c>
      <c r="B6027">
        <f>0*(1-0.8198)</f>
        <v>0</v>
      </c>
      <c r="C6027" s="1">
        <v>2</v>
      </c>
    </row>
    <row r="6028" spans="1:3" x14ac:dyDescent="0.3">
      <c r="A6028" t="s">
        <v>6027</v>
      </c>
      <c r="B6028">
        <f>0*(1-0.8198)</f>
        <v>0</v>
      </c>
      <c r="C6028" s="1">
        <v>2</v>
      </c>
    </row>
    <row r="6029" spans="1:3" x14ac:dyDescent="0.3">
      <c r="A6029" t="s">
        <v>6028</v>
      </c>
      <c r="B6029">
        <f>0*(1-0.8198)</f>
        <v>0</v>
      </c>
      <c r="C6029" s="1">
        <v>3</v>
      </c>
    </row>
    <row r="6030" spans="1:3" x14ac:dyDescent="0.3">
      <c r="A6030" t="s">
        <v>6029</v>
      </c>
      <c r="B6030">
        <f>0*(1-0.8198)</f>
        <v>0</v>
      </c>
      <c r="C6030" s="1">
        <v>2</v>
      </c>
    </row>
    <row r="6031" spans="1:3" x14ac:dyDescent="0.3">
      <c r="A6031" t="s">
        <v>6030</v>
      </c>
      <c r="B6031">
        <f>0*(1-0.8198)</f>
        <v>0</v>
      </c>
      <c r="C6031" s="1">
        <v>2</v>
      </c>
    </row>
    <row r="6032" spans="1:3" x14ac:dyDescent="0.3">
      <c r="A6032" t="s">
        <v>6031</v>
      </c>
      <c r="B6032">
        <f>5.02235233142857*(1-0.8198)</f>
        <v>0.90502789012342888</v>
      </c>
      <c r="C6032" s="1">
        <v>10</v>
      </c>
    </row>
    <row r="6033" spans="1:3" x14ac:dyDescent="0.3">
      <c r="A6033" t="s">
        <v>6032</v>
      </c>
      <c r="B6033">
        <f>18.6684186714286*(1-0.8198)</f>
        <v>3.3640490445914293</v>
      </c>
      <c r="C6033" s="1">
        <v>11</v>
      </c>
    </row>
    <row r="6034" spans="1:3" x14ac:dyDescent="0.3">
      <c r="A6034" t="s">
        <v>6033</v>
      </c>
      <c r="B6034">
        <f>31.8740016114286*(1-0.8198)</f>
        <v>5.7436950903794299</v>
      </c>
      <c r="C6034" s="1">
        <v>12</v>
      </c>
    </row>
    <row r="6035" spans="1:3" x14ac:dyDescent="0.3">
      <c r="A6035" t="s">
        <v>6034</v>
      </c>
      <c r="B6035">
        <f>42.8595397014286*(1-0.8198)</f>
        <v>7.7232890541974273</v>
      </c>
      <c r="C6035" s="1">
        <v>14</v>
      </c>
    </row>
    <row r="6036" spans="1:3" x14ac:dyDescent="0.3">
      <c r="A6036" t="s">
        <v>6035</v>
      </c>
      <c r="B6036">
        <f>50.5057573771429*(1-0.8198)</f>
        <v>9.1011374793611441</v>
      </c>
      <c r="C6036" s="1">
        <v>18</v>
      </c>
    </row>
    <row r="6037" spans="1:3" x14ac:dyDescent="0.3">
      <c r="A6037" t="s">
        <v>6036</v>
      </c>
      <c r="B6037">
        <f>54.0380611771429*(1-0.8198)</f>
        <v>9.7376586241211456</v>
      </c>
      <c r="C6037" s="1">
        <v>13</v>
      </c>
    </row>
    <row r="6038" spans="1:3" x14ac:dyDescent="0.3">
      <c r="A6038" t="s">
        <v>6037</v>
      </c>
      <c r="B6038">
        <f>54.03665348*(1-0.8198)</f>
        <v>9.737404957096004</v>
      </c>
      <c r="C6038" s="1">
        <v>17</v>
      </c>
    </row>
    <row r="6039" spans="1:3" x14ac:dyDescent="0.3">
      <c r="A6039" t="s">
        <v>6038</v>
      </c>
      <c r="B6039">
        <f>51.0933608542857*(1-0.8198)</f>
        <v>9.207023625942286</v>
      </c>
      <c r="C6039" s="1">
        <v>16</v>
      </c>
    </row>
    <row r="6040" spans="1:3" x14ac:dyDescent="0.3">
      <c r="A6040" t="s">
        <v>6039</v>
      </c>
      <c r="B6040">
        <f>44.1893746557143*(1-0.8198)</f>
        <v>7.9629253129597144</v>
      </c>
      <c r="C6040" s="1">
        <v>12</v>
      </c>
    </row>
    <row r="6041" spans="1:3" x14ac:dyDescent="0.3">
      <c r="A6041" t="s">
        <v>6040</v>
      </c>
      <c r="B6041">
        <f>32.8868746585714*(1-0.8198)</f>
        <v>5.926214813474572</v>
      </c>
      <c r="C6041" s="1">
        <v>10</v>
      </c>
    </row>
    <row r="6042" spans="1:3" x14ac:dyDescent="0.3">
      <c r="A6042" t="s">
        <v>6041</v>
      </c>
      <c r="B6042">
        <f>19.2721551342857*(1-0.8198)</f>
        <v>3.4728423551982863</v>
      </c>
      <c r="C6042" s="1">
        <v>7</v>
      </c>
    </row>
    <row r="6043" spans="1:3" x14ac:dyDescent="0.3">
      <c r="A6043" t="s">
        <v>6042</v>
      </c>
      <c r="B6043">
        <f>6.27943878*(1-0.8198)</f>
        <v>1.1315548681560001</v>
      </c>
      <c r="C6043" s="1">
        <v>6</v>
      </c>
    </row>
    <row r="6044" spans="1:3" x14ac:dyDescent="0.3">
      <c r="A6044" t="s">
        <v>6043</v>
      </c>
      <c r="B6044">
        <f>0*(1-0.8198)</f>
        <v>0</v>
      </c>
      <c r="C6044" s="1">
        <v>6</v>
      </c>
    </row>
    <row r="6045" spans="1:3" x14ac:dyDescent="0.3">
      <c r="A6045" t="s">
        <v>6044</v>
      </c>
      <c r="B6045">
        <f>0*(1-0.8198)</f>
        <v>0</v>
      </c>
      <c r="C6045" s="1">
        <v>8</v>
      </c>
    </row>
    <row r="6046" spans="1:3" x14ac:dyDescent="0.3">
      <c r="A6046" t="s">
        <v>6045</v>
      </c>
      <c r="B6046">
        <f>0*(1-0.8198)</f>
        <v>0</v>
      </c>
      <c r="C6046" s="1">
        <v>5</v>
      </c>
    </row>
    <row r="6047" spans="1:3" x14ac:dyDescent="0.3">
      <c r="A6047" t="s">
        <v>6046</v>
      </c>
      <c r="B6047">
        <f>0*(1-0.8198)</f>
        <v>0</v>
      </c>
      <c r="C6047" s="1">
        <v>5</v>
      </c>
    </row>
    <row r="6048" spans="1:3" x14ac:dyDescent="0.3">
      <c r="A6048" t="s">
        <v>6047</v>
      </c>
      <c r="B6048">
        <f>0*(1-0.8198)</f>
        <v>0</v>
      </c>
      <c r="C6048" s="1">
        <v>5</v>
      </c>
    </row>
    <row r="6049" spans="1:3" x14ac:dyDescent="0.3">
      <c r="A6049" t="s">
        <v>6048</v>
      </c>
      <c r="B6049">
        <f>0*(1-0.8198)</f>
        <v>0</v>
      </c>
      <c r="C6049" s="1">
        <v>3</v>
      </c>
    </row>
    <row r="6050" spans="1:3" x14ac:dyDescent="0.3">
      <c r="A6050" t="s">
        <v>6049</v>
      </c>
      <c r="B6050">
        <f>0*(1-0.8198)</f>
        <v>0</v>
      </c>
      <c r="C6050" s="1">
        <v>3</v>
      </c>
    </row>
    <row r="6051" spans="1:3" x14ac:dyDescent="0.3">
      <c r="A6051" t="s">
        <v>6050</v>
      </c>
      <c r="B6051">
        <f>0*(1-0.8198)</f>
        <v>0</v>
      </c>
      <c r="C6051" s="1">
        <v>3</v>
      </c>
    </row>
    <row r="6052" spans="1:3" x14ac:dyDescent="0.3">
      <c r="A6052" t="s">
        <v>6051</v>
      </c>
      <c r="B6052">
        <f>0*(1-0.8198)</f>
        <v>0</v>
      </c>
      <c r="C6052" s="1">
        <v>3</v>
      </c>
    </row>
    <row r="6053" spans="1:3" x14ac:dyDescent="0.3">
      <c r="A6053" t="s">
        <v>6052</v>
      </c>
      <c r="B6053">
        <f>0*(1-0.8198)</f>
        <v>0</v>
      </c>
      <c r="C6053" s="1">
        <v>3</v>
      </c>
    </row>
    <row r="6054" spans="1:3" x14ac:dyDescent="0.3">
      <c r="A6054" t="s">
        <v>6053</v>
      </c>
      <c r="B6054">
        <f>0*(1-0.8198)</f>
        <v>0</v>
      </c>
      <c r="C6054" s="1">
        <v>3</v>
      </c>
    </row>
    <row r="6055" spans="1:3" x14ac:dyDescent="0.3">
      <c r="A6055" t="s">
        <v>6054</v>
      </c>
      <c r="B6055">
        <f>0*(1-0.8198)</f>
        <v>0</v>
      </c>
      <c r="C6055" s="1">
        <v>2</v>
      </c>
    </row>
    <row r="6056" spans="1:3" x14ac:dyDescent="0.3">
      <c r="A6056" t="s">
        <v>6055</v>
      </c>
      <c r="B6056">
        <f>4.42489675571429*(1-0.8198)</f>
        <v>0.79736639537971432</v>
      </c>
      <c r="C6056" s="1">
        <v>7</v>
      </c>
    </row>
    <row r="6057" spans="1:3" x14ac:dyDescent="0.3">
      <c r="A6057" t="s">
        <v>6056</v>
      </c>
      <c r="B6057">
        <f>17.3512283585714*(1-0.8198)</f>
        <v>3.1266913502145721</v>
      </c>
      <c r="C6057" s="1">
        <v>7</v>
      </c>
    </row>
    <row r="6058" spans="1:3" x14ac:dyDescent="0.3">
      <c r="A6058" t="s">
        <v>6057</v>
      </c>
      <c r="B6058">
        <f>30.4670126785714*(1-0.8198)</f>
        <v>5.4901556846785722</v>
      </c>
      <c r="C6058" s="1">
        <v>13</v>
      </c>
    </row>
    <row r="6059" spans="1:3" x14ac:dyDescent="0.3">
      <c r="A6059" t="s">
        <v>6058</v>
      </c>
      <c r="B6059">
        <f>41.8434603285714*(1-0.8198)</f>
        <v>7.540191551208574</v>
      </c>
      <c r="C6059" s="1">
        <v>14</v>
      </c>
    </row>
    <row r="6060" spans="1:3" x14ac:dyDescent="0.3">
      <c r="A6060" t="s">
        <v>6059</v>
      </c>
      <c r="B6060">
        <f>49.60460736*(1-0.8198)</f>
        <v>8.9387502462720008</v>
      </c>
      <c r="C6060" s="1">
        <v>13</v>
      </c>
    </row>
    <row r="6061" spans="1:3" x14ac:dyDescent="0.3">
      <c r="A6061" t="s">
        <v>6060</v>
      </c>
      <c r="B6061">
        <f>53.4956784657143*(1-0.8198)</f>
        <v>9.6399212595217154</v>
      </c>
      <c r="C6061" s="1">
        <v>13</v>
      </c>
    </row>
    <row r="6062" spans="1:3" x14ac:dyDescent="0.3">
      <c r="A6062" t="s">
        <v>6061</v>
      </c>
      <c r="B6062">
        <f>53.0709452285714*(1-0.8198)</f>
        <v>9.5633843301885761</v>
      </c>
      <c r="C6062" s="1">
        <v>14</v>
      </c>
    </row>
    <row r="6063" spans="1:3" x14ac:dyDescent="0.3">
      <c r="A6063" t="s">
        <v>6062</v>
      </c>
      <c r="B6063">
        <f>49.9293911514286*(1-0.8198)</f>
        <v>8.9972762854874286</v>
      </c>
      <c r="C6063" s="1">
        <v>11</v>
      </c>
    </row>
    <row r="6064" spans="1:3" x14ac:dyDescent="0.3">
      <c r="A6064" t="s">
        <v>6063</v>
      </c>
      <c r="B6064">
        <f>42.5260680057143*(1-0.8198)</f>
        <v>7.6631974546297155</v>
      </c>
      <c r="C6064" s="1">
        <v>10</v>
      </c>
    </row>
    <row r="6065" spans="1:3" x14ac:dyDescent="0.3">
      <c r="A6065" t="s">
        <v>6064</v>
      </c>
      <c r="B6065">
        <f>31.9347990657143*(1-0.8198)</f>
        <v>5.7546507916417147</v>
      </c>
      <c r="C6065" s="1">
        <v>8</v>
      </c>
    </row>
    <row r="6066" spans="1:3" x14ac:dyDescent="0.3">
      <c r="A6066" t="s">
        <v>6065</v>
      </c>
      <c r="B6066">
        <f>17.52028679*(1-0.8198)</f>
        <v>3.1571556795580005</v>
      </c>
      <c r="C6066" s="1">
        <v>7</v>
      </c>
    </row>
    <row r="6067" spans="1:3" x14ac:dyDescent="0.3">
      <c r="A6067" t="s">
        <v>6066</v>
      </c>
      <c r="B6067">
        <f>5.28111386142857*(1-0.8198)</f>
        <v>0.95165671782942873</v>
      </c>
      <c r="C6067" s="1">
        <v>6</v>
      </c>
    </row>
    <row r="6068" spans="1:3" x14ac:dyDescent="0.3">
      <c r="A6068" t="s">
        <v>6067</v>
      </c>
      <c r="B6068">
        <f>0*(1-0.8198)</f>
        <v>0</v>
      </c>
      <c r="C6068" s="1">
        <v>7</v>
      </c>
    </row>
    <row r="6069" spans="1:3" x14ac:dyDescent="0.3">
      <c r="A6069" t="s">
        <v>6068</v>
      </c>
      <c r="B6069">
        <f>0*(1-0.8198)</f>
        <v>0</v>
      </c>
      <c r="C6069" s="1">
        <v>6</v>
      </c>
    </row>
    <row r="6070" spans="1:3" x14ac:dyDescent="0.3">
      <c r="A6070" t="s">
        <v>6069</v>
      </c>
      <c r="B6070">
        <f>0*(1-0.8198)</f>
        <v>0</v>
      </c>
      <c r="C6070" s="1">
        <v>6</v>
      </c>
    </row>
    <row r="6071" spans="1:3" x14ac:dyDescent="0.3">
      <c r="A6071" t="s">
        <v>6070</v>
      </c>
      <c r="B6071">
        <f>0*(1-0.8198)</f>
        <v>0</v>
      </c>
      <c r="C6071" s="1">
        <v>4</v>
      </c>
    </row>
    <row r="6072" spans="1:3" x14ac:dyDescent="0.3">
      <c r="A6072" t="s">
        <v>6071</v>
      </c>
      <c r="B6072">
        <f>0*(1-0.8198)</f>
        <v>0</v>
      </c>
      <c r="C6072" s="1">
        <v>4</v>
      </c>
    </row>
    <row r="6073" spans="1:3" x14ac:dyDescent="0.3">
      <c r="A6073" t="s">
        <v>6072</v>
      </c>
      <c r="B6073">
        <f>0*(1-0.8198)</f>
        <v>0</v>
      </c>
      <c r="C6073" s="1">
        <v>3</v>
      </c>
    </row>
    <row r="6074" spans="1:3" x14ac:dyDescent="0.3">
      <c r="A6074" t="s">
        <v>6073</v>
      </c>
      <c r="B6074">
        <f>0*(1-0.8198)</f>
        <v>0</v>
      </c>
      <c r="C6074" s="1">
        <v>2</v>
      </c>
    </row>
    <row r="6075" spans="1:3" x14ac:dyDescent="0.3">
      <c r="A6075" t="s">
        <v>6074</v>
      </c>
      <c r="B6075">
        <f>0*(1-0.8198)</f>
        <v>0</v>
      </c>
      <c r="C6075" s="1">
        <v>3</v>
      </c>
    </row>
    <row r="6076" spans="1:3" x14ac:dyDescent="0.3">
      <c r="A6076" t="s">
        <v>6075</v>
      </c>
      <c r="B6076">
        <f>0*(1-0.8198)</f>
        <v>0</v>
      </c>
      <c r="C6076" s="1">
        <v>2</v>
      </c>
    </row>
    <row r="6077" spans="1:3" x14ac:dyDescent="0.3">
      <c r="A6077" t="s">
        <v>6076</v>
      </c>
      <c r="B6077">
        <f>0*(1-0.8198)</f>
        <v>0</v>
      </c>
      <c r="C6077" s="1">
        <v>2</v>
      </c>
    </row>
    <row r="6078" spans="1:3" x14ac:dyDescent="0.3">
      <c r="A6078" t="s">
        <v>6077</v>
      </c>
      <c r="B6078">
        <f>0*(1-0.8198)</f>
        <v>0</v>
      </c>
      <c r="C6078" s="1">
        <v>3</v>
      </c>
    </row>
    <row r="6079" spans="1:3" x14ac:dyDescent="0.3">
      <c r="A6079" t="s">
        <v>6078</v>
      </c>
      <c r="B6079">
        <f>0*(1-0.8198)</f>
        <v>0</v>
      </c>
      <c r="C6079" s="1">
        <v>2</v>
      </c>
    </row>
    <row r="6080" spans="1:3" x14ac:dyDescent="0.3">
      <c r="A6080" t="s">
        <v>6079</v>
      </c>
      <c r="B6080">
        <f>4.06714529428571*(1-0.8198)</f>
        <v>0.73289958203028582</v>
      </c>
      <c r="C6080" s="1">
        <v>2</v>
      </c>
    </row>
    <row r="6081" spans="1:3" x14ac:dyDescent="0.3">
      <c r="A6081" t="s">
        <v>6080</v>
      </c>
      <c r="B6081">
        <f>13.7717559542857*(1-0.8198)</f>
        <v>2.4816704229622859</v>
      </c>
      <c r="C6081" s="1">
        <v>2</v>
      </c>
    </row>
    <row r="6082" spans="1:3" x14ac:dyDescent="0.3">
      <c r="A6082" t="s">
        <v>6081</v>
      </c>
      <c r="B6082">
        <f>30.1593316457143*(1-0.8198)</f>
        <v>5.4347115625577143</v>
      </c>
      <c r="C6082" s="1">
        <v>3</v>
      </c>
    </row>
    <row r="6083" spans="1:3" x14ac:dyDescent="0.3">
      <c r="A6083" t="s">
        <v>6082</v>
      </c>
      <c r="B6083">
        <f>40.2641302214286*(1-0.8198)</f>
        <v>7.2555962659014304</v>
      </c>
      <c r="C6083" s="1">
        <v>2</v>
      </c>
    </row>
    <row r="6084" spans="1:3" x14ac:dyDescent="0.3">
      <c r="A6084" t="s">
        <v>6083</v>
      </c>
      <c r="B6084">
        <f>47.9383063742857*(1-0.8198)</f>
        <v>8.6384828086462893</v>
      </c>
      <c r="C6084" s="1">
        <v>2</v>
      </c>
    </row>
    <row r="6085" spans="1:3" x14ac:dyDescent="0.3">
      <c r="A6085" t="s">
        <v>6084</v>
      </c>
      <c r="B6085">
        <f>49.9045249271429*(1-0.8198)</f>
        <v>8.9927953918711445</v>
      </c>
      <c r="C6085" s="1">
        <v>3</v>
      </c>
    </row>
    <row r="6086" spans="1:3" x14ac:dyDescent="0.3">
      <c r="A6086" t="s">
        <v>6085</v>
      </c>
      <c r="B6086">
        <f>47.9065570785714*(1-0.8198)</f>
        <v>8.6327615855585726</v>
      </c>
      <c r="C6086" s="1">
        <v>2</v>
      </c>
    </row>
    <row r="6087" spans="1:3" x14ac:dyDescent="0.3">
      <c r="A6087" t="s">
        <v>6086</v>
      </c>
      <c r="B6087">
        <f>42.2377466785714*(1-0.8198)</f>
        <v>7.6112419514785712</v>
      </c>
      <c r="C6087" s="1">
        <v>3</v>
      </c>
    </row>
    <row r="6088" spans="1:3" x14ac:dyDescent="0.3">
      <c r="A6088" t="s">
        <v>6087</v>
      </c>
      <c r="B6088">
        <f>24.45993381*(1-0.8198)</f>
        <v>4.4076800725620018</v>
      </c>
      <c r="C6088" s="1">
        <v>2</v>
      </c>
    </row>
    <row r="6089" spans="1:3" x14ac:dyDescent="0.3">
      <c r="A6089" t="s">
        <v>6088</v>
      </c>
      <c r="B6089">
        <f>31.1531501028571*(1-0.8198)</f>
        <v>5.6137976485348586</v>
      </c>
      <c r="C6089" s="1">
        <v>2</v>
      </c>
    </row>
    <row r="6090" spans="1:3" x14ac:dyDescent="0.3">
      <c r="A6090" t="s">
        <v>6089</v>
      </c>
      <c r="B6090">
        <f>16.9441226028571*(1-0.8198)</f>
        <v>3.0533308930348575</v>
      </c>
      <c r="C6090" s="1">
        <v>3</v>
      </c>
    </row>
    <row r="6091" spans="1:3" x14ac:dyDescent="0.3">
      <c r="A6091" t="s">
        <v>6090</v>
      </c>
      <c r="B6091">
        <f>5.53494255428572*(1-0.8198)</f>
        <v>0.99739664828228602</v>
      </c>
      <c r="C6091" s="1">
        <v>2</v>
      </c>
    </row>
    <row r="6092" spans="1:3" x14ac:dyDescent="0.3">
      <c r="A6092" t="s">
        <v>6091</v>
      </c>
      <c r="B6092">
        <f>0*(1-0.8198)</f>
        <v>0</v>
      </c>
      <c r="C6092" s="1">
        <v>2</v>
      </c>
    </row>
    <row r="6093" spans="1:3" x14ac:dyDescent="0.3">
      <c r="A6093" t="s">
        <v>6092</v>
      </c>
      <c r="B6093">
        <f>0*(1-0.8198)</f>
        <v>0</v>
      </c>
      <c r="C6093" s="1">
        <v>3</v>
      </c>
    </row>
    <row r="6094" spans="1:3" x14ac:dyDescent="0.3">
      <c r="A6094" t="s">
        <v>6093</v>
      </c>
      <c r="B6094">
        <f>0*(1-0.8198)</f>
        <v>0</v>
      </c>
      <c r="C6094" s="1">
        <v>2</v>
      </c>
    </row>
    <row r="6095" spans="1:3" x14ac:dyDescent="0.3">
      <c r="A6095" t="s">
        <v>6094</v>
      </c>
      <c r="B6095">
        <f>0*(1-0.8198)</f>
        <v>0</v>
      </c>
      <c r="C6095" s="1">
        <v>2</v>
      </c>
    </row>
    <row r="6096" spans="1:3" x14ac:dyDescent="0.3">
      <c r="A6096" t="s">
        <v>6095</v>
      </c>
      <c r="B6096">
        <f>0*(1-0.8198)</f>
        <v>0</v>
      </c>
      <c r="C6096" s="1">
        <v>2</v>
      </c>
    </row>
    <row r="6097" spans="1:3" x14ac:dyDescent="0.3">
      <c r="A6097" t="s">
        <v>6096</v>
      </c>
      <c r="B6097">
        <f>0*(1-0.8198)</f>
        <v>0</v>
      </c>
      <c r="C6097" s="1">
        <v>3</v>
      </c>
    </row>
    <row r="6098" spans="1:3" x14ac:dyDescent="0.3">
      <c r="A6098" t="s">
        <v>6097</v>
      </c>
      <c r="B6098">
        <f>0*(1-0.8198)</f>
        <v>0</v>
      </c>
      <c r="C6098" s="1">
        <v>2</v>
      </c>
    </row>
    <row r="6099" spans="1:3" x14ac:dyDescent="0.3">
      <c r="A6099" t="s">
        <v>6098</v>
      </c>
      <c r="B6099">
        <f>0*(1-0.8198)</f>
        <v>0</v>
      </c>
      <c r="C6099" s="1">
        <v>2</v>
      </c>
    </row>
    <row r="6100" spans="1:3" x14ac:dyDescent="0.3">
      <c r="A6100" t="s">
        <v>6099</v>
      </c>
      <c r="B6100">
        <f>0*(1-0.8198)</f>
        <v>0</v>
      </c>
      <c r="C6100" s="1">
        <v>3</v>
      </c>
    </row>
    <row r="6101" spans="1:3" x14ac:dyDescent="0.3">
      <c r="A6101" t="s">
        <v>6100</v>
      </c>
      <c r="B6101">
        <f>0*(1-0.8198)</f>
        <v>0</v>
      </c>
      <c r="C6101" s="1">
        <v>2</v>
      </c>
    </row>
    <row r="6102" spans="1:3" x14ac:dyDescent="0.3">
      <c r="A6102" t="s">
        <v>6101</v>
      </c>
      <c r="B6102">
        <f>0*(1-0.8198)</f>
        <v>0</v>
      </c>
      <c r="C6102" s="1">
        <v>2</v>
      </c>
    </row>
    <row r="6103" spans="1:3" x14ac:dyDescent="0.3">
      <c r="A6103" t="s">
        <v>6102</v>
      </c>
      <c r="B6103">
        <f>0*(1-0.8198)</f>
        <v>0</v>
      </c>
      <c r="C6103" s="1">
        <v>3</v>
      </c>
    </row>
    <row r="6104" spans="1:3" x14ac:dyDescent="0.3">
      <c r="A6104" t="s">
        <v>6103</v>
      </c>
      <c r="B6104">
        <f>3.23137671571429*(1-0.8198)</f>
        <v>0.58229408417171447</v>
      </c>
      <c r="C6104" s="1">
        <v>8</v>
      </c>
    </row>
    <row r="6105" spans="1:3" x14ac:dyDescent="0.3">
      <c r="A6105" t="s">
        <v>6104</v>
      </c>
      <c r="B6105">
        <f>9.62933995857143*(1-0.8198)</f>
        <v>1.735207060534572</v>
      </c>
      <c r="C6105" s="1">
        <v>14</v>
      </c>
    </row>
    <row r="6106" spans="1:3" x14ac:dyDescent="0.3">
      <c r="A6106" t="s">
        <v>6105</v>
      </c>
      <c r="B6106">
        <f>27.0724356057143*(1-0.8198)</f>
        <v>4.8784528961497156</v>
      </c>
      <c r="C6106" s="1">
        <v>15</v>
      </c>
    </row>
    <row r="6107" spans="1:3" x14ac:dyDescent="0.3">
      <c r="A6107" t="s">
        <v>6106</v>
      </c>
      <c r="B6107">
        <f>23.3881105885714*(1-0.8198)</f>
        <v>4.2145375280605721</v>
      </c>
      <c r="C6107" s="1">
        <v>17</v>
      </c>
    </row>
    <row r="6108" spans="1:3" x14ac:dyDescent="0.3">
      <c r="A6108" t="s">
        <v>6107</v>
      </c>
      <c r="B6108">
        <f>32.52194705*(1-0.8198)</f>
        <v>5.8604548584100007</v>
      </c>
      <c r="C6108" s="1">
        <v>17</v>
      </c>
    </row>
    <row r="6109" spans="1:3" x14ac:dyDescent="0.3">
      <c r="A6109" t="s">
        <v>6108</v>
      </c>
      <c r="B6109">
        <f>46.3024062042857*(1-0.8198)</f>
        <v>8.3436935980122868</v>
      </c>
      <c r="C6109" s="1">
        <v>12</v>
      </c>
    </row>
    <row r="6110" spans="1:3" x14ac:dyDescent="0.3">
      <c r="A6110" t="s">
        <v>6109</v>
      </c>
      <c r="B6110">
        <f>47.2634199614286*(1-0.8198)</f>
        <v>8.5168682770494293</v>
      </c>
      <c r="C6110" s="1">
        <v>12</v>
      </c>
    </row>
    <row r="6111" spans="1:3" x14ac:dyDescent="0.3">
      <c r="A6111" t="s">
        <v>6110</v>
      </c>
      <c r="B6111">
        <f>47.9671838842857*(1-0.8198)</f>
        <v>8.6436865359482891</v>
      </c>
      <c r="C6111" s="1">
        <v>12</v>
      </c>
    </row>
    <row r="6112" spans="1:3" x14ac:dyDescent="0.3">
      <c r="A6112" t="s">
        <v>6111</v>
      </c>
      <c r="B6112">
        <f>16.17573183*(1-0.8198)</f>
        <v>2.9148668757660006</v>
      </c>
      <c r="C6112" s="1">
        <v>10</v>
      </c>
    </row>
    <row r="6113" spans="1:3" x14ac:dyDescent="0.3">
      <c r="A6113" t="s">
        <v>6112</v>
      </c>
      <c r="B6113">
        <f>3.30584*(1-0.8198)</f>
        <v>0.59571236800000016</v>
      </c>
      <c r="C6113" s="1">
        <v>8</v>
      </c>
    </row>
    <row r="6114" spans="1:3" x14ac:dyDescent="0.3">
      <c r="A6114" t="s">
        <v>6113</v>
      </c>
      <c r="B6114">
        <f>2.98334*(1-0.8198)</f>
        <v>0.53759786800000009</v>
      </c>
      <c r="C6114" s="1">
        <v>7</v>
      </c>
    </row>
    <row r="6115" spans="1:3" x14ac:dyDescent="0.3">
      <c r="A6115" t="s">
        <v>6114</v>
      </c>
      <c r="B6115">
        <f>2.26122306285714*(1-0.8198)</f>
        <v>0.40747239592685719</v>
      </c>
      <c r="C6115" s="1">
        <v>7</v>
      </c>
    </row>
    <row r="6116" spans="1:3" x14ac:dyDescent="0.3">
      <c r="A6116" t="s">
        <v>6115</v>
      </c>
      <c r="B6116">
        <f>0*(1-0.8198)</f>
        <v>0</v>
      </c>
      <c r="C6116" s="1">
        <v>7</v>
      </c>
    </row>
    <row r="6117" spans="1:3" x14ac:dyDescent="0.3">
      <c r="A6117" t="s">
        <v>6116</v>
      </c>
      <c r="B6117">
        <f>0*(1-0.8198)</f>
        <v>0</v>
      </c>
      <c r="C6117" s="1">
        <v>6</v>
      </c>
    </row>
    <row r="6118" spans="1:3" x14ac:dyDescent="0.3">
      <c r="A6118" t="s">
        <v>6117</v>
      </c>
      <c r="B6118">
        <f>0*(1-0.8198)</f>
        <v>0</v>
      </c>
      <c r="C6118" s="1">
        <v>5</v>
      </c>
    </row>
    <row r="6119" spans="1:3" x14ac:dyDescent="0.3">
      <c r="A6119" t="s">
        <v>6118</v>
      </c>
      <c r="B6119">
        <f>0*(1-0.8198)</f>
        <v>0</v>
      </c>
      <c r="C6119" s="1">
        <v>6</v>
      </c>
    </row>
    <row r="6120" spans="1:3" x14ac:dyDescent="0.3">
      <c r="A6120" t="s">
        <v>6119</v>
      </c>
      <c r="B6120">
        <f>0*(1-0.8198)</f>
        <v>0</v>
      </c>
      <c r="C6120" s="1">
        <v>4</v>
      </c>
    </row>
    <row r="6121" spans="1:3" x14ac:dyDescent="0.3">
      <c r="A6121" t="s">
        <v>6120</v>
      </c>
      <c r="B6121">
        <f>0*(1-0.8198)</f>
        <v>0</v>
      </c>
      <c r="C6121" s="1">
        <v>2</v>
      </c>
    </row>
    <row r="6122" spans="1:3" x14ac:dyDescent="0.3">
      <c r="A6122" t="s">
        <v>6121</v>
      </c>
      <c r="B6122">
        <f>0*(1-0.8198)</f>
        <v>0</v>
      </c>
      <c r="C6122" s="1">
        <v>2</v>
      </c>
    </row>
    <row r="6123" spans="1:3" x14ac:dyDescent="0.3">
      <c r="A6123" t="s">
        <v>6122</v>
      </c>
      <c r="B6123">
        <f>0*(1-0.8198)</f>
        <v>0</v>
      </c>
      <c r="C6123" s="1">
        <v>3</v>
      </c>
    </row>
    <row r="6124" spans="1:3" x14ac:dyDescent="0.3">
      <c r="A6124" t="s">
        <v>6123</v>
      </c>
      <c r="B6124">
        <f>0*(1-0.8198)</f>
        <v>0</v>
      </c>
      <c r="C6124" s="1">
        <v>2</v>
      </c>
    </row>
    <row r="6125" spans="1:3" x14ac:dyDescent="0.3">
      <c r="A6125" t="s">
        <v>6124</v>
      </c>
      <c r="B6125">
        <f>0*(1-0.8198)</f>
        <v>0</v>
      </c>
      <c r="C6125" s="1">
        <v>2</v>
      </c>
    </row>
    <row r="6126" spans="1:3" x14ac:dyDescent="0.3">
      <c r="A6126" t="s">
        <v>6125</v>
      </c>
      <c r="B6126">
        <f>0*(1-0.8198)</f>
        <v>0</v>
      </c>
      <c r="C6126" s="1">
        <v>2</v>
      </c>
    </row>
    <row r="6127" spans="1:3" x14ac:dyDescent="0.3">
      <c r="A6127" t="s">
        <v>6126</v>
      </c>
      <c r="B6127">
        <f>0*(1-0.8198)</f>
        <v>0</v>
      </c>
      <c r="C6127" s="1">
        <v>3</v>
      </c>
    </row>
    <row r="6128" spans="1:3" x14ac:dyDescent="0.3">
      <c r="A6128" t="s">
        <v>6127</v>
      </c>
      <c r="B6128">
        <f>3.67100945285714*(1-0.8198)</f>
        <v>0.66151590340485722</v>
      </c>
      <c r="C6128" s="1">
        <v>9</v>
      </c>
    </row>
    <row r="6129" spans="1:3" x14ac:dyDescent="0.3">
      <c r="A6129" t="s">
        <v>6128</v>
      </c>
      <c r="B6129">
        <f>13.0189034157143*(1-0.8198)</f>
        <v>2.3460063955117145</v>
      </c>
      <c r="C6129" s="1">
        <v>11</v>
      </c>
    </row>
    <row r="6130" spans="1:3" x14ac:dyDescent="0.3">
      <c r="A6130" t="s">
        <v>6129</v>
      </c>
      <c r="B6130">
        <f>30.0062764628571*(1-0.8198)</f>
        <v>5.407131018606858</v>
      </c>
      <c r="C6130" s="1">
        <v>15</v>
      </c>
    </row>
    <row r="6131" spans="1:3" x14ac:dyDescent="0.3">
      <c r="A6131" t="s">
        <v>6130</v>
      </c>
      <c r="B6131">
        <f>41.3545389642857*(1-0.8198)</f>
        <v>7.4520879213642868</v>
      </c>
      <c r="C6131" s="1">
        <v>14</v>
      </c>
    </row>
    <row r="6132" spans="1:3" x14ac:dyDescent="0.3">
      <c r="A6132" t="s">
        <v>6131</v>
      </c>
      <c r="B6132">
        <f>44.4283596257143*(1-0.8198)</f>
        <v>8.0059904045537174</v>
      </c>
      <c r="C6132" s="1">
        <v>14</v>
      </c>
    </row>
    <row r="6133" spans="1:3" x14ac:dyDescent="0.3">
      <c r="A6133" t="s">
        <v>6132</v>
      </c>
      <c r="B6133">
        <f>37.7297554942857*(1-0.8198)</f>
        <v>6.7989019400702864</v>
      </c>
      <c r="C6133" s="1">
        <v>12</v>
      </c>
    </row>
    <row r="6134" spans="1:3" x14ac:dyDescent="0.3">
      <c r="A6134" t="s">
        <v>6133</v>
      </c>
      <c r="B6134">
        <f>48.1370804471429*(1-0.8198)</f>
        <v>8.6743018965751446</v>
      </c>
      <c r="C6134" s="1">
        <v>12</v>
      </c>
    </row>
    <row r="6135" spans="1:3" x14ac:dyDescent="0.3">
      <c r="A6135" t="s">
        <v>6134</v>
      </c>
      <c r="B6135">
        <f>47.7188176657143*(1-0.8198)</f>
        <v>8.5989309433617169</v>
      </c>
      <c r="C6135" s="1">
        <v>11</v>
      </c>
    </row>
    <row r="6136" spans="1:3" x14ac:dyDescent="0.3">
      <c r="A6136" t="s">
        <v>6135</v>
      </c>
      <c r="B6136">
        <f>41.5203183385714*(1-0.8198)</f>
        <v>7.4819613646105729</v>
      </c>
      <c r="C6136" s="1">
        <v>10</v>
      </c>
    </row>
    <row r="6137" spans="1:3" x14ac:dyDescent="0.3">
      <c r="A6137" t="s">
        <v>6136</v>
      </c>
      <c r="B6137">
        <f>30.9878291085714*(1-0.8198)</f>
        <v>5.5840068053645719</v>
      </c>
      <c r="C6137" s="1">
        <v>8</v>
      </c>
    </row>
    <row r="6138" spans="1:3" x14ac:dyDescent="0.3">
      <c r="A6138" t="s">
        <v>6137</v>
      </c>
      <c r="B6138">
        <f>16.7910501585714*(1-0.8198)</f>
        <v>3.025747238574573</v>
      </c>
      <c r="C6138" s="1">
        <v>6</v>
      </c>
    </row>
    <row r="6139" spans="1:3" x14ac:dyDescent="0.3">
      <c r="A6139" t="s">
        <v>6138</v>
      </c>
      <c r="B6139">
        <f>4.90313034714286*(1-0.8198)</f>
        <v>0.8835440885551431</v>
      </c>
      <c r="C6139" s="1">
        <v>6</v>
      </c>
    </row>
    <row r="6140" spans="1:3" x14ac:dyDescent="0.3">
      <c r="A6140" t="s">
        <v>6139</v>
      </c>
      <c r="B6140">
        <f>0*(1-0.8198)</f>
        <v>0</v>
      </c>
      <c r="C6140" s="1">
        <v>7</v>
      </c>
    </row>
    <row r="6141" spans="1:3" x14ac:dyDescent="0.3">
      <c r="A6141" t="s">
        <v>6140</v>
      </c>
      <c r="B6141">
        <f>0*(1-0.8198)</f>
        <v>0</v>
      </c>
      <c r="C6141" s="1">
        <v>5</v>
      </c>
    </row>
    <row r="6142" spans="1:3" x14ac:dyDescent="0.3">
      <c r="A6142" t="s">
        <v>6141</v>
      </c>
      <c r="B6142">
        <f>0*(1-0.8198)</f>
        <v>0</v>
      </c>
      <c r="C6142" s="1">
        <v>6</v>
      </c>
    </row>
    <row r="6143" spans="1:3" x14ac:dyDescent="0.3">
      <c r="A6143" t="s">
        <v>6142</v>
      </c>
      <c r="B6143">
        <f>0*(1-0.8198)</f>
        <v>0</v>
      </c>
      <c r="C6143" s="1">
        <v>5</v>
      </c>
    </row>
    <row r="6144" spans="1:3" x14ac:dyDescent="0.3">
      <c r="A6144" t="s">
        <v>6143</v>
      </c>
      <c r="B6144">
        <f>0*(1-0.8198)</f>
        <v>0</v>
      </c>
      <c r="C6144" s="1">
        <v>5</v>
      </c>
    </row>
    <row r="6145" spans="1:3" x14ac:dyDescent="0.3">
      <c r="A6145" t="s">
        <v>6144</v>
      </c>
      <c r="B6145">
        <f>0*(1-0.8198)</f>
        <v>0</v>
      </c>
      <c r="C6145" s="1">
        <v>2</v>
      </c>
    </row>
    <row r="6146" spans="1:3" x14ac:dyDescent="0.3">
      <c r="A6146" t="s">
        <v>6145</v>
      </c>
      <c r="B6146">
        <f>0*(1-0.8198)</f>
        <v>0</v>
      </c>
      <c r="C6146" s="1">
        <v>2</v>
      </c>
    </row>
    <row r="6147" spans="1:3" x14ac:dyDescent="0.3">
      <c r="A6147" t="s">
        <v>6146</v>
      </c>
      <c r="B6147">
        <f>0*(1-0.8198)</f>
        <v>0</v>
      </c>
      <c r="C6147" s="1">
        <v>3</v>
      </c>
    </row>
    <row r="6148" spans="1:3" x14ac:dyDescent="0.3">
      <c r="A6148" t="s">
        <v>6147</v>
      </c>
      <c r="B6148">
        <f>0*(1-0.8198)</f>
        <v>0</v>
      </c>
      <c r="C6148" s="1">
        <v>2</v>
      </c>
    </row>
    <row r="6149" spans="1:3" x14ac:dyDescent="0.3">
      <c r="A6149" t="s">
        <v>6148</v>
      </c>
      <c r="B6149">
        <f>0*(1-0.8198)</f>
        <v>0</v>
      </c>
      <c r="C6149" s="1">
        <v>3</v>
      </c>
    </row>
    <row r="6150" spans="1:3" x14ac:dyDescent="0.3">
      <c r="A6150" t="s">
        <v>6149</v>
      </c>
      <c r="B6150">
        <f>0*(1-0.8198)</f>
        <v>0</v>
      </c>
      <c r="C6150" s="1">
        <v>2</v>
      </c>
    </row>
    <row r="6151" spans="1:3" x14ac:dyDescent="0.3">
      <c r="A6151" t="s">
        <v>6150</v>
      </c>
      <c r="B6151">
        <f>0*(1-0.8198)</f>
        <v>0</v>
      </c>
      <c r="C6151" s="1">
        <v>2</v>
      </c>
    </row>
    <row r="6152" spans="1:3" x14ac:dyDescent="0.3">
      <c r="A6152" t="s">
        <v>6151</v>
      </c>
      <c r="B6152">
        <f>2.2523357*(1-0.8198)</f>
        <v>0.40587089314000008</v>
      </c>
      <c r="C6152" s="1">
        <v>3</v>
      </c>
    </row>
    <row r="6153" spans="1:3" x14ac:dyDescent="0.3">
      <c r="A6153" t="s">
        <v>6152</v>
      </c>
      <c r="B6153">
        <f>16.2192530514286*(1-0.8198)</f>
        <v>2.9227093998674292</v>
      </c>
      <c r="C6153" s="1">
        <v>2</v>
      </c>
    </row>
    <row r="6154" spans="1:3" x14ac:dyDescent="0.3">
      <c r="A6154" t="s">
        <v>6153</v>
      </c>
      <c r="B6154">
        <f>26.4433907557143*(1-0.8198)</f>
        <v>4.7650990141797154</v>
      </c>
      <c r="C6154" s="1">
        <v>2</v>
      </c>
    </row>
    <row r="6155" spans="1:3" x14ac:dyDescent="0.3">
      <c r="A6155" t="s">
        <v>6154</v>
      </c>
      <c r="B6155">
        <f>39.4683865342857*(1-0.8198)</f>
        <v>7.1122032534782882</v>
      </c>
      <c r="C6155" s="1">
        <v>2</v>
      </c>
    </row>
    <row r="6156" spans="1:3" x14ac:dyDescent="0.3">
      <c r="A6156" t="s">
        <v>6155</v>
      </c>
      <c r="B6156">
        <f>45.1351888957143*(1-0.8198)</f>
        <v>8.1333610390077151</v>
      </c>
      <c r="C6156" s="1">
        <v>3</v>
      </c>
    </row>
    <row r="6157" spans="1:3" x14ac:dyDescent="0.3">
      <c r="A6157" t="s">
        <v>6156</v>
      </c>
      <c r="B6157">
        <f>42.7878954357143*(1-0.8198)</f>
        <v>7.7103787575157172</v>
      </c>
      <c r="C6157" s="1">
        <v>2</v>
      </c>
    </row>
    <row r="6158" spans="1:3" x14ac:dyDescent="0.3">
      <c r="A6158" t="s">
        <v>6157</v>
      </c>
      <c r="B6158">
        <f>49.8128608442857*(1-0.8198)</f>
        <v>8.9762775241402881</v>
      </c>
      <c r="C6158" s="1">
        <v>3</v>
      </c>
    </row>
    <row r="6159" spans="1:3" x14ac:dyDescent="0.3">
      <c r="A6159" t="s">
        <v>6158</v>
      </c>
      <c r="B6159">
        <f>48.2619424957143*(1-0.8198)</f>
        <v>8.696802037727716</v>
      </c>
      <c r="C6159" s="1">
        <v>2</v>
      </c>
    </row>
    <row r="6160" spans="1:3" x14ac:dyDescent="0.3">
      <c r="A6160" t="s">
        <v>6159</v>
      </c>
      <c r="B6160">
        <f>36.1705550385714*(1-0.8198)</f>
        <v>6.517934017950572</v>
      </c>
      <c r="C6160" s="1">
        <v>2</v>
      </c>
    </row>
    <row r="6161" spans="1:3" x14ac:dyDescent="0.3">
      <c r="A6161" t="s">
        <v>6160</v>
      </c>
      <c r="B6161">
        <f>29.67683485*(1-0.8198)</f>
        <v>5.3477656399700013</v>
      </c>
      <c r="C6161" s="1">
        <v>3</v>
      </c>
    </row>
    <row r="6162" spans="1:3" x14ac:dyDescent="0.3">
      <c r="A6162" t="s">
        <v>6161</v>
      </c>
      <c r="B6162">
        <f>17.0119877214286*(1-0.8198)</f>
        <v>3.0655601874014291</v>
      </c>
      <c r="C6162" s="1">
        <v>2</v>
      </c>
    </row>
    <row r="6163" spans="1:3" x14ac:dyDescent="0.3">
      <c r="A6163" t="s">
        <v>6162</v>
      </c>
      <c r="B6163">
        <f>4.78761514714286*(1-0.8198)</f>
        <v>0.86272824951514293</v>
      </c>
      <c r="C6163" s="1">
        <v>2</v>
      </c>
    </row>
    <row r="6164" spans="1:3" x14ac:dyDescent="0.3">
      <c r="A6164" t="s">
        <v>6163</v>
      </c>
      <c r="B6164">
        <f>0*(1-0.8198)</f>
        <v>0</v>
      </c>
      <c r="C6164" s="1">
        <v>2</v>
      </c>
    </row>
    <row r="6165" spans="1:3" x14ac:dyDescent="0.3">
      <c r="A6165" t="s">
        <v>6164</v>
      </c>
      <c r="B6165">
        <f>0*(1-0.8198)</f>
        <v>0</v>
      </c>
      <c r="C6165" s="1">
        <v>3</v>
      </c>
    </row>
    <row r="6166" spans="1:3" x14ac:dyDescent="0.3">
      <c r="A6166" t="s">
        <v>6165</v>
      </c>
      <c r="B6166">
        <f>0*(1-0.8198)</f>
        <v>0</v>
      </c>
      <c r="C6166" s="1">
        <v>2</v>
      </c>
    </row>
    <row r="6167" spans="1:3" x14ac:dyDescent="0.3">
      <c r="A6167" t="s">
        <v>6166</v>
      </c>
      <c r="B6167">
        <f>0*(1-0.8198)</f>
        <v>0</v>
      </c>
      <c r="C6167" s="1">
        <v>2</v>
      </c>
    </row>
    <row r="6168" spans="1:3" x14ac:dyDescent="0.3">
      <c r="A6168" t="s">
        <v>6167</v>
      </c>
      <c r="B6168">
        <f>0*(1-0.8198)</f>
        <v>0</v>
      </c>
      <c r="C6168" s="1">
        <v>3</v>
      </c>
    </row>
    <row r="6169" spans="1:3" x14ac:dyDescent="0.3">
      <c r="A6169" t="s">
        <v>6168</v>
      </c>
      <c r="B6169">
        <f>0*(1-0.8198)</f>
        <v>0</v>
      </c>
      <c r="C6169" s="1">
        <v>2</v>
      </c>
    </row>
    <row r="6170" spans="1:3" x14ac:dyDescent="0.3">
      <c r="A6170" t="s">
        <v>6169</v>
      </c>
      <c r="B6170">
        <f>0*(1-0.8198)</f>
        <v>0</v>
      </c>
      <c r="C6170" s="1">
        <v>2</v>
      </c>
    </row>
    <row r="6171" spans="1:3" x14ac:dyDescent="0.3">
      <c r="A6171" t="s">
        <v>6170</v>
      </c>
      <c r="B6171">
        <f>0*(1-0.8198)</f>
        <v>0</v>
      </c>
      <c r="C6171" s="1">
        <v>3</v>
      </c>
    </row>
    <row r="6172" spans="1:3" x14ac:dyDescent="0.3">
      <c r="A6172" t="s">
        <v>6171</v>
      </c>
      <c r="B6172">
        <f>0*(1-0.8198)</f>
        <v>0</v>
      </c>
      <c r="C6172" s="1">
        <v>2</v>
      </c>
    </row>
    <row r="6173" spans="1:3" x14ac:dyDescent="0.3">
      <c r="A6173" t="s">
        <v>6172</v>
      </c>
      <c r="B6173">
        <f>0*(1-0.8198)</f>
        <v>0</v>
      </c>
      <c r="C6173" s="1">
        <v>2</v>
      </c>
    </row>
    <row r="6174" spans="1:3" x14ac:dyDescent="0.3">
      <c r="A6174" t="s">
        <v>6173</v>
      </c>
      <c r="B6174">
        <f>0*(1-0.8198)</f>
        <v>0</v>
      </c>
      <c r="C6174" s="1">
        <v>3</v>
      </c>
    </row>
    <row r="6175" spans="1:3" x14ac:dyDescent="0.3">
      <c r="A6175" t="s">
        <v>6174</v>
      </c>
      <c r="B6175">
        <f>0*(1-0.8198)</f>
        <v>0</v>
      </c>
      <c r="C6175" s="1">
        <v>2</v>
      </c>
    </row>
    <row r="6176" spans="1:3" x14ac:dyDescent="0.3">
      <c r="A6176" t="s">
        <v>6175</v>
      </c>
      <c r="B6176">
        <f>2.73827034571429*(1-0.8198)</f>
        <v>0.49343631629771445</v>
      </c>
      <c r="C6176" s="1">
        <v>2</v>
      </c>
    </row>
    <row r="6177" spans="1:3" x14ac:dyDescent="0.3">
      <c r="A6177" t="s">
        <v>6176</v>
      </c>
      <c r="B6177">
        <f>15.1803904971429*(1-0.8198)</f>
        <v>2.7355063675851432</v>
      </c>
      <c r="C6177" s="1">
        <v>3</v>
      </c>
    </row>
    <row r="6178" spans="1:3" x14ac:dyDescent="0.3">
      <c r="A6178" t="s">
        <v>6177</v>
      </c>
      <c r="B6178">
        <f>24.669143*(1-0.8198)</f>
        <v>4.4453795686000008</v>
      </c>
      <c r="C6178" s="1">
        <v>2</v>
      </c>
    </row>
    <row r="6179" spans="1:3" x14ac:dyDescent="0.3">
      <c r="A6179" t="s">
        <v>6178</v>
      </c>
      <c r="B6179">
        <f>18.4125831071429*(1-0.8198)</f>
        <v>3.3179474759071437</v>
      </c>
      <c r="C6179" s="1">
        <v>2</v>
      </c>
    </row>
    <row r="6180" spans="1:3" x14ac:dyDescent="0.3">
      <c r="A6180" t="s">
        <v>6179</v>
      </c>
      <c r="B6180">
        <f>21.8327130528571*(1-0.8198)</f>
        <v>3.9342548921248581</v>
      </c>
      <c r="C6180" s="1">
        <v>2</v>
      </c>
    </row>
    <row r="6181" spans="1:3" x14ac:dyDescent="0.3">
      <c r="A6181" t="s">
        <v>6180</v>
      </c>
      <c r="B6181">
        <f>5.37242*(1-0.8198)</f>
        <v>0.96811008400000009</v>
      </c>
      <c r="C6181" s="1">
        <v>2</v>
      </c>
    </row>
    <row r="6182" spans="1:3" x14ac:dyDescent="0.3">
      <c r="A6182" t="s">
        <v>6181</v>
      </c>
      <c r="B6182">
        <f>5.54614*(1-0.8198)</f>
        <v>0.99941442800000002</v>
      </c>
      <c r="C6182" s="1">
        <v>3</v>
      </c>
    </row>
    <row r="6183" spans="1:3" x14ac:dyDescent="0.3">
      <c r="A6183" t="s">
        <v>6182</v>
      </c>
      <c r="B6183">
        <f>3.39098*(1-0.8198)</f>
        <v>0.61105459600000012</v>
      </c>
      <c r="C6183" s="1">
        <v>2</v>
      </c>
    </row>
    <row r="6184" spans="1:3" x14ac:dyDescent="0.3">
      <c r="A6184" t="s">
        <v>6183</v>
      </c>
      <c r="B6184">
        <f>3.86742*(1-0.8198)</f>
        <v>0.69690908400000007</v>
      </c>
      <c r="C6184" s="1">
        <v>2</v>
      </c>
    </row>
    <row r="6185" spans="1:3" x14ac:dyDescent="0.3">
      <c r="A6185" t="s">
        <v>6184</v>
      </c>
      <c r="B6185">
        <f>3.00312*(1-0.8198)</f>
        <v>0.54116222400000014</v>
      </c>
      <c r="C6185" s="1">
        <v>3</v>
      </c>
    </row>
    <row r="6186" spans="1:3" x14ac:dyDescent="0.3">
      <c r="A6186" t="s">
        <v>6185</v>
      </c>
      <c r="B6186">
        <f>6.26101788714286*(1-0.8198)</f>
        <v>1.1282354232631429</v>
      </c>
      <c r="C6186" s="1">
        <v>2</v>
      </c>
    </row>
    <row r="6187" spans="1:3" x14ac:dyDescent="0.3">
      <c r="A6187" t="s">
        <v>6186</v>
      </c>
      <c r="B6187">
        <f>3.80885793142857*(1-0.8198)</f>
        <v>0.68635619924342872</v>
      </c>
      <c r="C6187" s="1">
        <v>2</v>
      </c>
    </row>
    <row r="6188" spans="1:3" x14ac:dyDescent="0.3">
      <c r="A6188" t="s">
        <v>6187</v>
      </c>
      <c r="B6188">
        <f>0*(1-0.8198)</f>
        <v>0</v>
      </c>
      <c r="C6188" s="1">
        <v>3</v>
      </c>
    </row>
    <row r="6189" spans="1:3" x14ac:dyDescent="0.3">
      <c r="A6189" t="s">
        <v>6188</v>
      </c>
      <c r="B6189">
        <f>0*(1-0.8198)</f>
        <v>0</v>
      </c>
      <c r="C6189" s="1">
        <v>2</v>
      </c>
    </row>
    <row r="6190" spans="1:3" x14ac:dyDescent="0.3">
      <c r="A6190" t="s">
        <v>6189</v>
      </c>
      <c r="B6190">
        <f>0*(1-0.8198)</f>
        <v>0</v>
      </c>
      <c r="C6190" s="1">
        <v>3</v>
      </c>
    </row>
    <row r="6191" spans="1:3" x14ac:dyDescent="0.3">
      <c r="A6191" t="s">
        <v>6190</v>
      </c>
      <c r="B6191">
        <f>0*(1-0.8198)</f>
        <v>0</v>
      </c>
      <c r="C6191" s="1">
        <v>2</v>
      </c>
    </row>
    <row r="6192" spans="1:3" x14ac:dyDescent="0.3">
      <c r="A6192" t="s">
        <v>6191</v>
      </c>
      <c r="B6192">
        <f>0*(1-0.8198)</f>
        <v>0</v>
      </c>
      <c r="C6192" s="1">
        <v>2</v>
      </c>
    </row>
    <row r="6193" spans="1:3" x14ac:dyDescent="0.3">
      <c r="A6193" t="s">
        <v>6192</v>
      </c>
      <c r="B6193">
        <f>0*(1-0.8198)</f>
        <v>0</v>
      </c>
      <c r="C6193" s="1">
        <v>2</v>
      </c>
    </row>
    <row r="6194" spans="1:3" x14ac:dyDescent="0.3">
      <c r="A6194" t="s">
        <v>6193</v>
      </c>
      <c r="B6194">
        <f>0*(1-0.8198)</f>
        <v>0</v>
      </c>
      <c r="C6194" s="1">
        <v>3</v>
      </c>
    </row>
    <row r="6195" spans="1:3" x14ac:dyDescent="0.3">
      <c r="A6195" t="s">
        <v>6194</v>
      </c>
      <c r="B6195">
        <f>0*(1-0.8198)</f>
        <v>0</v>
      </c>
      <c r="C6195" s="1">
        <v>2</v>
      </c>
    </row>
    <row r="6196" spans="1:3" x14ac:dyDescent="0.3">
      <c r="A6196" t="s">
        <v>6195</v>
      </c>
      <c r="B6196">
        <f>0*(1-0.8198)</f>
        <v>0</v>
      </c>
      <c r="C6196" s="1">
        <v>2</v>
      </c>
    </row>
    <row r="6197" spans="1:3" x14ac:dyDescent="0.3">
      <c r="A6197" t="s">
        <v>6196</v>
      </c>
      <c r="B6197">
        <f>0*(1-0.8198)</f>
        <v>0</v>
      </c>
      <c r="C6197" s="1">
        <v>3</v>
      </c>
    </row>
    <row r="6198" spans="1:3" x14ac:dyDescent="0.3">
      <c r="A6198" t="s">
        <v>6197</v>
      </c>
      <c r="B6198">
        <f>0*(1-0.8198)</f>
        <v>0</v>
      </c>
      <c r="C6198" s="1">
        <v>2</v>
      </c>
    </row>
    <row r="6199" spans="1:3" x14ac:dyDescent="0.3">
      <c r="A6199" t="s">
        <v>6198</v>
      </c>
      <c r="B6199">
        <f>0*(1-0.8198)</f>
        <v>0</v>
      </c>
      <c r="C6199" s="1">
        <v>3</v>
      </c>
    </row>
    <row r="6200" spans="1:3" x14ac:dyDescent="0.3">
      <c r="A6200" t="s">
        <v>6199</v>
      </c>
      <c r="B6200">
        <f>2.77803938714286*(1-0.8198)</f>
        <v>0.50060269756314291</v>
      </c>
      <c r="C6200" s="1">
        <v>8</v>
      </c>
    </row>
    <row r="6201" spans="1:3" x14ac:dyDescent="0.3">
      <c r="A6201" t="s">
        <v>6200</v>
      </c>
      <c r="B6201">
        <f>16.4315459557143*(1-0.8198)</f>
        <v>2.9609645812197152</v>
      </c>
      <c r="C6201" s="1">
        <v>11</v>
      </c>
    </row>
    <row r="6202" spans="1:3" x14ac:dyDescent="0.3">
      <c r="A6202" t="s">
        <v>6201</v>
      </c>
      <c r="B6202">
        <f>30.9920429242857*(1-0.8198)</f>
        <v>5.5847661349562872</v>
      </c>
      <c r="C6202" s="1">
        <v>13</v>
      </c>
    </row>
    <row r="6203" spans="1:3" x14ac:dyDescent="0.3">
      <c r="A6203" t="s">
        <v>6202</v>
      </c>
      <c r="B6203">
        <f>38.1100023442857*(1-0.8198)</f>
        <v>6.8674224224402876</v>
      </c>
      <c r="C6203" s="1">
        <v>17</v>
      </c>
    </row>
    <row r="6204" spans="1:3" x14ac:dyDescent="0.3">
      <c r="A6204" t="s">
        <v>6203</v>
      </c>
      <c r="B6204">
        <f>42.7825501057143*(1-0.8198)</f>
        <v>7.7094155290497142</v>
      </c>
      <c r="C6204" s="1">
        <v>18</v>
      </c>
    </row>
    <row r="6205" spans="1:3" x14ac:dyDescent="0.3">
      <c r="A6205" t="s">
        <v>6204</v>
      </c>
      <c r="B6205">
        <f>43.0425689557143*(1-0.8198)</f>
        <v>7.7562709258197158</v>
      </c>
      <c r="C6205" s="1">
        <v>12</v>
      </c>
    </row>
    <row r="6206" spans="1:3" x14ac:dyDescent="0.3">
      <c r="A6206" t="s">
        <v>6205</v>
      </c>
      <c r="B6206">
        <f>46.1657475357143*(1-0.8198)</f>
        <v>8.3190677059357157</v>
      </c>
      <c r="C6206" s="1">
        <v>13</v>
      </c>
    </row>
    <row r="6207" spans="1:3" x14ac:dyDescent="0.3">
      <c r="A6207" t="s">
        <v>6206</v>
      </c>
      <c r="B6207">
        <f>47.7913273371429*(1-0.8198)</f>
        <v>8.6119971861531468</v>
      </c>
      <c r="C6207" s="1">
        <v>11</v>
      </c>
    </row>
    <row r="6208" spans="1:3" x14ac:dyDescent="0.3">
      <c r="A6208" t="s">
        <v>6207</v>
      </c>
      <c r="B6208">
        <f>39.2317894771429*(1-0.8198)</f>
        <v>7.0695684637811445</v>
      </c>
      <c r="C6208" s="1">
        <v>10</v>
      </c>
    </row>
    <row r="6209" spans="1:3" x14ac:dyDescent="0.3">
      <c r="A6209" t="s">
        <v>6208</v>
      </c>
      <c r="B6209">
        <f>27.7282533*(1-0.8198)</f>
        <v>4.9966312446599996</v>
      </c>
      <c r="C6209" s="1">
        <v>8</v>
      </c>
    </row>
    <row r="6210" spans="1:3" x14ac:dyDescent="0.3">
      <c r="A6210" t="s">
        <v>6209</v>
      </c>
      <c r="B6210">
        <f>13.9280191828571*(1-0.8198)</f>
        <v>2.5098290567508577</v>
      </c>
      <c r="C6210" s="1">
        <v>7</v>
      </c>
    </row>
    <row r="6211" spans="1:3" x14ac:dyDescent="0.3">
      <c r="A6211" t="s">
        <v>6210</v>
      </c>
      <c r="B6211">
        <f>3.15705269*(1-0.8198)</f>
        <v>0.56890089473800021</v>
      </c>
      <c r="C6211" s="1">
        <v>8</v>
      </c>
    </row>
    <row r="6212" spans="1:3" x14ac:dyDescent="0.3">
      <c r="A6212" t="s">
        <v>6211</v>
      </c>
      <c r="B6212">
        <f>0*(1-0.8198)</f>
        <v>0</v>
      </c>
      <c r="C6212" s="1">
        <v>6</v>
      </c>
    </row>
    <row r="6213" spans="1:3" x14ac:dyDescent="0.3">
      <c r="A6213" t="s">
        <v>6212</v>
      </c>
      <c r="B6213">
        <f>0*(1-0.8198)</f>
        <v>0</v>
      </c>
      <c r="C6213" s="1">
        <v>6</v>
      </c>
    </row>
    <row r="6214" spans="1:3" x14ac:dyDescent="0.3">
      <c r="A6214" t="s">
        <v>6213</v>
      </c>
      <c r="B6214">
        <f>0*(1-0.8198)</f>
        <v>0</v>
      </c>
      <c r="C6214" s="1">
        <v>5</v>
      </c>
    </row>
    <row r="6215" spans="1:3" x14ac:dyDescent="0.3">
      <c r="A6215" t="s">
        <v>6214</v>
      </c>
      <c r="B6215">
        <f>0*(1-0.8198)</f>
        <v>0</v>
      </c>
      <c r="C6215" s="1">
        <v>5</v>
      </c>
    </row>
    <row r="6216" spans="1:3" x14ac:dyDescent="0.3">
      <c r="A6216" t="s">
        <v>6215</v>
      </c>
      <c r="B6216">
        <f>0*(1-0.8198)</f>
        <v>0</v>
      </c>
      <c r="C6216" s="1">
        <v>4</v>
      </c>
    </row>
    <row r="6217" spans="1:3" x14ac:dyDescent="0.3">
      <c r="A6217" t="s">
        <v>6216</v>
      </c>
      <c r="B6217">
        <f>0*(1-0.8198)</f>
        <v>0</v>
      </c>
      <c r="C6217" s="1">
        <v>2</v>
      </c>
    </row>
    <row r="6218" spans="1:3" x14ac:dyDescent="0.3">
      <c r="A6218" t="s">
        <v>6217</v>
      </c>
      <c r="B6218">
        <f>0*(1-0.8198)</f>
        <v>0</v>
      </c>
      <c r="C6218" s="1">
        <v>3</v>
      </c>
    </row>
    <row r="6219" spans="1:3" x14ac:dyDescent="0.3">
      <c r="A6219" t="s">
        <v>6218</v>
      </c>
      <c r="B6219">
        <f>0*(1-0.8198)</f>
        <v>0</v>
      </c>
      <c r="C6219" s="1">
        <v>2</v>
      </c>
    </row>
    <row r="6220" spans="1:3" x14ac:dyDescent="0.3">
      <c r="A6220" t="s">
        <v>6219</v>
      </c>
      <c r="B6220">
        <f>0*(1-0.8198)</f>
        <v>0</v>
      </c>
      <c r="C6220" s="1">
        <v>3</v>
      </c>
    </row>
    <row r="6221" spans="1:3" x14ac:dyDescent="0.3">
      <c r="A6221" t="s">
        <v>6220</v>
      </c>
      <c r="B6221">
        <f>0*(1-0.8198)</f>
        <v>0</v>
      </c>
      <c r="C6221" s="1">
        <v>2</v>
      </c>
    </row>
    <row r="6222" spans="1:3" x14ac:dyDescent="0.3">
      <c r="A6222" t="s">
        <v>6221</v>
      </c>
      <c r="B6222">
        <f>0*(1-0.8198)</f>
        <v>0</v>
      </c>
      <c r="C6222" s="1">
        <v>2</v>
      </c>
    </row>
    <row r="6223" spans="1:3" x14ac:dyDescent="0.3">
      <c r="A6223" t="s">
        <v>6222</v>
      </c>
      <c r="B6223">
        <f>0*(1-0.8198)</f>
        <v>0</v>
      </c>
      <c r="C6223" s="1">
        <v>3</v>
      </c>
    </row>
    <row r="6224" spans="1:3" x14ac:dyDescent="0.3">
      <c r="A6224" t="s">
        <v>6223</v>
      </c>
      <c r="B6224">
        <f>2.99615768571429*(1-0.8198)</f>
        <v>0.53990761496571449</v>
      </c>
      <c r="C6224" s="1">
        <v>9</v>
      </c>
    </row>
    <row r="6225" spans="1:3" x14ac:dyDescent="0.3">
      <c r="A6225" t="s">
        <v>6224</v>
      </c>
      <c r="B6225">
        <f>8.04368571857143*(1-0.8198)</f>
        <v>1.449472166486572</v>
      </c>
      <c r="C6225" s="1">
        <v>12</v>
      </c>
    </row>
    <row r="6226" spans="1:3" x14ac:dyDescent="0.3">
      <c r="A6226" t="s">
        <v>6225</v>
      </c>
      <c r="B6226">
        <f>25.0001203885714*(1-0.8198)</f>
        <v>4.5050216940205727</v>
      </c>
      <c r="C6226" s="1">
        <v>19</v>
      </c>
    </row>
    <row r="6227" spans="1:3" x14ac:dyDescent="0.3">
      <c r="A6227" t="s">
        <v>6226</v>
      </c>
      <c r="B6227">
        <f>27.3668992371429*(1-0.8198)</f>
        <v>4.9315152425331439</v>
      </c>
      <c r="C6227" s="1">
        <v>16</v>
      </c>
    </row>
    <row r="6228" spans="1:3" x14ac:dyDescent="0.3">
      <c r="A6228" t="s">
        <v>6227</v>
      </c>
      <c r="B6228">
        <f>41.0844202128571*(1-0.8198)</f>
        <v>7.4034125223568585</v>
      </c>
      <c r="C6228" s="1">
        <v>13</v>
      </c>
    </row>
    <row r="6229" spans="1:3" x14ac:dyDescent="0.3">
      <c r="A6229" t="s">
        <v>6228</v>
      </c>
      <c r="B6229">
        <f>48.72482779*(1-0.8198)</f>
        <v>8.7802139677580033</v>
      </c>
      <c r="C6229" s="1">
        <v>14</v>
      </c>
    </row>
    <row r="6230" spans="1:3" x14ac:dyDescent="0.3">
      <c r="A6230" t="s">
        <v>6229</v>
      </c>
      <c r="B6230">
        <f>48.1820133585714*(1-0.8198)</f>
        <v>8.6823988072145752</v>
      </c>
      <c r="C6230" s="1">
        <v>13</v>
      </c>
    </row>
    <row r="6231" spans="1:3" x14ac:dyDescent="0.3">
      <c r="A6231" t="s">
        <v>6230</v>
      </c>
      <c r="B6231">
        <f>45.0443226471429*(1-0.8198)</f>
        <v>8.1169869410151456</v>
      </c>
      <c r="C6231" s="1">
        <v>12</v>
      </c>
    </row>
    <row r="6232" spans="1:3" x14ac:dyDescent="0.3">
      <c r="A6232" t="s">
        <v>6231</v>
      </c>
      <c r="B6232">
        <f>37.7763686614286*(1-0.8198)</f>
        <v>6.8073016327894305</v>
      </c>
      <c r="C6232" s="1">
        <v>9</v>
      </c>
    </row>
    <row r="6233" spans="1:3" x14ac:dyDescent="0.3">
      <c r="A6233" t="s">
        <v>6232</v>
      </c>
      <c r="B6233">
        <f>27.2873816714286*(1-0.8198)</f>
        <v>4.9171861771914296</v>
      </c>
      <c r="C6233" s="1">
        <v>9</v>
      </c>
    </row>
    <row r="6234" spans="1:3" x14ac:dyDescent="0.3">
      <c r="A6234" t="s">
        <v>6233</v>
      </c>
      <c r="B6234">
        <f>14.6317945314286*(1-0.8198)</f>
        <v>2.6366493745634285</v>
      </c>
      <c r="C6234" s="1">
        <v>8</v>
      </c>
    </row>
    <row r="6235" spans="1:3" x14ac:dyDescent="0.3">
      <c r="A6235" t="s">
        <v>6234</v>
      </c>
      <c r="B6235">
        <f>2.81864066285714*(1-0.8198)</f>
        <v>0.50791904744685734</v>
      </c>
      <c r="C6235" s="1">
        <v>8</v>
      </c>
    </row>
    <row r="6236" spans="1:3" x14ac:dyDescent="0.3">
      <c r="A6236" t="s">
        <v>6235</v>
      </c>
      <c r="B6236">
        <f>0*(1-0.8198)</f>
        <v>0</v>
      </c>
      <c r="C6236" s="1">
        <v>7</v>
      </c>
    </row>
    <row r="6237" spans="1:3" x14ac:dyDescent="0.3">
      <c r="A6237" t="s">
        <v>6236</v>
      </c>
      <c r="B6237">
        <f>0*(1-0.8198)</f>
        <v>0</v>
      </c>
      <c r="C6237" s="1">
        <v>7</v>
      </c>
    </row>
    <row r="6238" spans="1:3" x14ac:dyDescent="0.3">
      <c r="A6238" t="s">
        <v>6237</v>
      </c>
      <c r="B6238">
        <f>0*(1-0.8198)</f>
        <v>0</v>
      </c>
      <c r="C6238" s="1">
        <v>5</v>
      </c>
    </row>
    <row r="6239" spans="1:3" x14ac:dyDescent="0.3">
      <c r="A6239" t="s">
        <v>6238</v>
      </c>
      <c r="B6239">
        <f>0*(1-0.8198)</f>
        <v>0</v>
      </c>
      <c r="C6239" s="1">
        <v>4</v>
      </c>
    </row>
    <row r="6240" spans="1:3" x14ac:dyDescent="0.3">
      <c r="A6240" t="s">
        <v>6239</v>
      </c>
      <c r="B6240">
        <f>0*(1-0.8198)</f>
        <v>0</v>
      </c>
      <c r="C6240" s="1">
        <v>5</v>
      </c>
    </row>
    <row r="6241" spans="1:3" x14ac:dyDescent="0.3">
      <c r="A6241" t="s">
        <v>6240</v>
      </c>
      <c r="B6241">
        <f>0*(1-0.8198)</f>
        <v>0</v>
      </c>
      <c r="C6241" s="1">
        <v>2</v>
      </c>
    </row>
    <row r="6242" spans="1:3" x14ac:dyDescent="0.3">
      <c r="A6242" t="s">
        <v>6241</v>
      </c>
      <c r="B6242">
        <f>0*(1-0.8198)</f>
        <v>0</v>
      </c>
      <c r="C6242" s="1">
        <v>2</v>
      </c>
    </row>
    <row r="6243" spans="1:3" x14ac:dyDescent="0.3">
      <c r="A6243" t="s">
        <v>6242</v>
      </c>
      <c r="B6243">
        <f>0*(1-0.8198)</f>
        <v>0</v>
      </c>
      <c r="C6243" s="1">
        <v>2</v>
      </c>
    </row>
    <row r="6244" spans="1:3" x14ac:dyDescent="0.3">
      <c r="A6244" t="s">
        <v>6243</v>
      </c>
      <c r="B6244">
        <f>0*(1-0.8198)</f>
        <v>0</v>
      </c>
      <c r="C6244" s="1">
        <v>3</v>
      </c>
    </row>
    <row r="6245" spans="1:3" x14ac:dyDescent="0.3">
      <c r="A6245" t="s">
        <v>6244</v>
      </c>
      <c r="B6245">
        <f>0*(1-0.8198)</f>
        <v>0</v>
      </c>
      <c r="C6245" s="1">
        <v>2</v>
      </c>
    </row>
    <row r="6246" spans="1:3" x14ac:dyDescent="0.3">
      <c r="A6246" t="s">
        <v>6245</v>
      </c>
      <c r="B6246">
        <f>0*(1-0.8198)</f>
        <v>0</v>
      </c>
      <c r="C6246" s="1">
        <v>2</v>
      </c>
    </row>
    <row r="6247" spans="1:3" x14ac:dyDescent="0.3">
      <c r="A6247" t="s">
        <v>6246</v>
      </c>
      <c r="B6247">
        <f>0*(1-0.8198)</f>
        <v>0</v>
      </c>
      <c r="C6247" s="1">
        <v>2</v>
      </c>
    </row>
    <row r="6248" spans="1:3" x14ac:dyDescent="0.3">
      <c r="A6248" t="s">
        <v>6247</v>
      </c>
      <c r="B6248">
        <f>3.84722677*(1-0.8198)</f>
        <v>0.69327026395400027</v>
      </c>
      <c r="C6248" s="1">
        <v>10</v>
      </c>
    </row>
    <row r="6249" spans="1:3" x14ac:dyDescent="0.3">
      <c r="A6249" t="s">
        <v>6248</v>
      </c>
      <c r="B6249">
        <f>14.1443442585714*(1-0.8198)</f>
        <v>2.5488108353945722</v>
      </c>
      <c r="C6249" s="1">
        <v>10</v>
      </c>
    </row>
    <row r="6250" spans="1:3" x14ac:dyDescent="0.3">
      <c r="A6250" t="s">
        <v>6249</v>
      </c>
      <c r="B6250">
        <f>29.0359464485714*(1-0.8198)</f>
        <v>5.232277550032574</v>
      </c>
      <c r="C6250" s="1">
        <v>21</v>
      </c>
    </row>
    <row r="6251" spans="1:3" x14ac:dyDescent="0.3">
      <c r="A6251" t="s">
        <v>6250</v>
      </c>
      <c r="B6251">
        <f>40.2925903242857*(1-0.8198)</f>
        <v>7.2607247764362874</v>
      </c>
      <c r="C6251" s="1">
        <v>17</v>
      </c>
    </row>
    <row r="6252" spans="1:3" x14ac:dyDescent="0.3">
      <c r="A6252" t="s">
        <v>6251</v>
      </c>
      <c r="B6252">
        <f>46.4523873785714*(1-0.8198)</f>
        <v>8.370720205618575</v>
      </c>
      <c r="C6252" s="1">
        <v>15</v>
      </c>
    </row>
    <row r="6253" spans="1:3" x14ac:dyDescent="0.3">
      <c r="A6253" t="s">
        <v>6252</v>
      </c>
      <c r="B6253">
        <f>50.0344853014286*(1-0.8198)</f>
        <v>9.0162142513174306</v>
      </c>
      <c r="C6253" s="1">
        <v>14</v>
      </c>
    </row>
    <row r="6254" spans="1:3" x14ac:dyDescent="0.3">
      <c r="A6254" t="s">
        <v>6253</v>
      </c>
      <c r="B6254">
        <f>50.6626313285714*(1-0.8198)</f>
        <v>9.1294061654085734</v>
      </c>
      <c r="C6254" s="1">
        <v>14</v>
      </c>
    </row>
    <row r="6255" spans="1:3" x14ac:dyDescent="0.3">
      <c r="A6255" t="s">
        <v>6254</v>
      </c>
      <c r="B6255">
        <f>44.7467952042857*(1-0.8198)</f>
        <v>8.0633724958122883</v>
      </c>
      <c r="C6255" s="1">
        <v>14</v>
      </c>
    </row>
    <row r="6256" spans="1:3" x14ac:dyDescent="0.3">
      <c r="A6256" t="s">
        <v>6255</v>
      </c>
      <c r="B6256">
        <f>34.6761949585714*(1-0.8198)</f>
        <v>6.2486503315345727</v>
      </c>
      <c r="C6256" s="1">
        <v>10</v>
      </c>
    </row>
    <row r="6257" spans="1:3" x14ac:dyDescent="0.3">
      <c r="A6257" t="s">
        <v>6256</v>
      </c>
      <c r="B6257">
        <f>28.3448339242857*(1-0.8198)</f>
        <v>5.1077390731562877</v>
      </c>
      <c r="C6257" s="1">
        <v>10</v>
      </c>
    </row>
    <row r="6258" spans="1:3" x14ac:dyDescent="0.3">
      <c r="A6258" t="s">
        <v>6257</v>
      </c>
      <c r="B6258">
        <f>15.1198417057143*(1-0.8198)</f>
        <v>2.7245954753697155</v>
      </c>
      <c r="C6258" s="1">
        <v>7</v>
      </c>
    </row>
    <row r="6259" spans="1:3" x14ac:dyDescent="0.3">
      <c r="A6259" t="s">
        <v>6258</v>
      </c>
      <c r="B6259">
        <f>3.52523300285714*(1-0.8198)</f>
        <v>0.63524698711485716</v>
      </c>
      <c r="C6259" s="1">
        <v>6</v>
      </c>
    </row>
    <row r="6260" spans="1:3" x14ac:dyDescent="0.3">
      <c r="A6260" t="s">
        <v>6259</v>
      </c>
      <c r="B6260">
        <f>0*(1-0.8198)</f>
        <v>0</v>
      </c>
      <c r="C6260" s="1">
        <v>7</v>
      </c>
    </row>
    <row r="6261" spans="1:3" x14ac:dyDescent="0.3">
      <c r="A6261" t="s">
        <v>6260</v>
      </c>
      <c r="B6261">
        <f>0*(1-0.8198)</f>
        <v>0</v>
      </c>
      <c r="C6261" s="1">
        <v>7</v>
      </c>
    </row>
    <row r="6262" spans="1:3" x14ac:dyDescent="0.3">
      <c r="A6262" t="s">
        <v>6261</v>
      </c>
      <c r="B6262">
        <f>0*(1-0.8198)</f>
        <v>0</v>
      </c>
      <c r="C6262" s="1">
        <v>4</v>
      </c>
    </row>
    <row r="6263" spans="1:3" x14ac:dyDescent="0.3">
      <c r="A6263" t="s">
        <v>6262</v>
      </c>
      <c r="B6263">
        <f>0*(1-0.8198)</f>
        <v>0</v>
      </c>
      <c r="C6263" s="1">
        <v>5</v>
      </c>
    </row>
    <row r="6264" spans="1:3" x14ac:dyDescent="0.3">
      <c r="A6264" t="s">
        <v>6263</v>
      </c>
      <c r="B6264">
        <f>0*(1-0.8198)</f>
        <v>0</v>
      </c>
      <c r="C6264" s="1">
        <v>4</v>
      </c>
    </row>
    <row r="6265" spans="1:3" x14ac:dyDescent="0.3">
      <c r="A6265" t="s">
        <v>6264</v>
      </c>
      <c r="B6265">
        <f>0*(1-0.8198)</f>
        <v>0</v>
      </c>
      <c r="C6265" s="1">
        <v>2</v>
      </c>
    </row>
    <row r="6266" spans="1:3" x14ac:dyDescent="0.3">
      <c r="A6266" t="s">
        <v>6265</v>
      </c>
      <c r="B6266">
        <f>0*(1-0.8198)</f>
        <v>0</v>
      </c>
      <c r="C6266" s="1">
        <v>2</v>
      </c>
    </row>
    <row r="6267" spans="1:3" x14ac:dyDescent="0.3">
      <c r="A6267" t="s">
        <v>6266</v>
      </c>
      <c r="B6267">
        <f>0*(1-0.8198)</f>
        <v>0</v>
      </c>
      <c r="C6267" s="1">
        <v>2</v>
      </c>
    </row>
    <row r="6268" spans="1:3" x14ac:dyDescent="0.3">
      <c r="A6268" t="s">
        <v>6267</v>
      </c>
      <c r="B6268">
        <f>0*(1-0.8198)</f>
        <v>0</v>
      </c>
      <c r="C6268" s="1">
        <v>3</v>
      </c>
    </row>
    <row r="6269" spans="1:3" x14ac:dyDescent="0.3">
      <c r="A6269" t="s">
        <v>6268</v>
      </c>
      <c r="B6269">
        <f>0*(1-0.8198)</f>
        <v>0</v>
      </c>
      <c r="C6269" s="1">
        <v>2</v>
      </c>
    </row>
    <row r="6270" spans="1:3" x14ac:dyDescent="0.3">
      <c r="A6270" t="s">
        <v>6269</v>
      </c>
      <c r="B6270">
        <f>0*(1-0.8198)</f>
        <v>0</v>
      </c>
      <c r="C6270" s="1">
        <v>2</v>
      </c>
    </row>
    <row r="6271" spans="1:3" x14ac:dyDescent="0.3">
      <c r="A6271" t="s">
        <v>6270</v>
      </c>
      <c r="B6271">
        <f>0*(1-0.8198)</f>
        <v>0</v>
      </c>
      <c r="C6271" s="1">
        <v>2</v>
      </c>
    </row>
    <row r="6272" spans="1:3" x14ac:dyDescent="0.3">
      <c r="A6272" t="s">
        <v>6271</v>
      </c>
      <c r="B6272">
        <f>1.48092*(1-0.8198)</f>
        <v>0.26686178400000005</v>
      </c>
      <c r="C6272" s="1">
        <v>8</v>
      </c>
    </row>
    <row r="6273" spans="1:3" x14ac:dyDescent="0.3">
      <c r="A6273" t="s">
        <v>6272</v>
      </c>
      <c r="B6273">
        <f>13.9339697685714*(1-0.8198)</f>
        <v>2.510901352296572</v>
      </c>
      <c r="C6273" s="1">
        <v>12</v>
      </c>
    </row>
    <row r="6274" spans="1:3" x14ac:dyDescent="0.3">
      <c r="A6274" t="s">
        <v>6273</v>
      </c>
      <c r="B6274">
        <f>17.7320646157143*(1-0.8198)</f>
        <v>3.1953180437517155</v>
      </c>
      <c r="C6274" s="1">
        <v>18</v>
      </c>
    </row>
    <row r="6275" spans="1:3" x14ac:dyDescent="0.3">
      <c r="A6275" t="s">
        <v>6274</v>
      </c>
      <c r="B6275">
        <f>30.39283387*(1-0.8198)</f>
        <v>5.4767886633740019</v>
      </c>
      <c r="C6275" s="1">
        <v>18</v>
      </c>
    </row>
    <row r="6276" spans="1:3" x14ac:dyDescent="0.3">
      <c r="A6276" t="s">
        <v>6275</v>
      </c>
      <c r="B6276">
        <f>38.13707453*(1-0.8198)</f>
        <v>6.8723008303060009</v>
      </c>
      <c r="C6276" s="1">
        <v>14</v>
      </c>
    </row>
    <row r="6277" spans="1:3" x14ac:dyDescent="0.3">
      <c r="A6277" t="s">
        <v>6276</v>
      </c>
      <c r="B6277">
        <f>42.4006575842857*(1-0.8198)</f>
        <v>7.6405984966882858</v>
      </c>
      <c r="C6277" s="1">
        <v>14</v>
      </c>
    </row>
    <row r="6278" spans="1:3" x14ac:dyDescent="0.3">
      <c r="A6278" t="s">
        <v>6277</v>
      </c>
      <c r="B6278">
        <f>37.8684296957143*(1-0.8198)</f>
        <v>6.8238910311677161</v>
      </c>
      <c r="C6278" s="1">
        <v>14</v>
      </c>
    </row>
    <row r="6279" spans="1:3" x14ac:dyDescent="0.3">
      <c r="A6279" t="s">
        <v>6278</v>
      </c>
      <c r="B6279">
        <f>22.2525036242857*(1-0.8198)</f>
        <v>4.0099011530962878</v>
      </c>
      <c r="C6279" s="1">
        <v>14</v>
      </c>
    </row>
    <row r="6280" spans="1:3" x14ac:dyDescent="0.3">
      <c r="A6280" t="s">
        <v>6279</v>
      </c>
      <c r="B6280">
        <f>18.6359253528571*(1-0.8198)</f>
        <v>3.3581937485848581</v>
      </c>
      <c r="C6280" s="1">
        <v>11</v>
      </c>
    </row>
    <row r="6281" spans="1:3" x14ac:dyDescent="0.3">
      <c r="A6281" t="s">
        <v>6280</v>
      </c>
      <c r="B6281">
        <f>5.51604*(1-0.8198)</f>
        <v>0.99399040800000038</v>
      </c>
      <c r="C6281" s="1">
        <v>9</v>
      </c>
    </row>
    <row r="6282" spans="1:3" x14ac:dyDescent="0.3">
      <c r="A6282" t="s">
        <v>6281</v>
      </c>
      <c r="B6282">
        <f>3.76078*(1-0.8198)</f>
        <v>0.67769255600000011</v>
      </c>
      <c r="C6282" s="1">
        <v>8</v>
      </c>
    </row>
    <row r="6283" spans="1:3" x14ac:dyDescent="0.3">
      <c r="A6283" t="s">
        <v>6282</v>
      </c>
      <c r="B6283">
        <f>0.0694182171428571*(1-0.8198)</f>
        <v>1.250916272914286E-2</v>
      </c>
      <c r="C6283" s="1">
        <v>8</v>
      </c>
    </row>
    <row r="6284" spans="1:3" x14ac:dyDescent="0.3">
      <c r="A6284" t="s">
        <v>6283</v>
      </c>
      <c r="B6284">
        <f>0*(1-0.8198)</f>
        <v>0</v>
      </c>
      <c r="C6284" s="1">
        <v>8</v>
      </c>
    </row>
    <row r="6285" spans="1:3" x14ac:dyDescent="0.3">
      <c r="A6285" t="s">
        <v>6284</v>
      </c>
      <c r="B6285">
        <f>0*(1-0.8198)</f>
        <v>0</v>
      </c>
      <c r="C6285" s="1">
        <v>6</v>
      </c>
    </row>
    <row r="6286" spans="1:3" x14ac:dyDescent="0.3">
      <c r="A6286" t="s">
        <v>6285</v>
      </c>
      <c r="B6286">
        <f>0*(1-0.8198)</f>
        <v>0</v>
      </c>
      <c r="C6286" s="1">
        <v>6</v>
      </c>
    </row>
    <row r="6287" spans="1:3" x14ac:dyDescent="0.3">
      <c r="A6287" t="s">
        <v>6286</v>
      </c>
      <c r="B6287">
        <f>0*(1-0.8198)</f>
        <v>0</v>
      </c>
      <c r="C6287" s="1">
        <v>5</v>
      </c>
    </row>
    <row r="6288" spans="1:3" x14ac:dyDescent="0.3">
      <c r="A6288" t="s">
        <v>6287</v>
      </c>
      <c r="B6288">
        <f>0*(1-0.8198)</f>
        <v>0</v>
      </c>
      <c r="C6288" s="1">
        <v>5</v>
      </c>
    </row>
    <row r="6289" spans="1:3" x14ac:dyDescent="0.3">
      <c r="A6289" t="s">
        <v>6288</v>
      </c>
      <c r="B6289">
        <f>0*(1-0.8198)</f>
        <v>0</v>
      </c>
      <c r="C6289" s="1">
        <v>2</v>
      </c>
    </row>
    <row r="6290" spans="1:3" x14ac:dyDescent="0.3">
      <c r="A6290" t="s">
        <v>6289</v>
      </c>
      <c r="B6290">
        <f>0*(1-0.8198)</f>
        <v>0</v>
      </c>
      <c r="C6290" s="1">
        <v>3</v>
      </c>
    </row>
    <row r="6291" spans="1:3" x14ac:dyDescent="0.3">
      <c r="A6291" t="s">
        <v>6290</v>
      </c>
      <c r="B6291">
        <f>0*(1-0.8198)</f>
        <v>0</v>
      </c>
      <c r="C6291" s="1">
        <v>3</v>
      </c>
    </row>
    <row r="6292" spans="1:3" x14ac:dyDescent="0.3">
      <c r="A6292" t="s">
        <v>6291</v>
      </c>
      <c r="B6292">
        <f>0*(1-0.8198)</f>
        <v>0</v>
      </c>
      <c r="C6292" s="1">
        <v>3</v>
      </c>
    </row>
    <row r="6293" spans="1:3" x14ac:dyDescent="0.3">
      <c r="A6293" t="s">
        <v>6292</v>
      </c>
      <c r="B6293">
        <f>0*(1-0.8198)</f>
        <v>0</v>
      </c>
      <c r="C6293" s="1">
        <v>2</v>
      </c>
    </row>
    <row r="6294" spans="1:3" x14ac:dyDescent="0.3">
      <c r="A6294" t="s">
        <v>6293</v>
      </c>
      <c r="B6294">
        <f>0*(1-0.8198)</f>
        <v>0</v>
      </c>
      <c r="C6294" s="1">
        <v>3</v>
      </c>
    </row>
    <row r="6295" spans="1:3" x14ac:dyDescent="0.3">
      <c r="A6295" t="s">
        <v>6294</v>
      </c>
      <c r="B6295">
        <f>0*(1-0.8198)</f>
        <v>0</v>
      </c>
      <c r="C6295" s="1">
        <v>2</v>
      </c>
    </row>
    <row r="6296" spans="1:3" x14ac:dyDescent="0.3">
      <c r="A6296" t="s">
        <v>6295</v>
      </c>
      <c r="B6296">
        <f>0.1075*(1-0.8198)</f>
        <v>1.9371500000000003E-2</v>
      </c>
      <c r="C6296" s="1">
        <v>9</v>
      </c>
    </row>
    <row r="6297" spans="1:3" x14ac:dyDescent="0.3">
      <c r="A6297" t="s">
        <v>6296</v>
      </c>
      <c r="B6297">
        <f>1.85502*(1-0.8198)</f>
        <v>0.33427460400000009</v>
      </c>
      <c r="C6297" s="1">
        <v>13</v>
      </c>
    </row>
    <row r="6298" spans="1:3" x14ac:dyDescent="0.3">
      <c r="A6298" t="s">
        <v>6297</v>
      </c>
      <c r="B6298">
        <f>15.93116546*(1-0.8198)</f>
        <v>2.870796015892001</v>
      </c>
      <c r="C6298" s="1">
        <v>16</v>
      </c>
    </row>
    <row r="6299" spans="1:3" x14ac:dyDescent="0.3">
      <c r="A6299" t="s">
        <v>6298</v>
      </c>
      <c r="B6299">
        <f>25.6175459628572*(1-0.8198)</f>
        <v>4.6162817825068592</v>
      </c>
      <c r="C6299" s="1">
        <v>15</v>
      </c>
    </row>
    <row r="6300" spans="1:3" x14ac:dyDescent="0.3">
      <c r="A6300" t="s">
        <v>6299</v>
      </c>
      <c r="B6300">
        <f>26.2828283257143*(1-0.8198)</f>
        <v>4.7361656642937158</v>
      </c>
      <c r="C6300" s="1">
        <v>17</v>
      </c>
    </row>
    <row r="6301" spans="1:3" x14ac:dyDescent="0.3">
      <c r="A6301" t="s">
        <v>6300</v>
      </c>
      <c r="B6301">
        <f>26.8720893914286*(1-0.8198)</f>
        <v>4.8423505083354295</v>
      </c>
      <c r="C6301" s="1">
        <v>14</v>
      </c>
    </row>
    <row r="6302" spans="1:3" x14ac:dyDescent="0.3">
      <c r="A6302" t="s">
        <v>6301</v>
      </c>
      <c r="B6302">
        <f>25.8634574957143*(1-0.8198)</f>
        <v>4.6605950407277152</v>
      </c>
      <c r="C6302" s="1">
        <v>15</v>
      </c>
    </row>
    <row r="6303" spans="1:3" x14ac:dyDescent="0.3">
      <c r="A6303" t="s">
        <v>6302</v>
      </c>
      <c r="B6303">
        <f>14.8253539942857*(1-0.8198)</f>
        <v>2.6715287897702864</v>
      </c>
      <c r="C6303" s="1">
        <v>13</v>
      </c>
    </row>
    <row r="6304" spans="1:3" x14ac:dyDescent="0.3">
      <c r="A6304" t="s">
        <v>6303</v>
      </c>
      <c r="B6304">
        <f>6.1318*(1-0.8198)</f>
        <v>1.1049503600000001</v>
      </c>
      <c r="C6304" s="1">
        <v>10</v>
      </c>
    </row>
    <row r="6305" spans="1:3" x14ac:dyDescent="0.3">
      <c r="A6305" t="s">
        <v>6304</v>
      </c>
      <c r="B6305">
        <f>3.24306*(1-0.8198)</f>
        <v>0.58439941200000023</v>
      </c>
      <c r="C6305" s="1">
        <v>9</v>
      </c>
    </row>
    <row r="6306" spans="1:3" x14ac:dyDescent="0.3">
      <c r="A6306" t="s">
        <v>6305</v>
      </c>
      <c r="B6306">
        <f>15.4240219242857*(1-0.8198)</f>
        <v>2.7794087507562866</v>
      </c>
      <c r="C6306" s="1">
        <v>8</v>
      </c>
    </row>
    <row r="6307" spans="1:3" x14ac:dyDescent="0.3">
      <c r="A6307" t="s">
        <v>6306</v>
      </c>
      <c r="B6307">
        <f>3.28021335142857*(1-0.8198)</f>
        <v>0.59109444592742866</v>
      </c>
      <c r="C6307" s="1">
        <v>7</v>
      </c>
    </row>
    <row r="6308" spans="1:3" x14ac:dyDescent="0.3">
      <c r="A6308" t="s">
        <v>6307</v>
      </c>
      <c r="B6308">
        <f>0*(1-0.8198)</f>
        <v>0</v>
      </c>
      <c r="C6308" s="1">
        <v>7</v>
      </c>
    </row>
    <row r="6309" spans="1:3" x14ac:dyDescent="0.3">
      <c r="A6309" t="s">
        <v>6308</v>
      </c>
      <c r="B6309">
        <f>0*(1-0.8198)</f>
        <v>0</v>
      </c>
      <c r="C6309" s="1">
        <v>6</v>
      </c>
    </row>
    <row r="6310" spans="1:3" x14ac:dyDescent="0.3">
      <c r="A6310" t="s">
        <v>6309</v>
      </c>
      <c r="B6310">
        <f>0*(1-0.8198)</f>
        <v>0</v>
      </c>
      <c r="C6310" s="1">
        <v>5</v>
      </c>
    </row>
    <row r="6311" spans="1:3" x14ac:dyDescent="0.3">
      <c r="A6311" t="s">
        <v>6310</v>
      </c>
      <c r="B6311">
        <f>0*(1-0.8198)</f>
        <v>0</v>
      </c>
      <c r="C6311" s="1">
        <v>4</v>
      </c>
    </row>
    <row r="6312" spans="1:3" x14ac:dyDescent="0.3">
      <c r="A6312" t="s">
        <v>6311</v>
      </c>
      <c r="B6312">
        <f>0*(1-0.8198)</f>
        <v>0</v>
      </c>
      <c r="C6312" s="1">
        <v>5</v>
      </c>
    </row>
    <row r="6313" spans="1:3" x14ac:dyDescent="0.3">
      <c r="A6313" t="s">
        <v>6312</v>
      </c>
      <c r="B6313">
        <f>0*(1-0.8198)</f>
        <v>0</v>
      </c>
      <c r="C6313" s="1">
        <v>2</v>
      </c>
    </row>
    <row r="6314" spans="1:3" x14ac:dyDescent="0.3">
      <c r="A6314" t="s">
        <v>6313</v>
      </c>
      <c r="B6314">
        <f>0*(1-0.8198)</f>
        <v>0</v>
      </c>
      <c r="C6314" s="1">
        <v>2</v>
      </c>
    </row>
    <row r="6315" spans="1:3" x14ac:dyDescent="0.3">
      <c r="A6315" t="s">
        <v>6314</v>
      </c>
      <c r="B6315">
        <f>0*(1-0.8198)</f>
        <v>0</v>
      </c>
      <c r="C6315" s="1">
        <v>3</v>
      </c>
    </row>
    <row r="6316" spans="1:3" x14ac:dyDescent="0.3">
      <c r="A6316" t="s">
        <v>6315</v>
      </c>
      <c r="B6316">
        <f>0*(1-0.8198)</f>
        <v>0</v>
      </c>
      <c r="C6316" s="1">
        <v>3</v>
      </c>
    </row>
    <row r="6317" spans="1:3" x14ac:dyDescent="0.3">
      <c r="A6317" t="s">
        <v>6316</v>
      </c>
      <c r="B6317">
        <f>0*(1-0.8198)</f>
        <v>0</v>
      </c>
      <c r="C6317" s="1">
        <v>2</v>
      </c>
    </row>
    <row r="6318" spans="1:3" x14ac:dyDescent="0.3">
      <c r="A6318" t="s">
        <v>6317</v>
      </c>
      <c r="B6318">
        <f>0*(1-0.8198)</f>
        <v>0</v>
      </c>
      <c r="C6318" s="1">
        <v>2</v>
      </c>
    </row>
    <row r="6319" spans="1:3" x14ac:dyDescent="0.3">
      <c r="A6319" t="s">
        <v>6318</v>
      </c>
      <c r="B6319">
        <f>0*(1-0.8198)</f>
        <v>0</v>
      </c>
      <c r="C6319" s="1">
        <v>3</v>
      </c>
    </row>
    <row r="6320" spans="1:3" x14ac:dyDescent="0.3">
      <c r="A6320" t="s">
        <v>6319</v>
      </c>
      <c r="B6320">
        <f>0.8987*(1-0.8198)</f>
        <v>0.16194574</v>
      </c>
      <c r="C6320" s="1">
        <v>2</v>
      </c>
    </row>
    <row r="6321" spans="1:3" x14ac:dyDescent="0.3">
      <c r="A6321" t="s">
        <v>6320</v>
      </c>
      <c r="B6321">
        <f>4.63847468428571*(1-0.8198)</f>
        <v>0.83585313810828576</v>
      </c>
      <c r="C6321" s="1">
        <v>2</v>
      </c>
    </row>
    <row r="6322" spans="1:3" x14ac:dyDescent="0.3">
      <c r="A6322" t="s">
        <v>6321</v>
      </c>
      <c r="B6322">
        <f>9.61286733428572*(1-0.8198)</f>
        <v>1.7322386936382861</v>
      </c>
      <c r="C6322" s="1">
        <v>3</v>
      </c>
    </row>
    <row r="6323" spans="1:3" x14ac:dyDescent="0.3">
      <c r="A6323" t="s">
        <v>6322</v>
      </c>
      <c r="B6323">
        <f>23.3398604114286*(1-0.8198)</f>
        <v>4.2058428461394293</v>
      </c>
      <c r="C6323" s="1">
        <v>2</v>
      </c>
    </row>
    <row r="6324" spans="1:3" x14ac:dyDescent="0.3">
      <c r="A6324" t="s">
        <v>6323</v>
      </c>
      <c r="B6324">
        <f>45.6439555585714*(1-0.8198)</f>
        <v>8.2250407916545729</v>
      </c>
      <c r="C6324" s="1">
        <v>2</v>
      </c>
    </row>
    <row r="6325" spans="1:3" x14ac:dyDescent="0.3">
      <c r="A6325" t="s">
        <v>6324</v>
      </c>
      <c r="B6325">
        <f>49.1882944442857*(1-0.8198)</f>
        <v>8.8637306588602893</v>
      </c>
      <c r="C6325" s="1">
        <v>3</v>
      </c>
    </row>
    <row r="6326" spans="1:3" x14ac:dyDescent="0.3">
      <c r="A6326" t="s">
        <v>6325</v>
      </c>
      <c r="B6326">
        <f>48.1355847842857*(1-0.8198)</f>
        <v>8.6740323781282882</v>
      </c>
      <c r="C6326" s="1">
        <v>2</v>
      </c>
    </row>
    <row r="6327" spans="1:3" x14ac:dyDescent="0.3">
      <c r="A6327" t="s">
        <v>6326</v>
      </c>
      <c r="B6327">
        <f>45.6090519057143*(1-0.8198)</f>
        <v>8.2187511534097144</v>
      </c>
      <c r="C6327" s="1">
        <v>3</v>
      </c>
    </row>
    <row r="6328" spans="1:3" x14ac:dyDescent="0.3">
      <c r="A6328" t="s">
        <v>6327</v>
      </c>
      <c r="B6328">
        <f>22.1661921814286*(1-0.8198)</f>
        <v>3.9943478310934291</v>
      </c>
      <c r="C6328" s="1">
        <v>2</v>
      </c>
    </row>
    <row r="6329" spans="1:3" x14ac:dyDescent="0.3">
      <c r="A6329" t="s">
        <v>6328</v>
      </c>
      <c r="B6329">
        <f>18.0307902228571*(1-0.8198)</f>
        <v>3.2491483981588583</v>
      </c>
      <c r="C6329" s="1">
        <v>2</v>
      </c>
    </row>
    <row r="6330" spans="1:3" x14ac:dyDescent="0.3">
      <c r="A6330" t="s">
        <v>6329</v>
      </c>
      <c r="B6330">
        <f>11.6207635142857*(1-0.8198)</f>
        <v>2.0940615852742868</v>
      </c>
      <c r="C6330" s="1">
        <v>3</v>
      </c>
    </row>
    <row r="6331" spans="1:3" x14ac:dyDescent="0.3">
      <c r="A6331" t="s">
        <v>6330</v>
      </c>
      <c r="B6331">
        <f>2.61649723285714*(1-0.8198)</f>
        <v>0.47149280136085719</v>
      </c>
      <c r="C6331" s="1">
        <v>2</v>
      </c>
    </row>
    <row r="6332" spans="1:3" x14ac:dyDescent="0.3">
      <c r="A6332" t="s">
        <v>6331</v>
      </c>
      <c r="B6332">
        <f>0*(1-0.8198)</f>
        <v>0</v>
      </c>
      <c r="C6332" s="1">
        <v>3</v>
      </c>
    </row>
    <row r="6333" spans="1:3" x14ac:dyDescent="0.3">
      <c r="A6333" t="s">
        <v>6332</v>
      </c>
      <c r="B6333">
        <f>0*(1-0.8198)</f>
        <v>0</v>
      </c>
      <c r="C6333" s="1">
        <v>3</v>
      </c>
    </row>
    <row r="6334" spans="1:3" x14ac:dyDescent="0.3">
      <c r="A6334" t="s">
        <v>6333</v>
      </c>
      <c r="B6334">
        <f>0*(1-0.8198)</f>
        <v>0</v>
      </c>
      <c r="C6334" s="1">
        <v>2</v>
      </c>
    </row>
    <row r="6335" spans="1:3" x14ac:dyDescent="0.3">
      <c r="A6335" t="s">
        <v>6334</v>
      </c>
      <c r="B6335">
        <f>0*(1-0.8198)</f>
        <v>0</v>
      </c>
      <c r="C6335" s="1">
        <v>3</v>
      </c>
    </row>
    <row r="6336" spans="1:3" x14ac:dyDescent="0.3">
      <c r="A6336" t="s">
        <v>6335</v>
      </c>
      <c r="B6336">
        <f>0*(1-0.8198)</f>
        <v>0</v>
      </c>
      <c r="C6336" s="1">
        <v>2</v>
      </c>
    </row>
    <row r="6337" spans="1:3" x14ac:dyDescent="0.3">
      <c r="A6337" t="s">
        <v>6336</v>
      </c>
      <c r="B6337">
        <f>0*(1-0.8198)</f>
        <v>0</v>
      </c>
      <c r="C6337" s="1">
        <v>2</v>
      </c>
    </row>
    <row r="6338" spans="1:3" x14ac:dyDescent="0.3">
      <c r="A6338" t="s">
        <v>6337</v>
      </c>
      <c r="B6338">
        <f>0*(1-0.8198)</f>
        <v>0</v>
      </c>
      <c r="C6338" s="1">
        <v>3</v>
      </c>
    </row>
    <row r="6339" spans="1:3" x14ac:dyDescent="0.3">
      <c r="A6339" t="s">
        <v>6338</v>
      </c>
      <c r="B6339">
        <f>0*(1-0.8198)</f>
        <v>0</v>
      </c>
      <c r="C6339" s="1">
        <v>2</v>
      </c>
    </row>
    <row r="6340" spans="1:3" x14ac:dyDescent="0.3">
      <c r="A6340" t="s">
        <v>6339</v>
      </c>
      <c r="B6340">
        <f>0*(1-0.8198)</f>
        <v>0</v>
      </c>
      <c r="C6340" s="1">
        <v>3</v>
      </c>
    </row>
    <row r="6341" spans="1:3" x14ac:dyDescent="0.3">
      <c r="A6341" t="s">
        <v>6340</v>
      </c>
      <c r="B6341">
        <f>0*(1-0.8198)</f>
        <v>0</v>
      </c>
      <c r="C6341" s="1">
        <v>2</v>
      </c>
    </row>
    <row r="6342" spans="1:3" x14ac:dyDescent="0.3">
      <c r="A6342" t="s">
        <v>6341</v>
      </c>
      <c r="B6342">
        <f>0*(1-0.8198)</f>
        <v>0</v>
      </c>
      <c r="C6342" s="1">
        <v>2</v>
      </c>
    </row>
    <row r="6343" spans="1:3" x14ac:dyDescent="0.3">
      <c r="A6343" t="s">
        <v>6342</v>
      </c>
      <c r="B6343">
        <f>0*(1-0.8198)</f>
        <v>0</v>
      </c>
      <c r="C6343" s="1">
        <v>3</v>
      </c>
    </row>
    <row r="6344" spans="1:3" x14ac:dyDescent="0.3">
      <c r="A6344" t="s">
        <v>6343</v>
      </c>
      <c r="B6344">
        <f>1.19368*(1-0.8198)</f>
        <v>0.21510113600000008</v>
      </c>
      <c r="C6344" s="1">
        <v>2</v>
      </c>
    </row>
    <row r="6345" spans="1:3" x14ac:dyDescent="0.3">
      <c r="A6345" t="s">
        <v>6344</v>
      </c>
      <c r="B6345">
        <f>16.0475283742857*(1-0.8198)</f>
        <v>2.8917646130462868</v>
      </c>
      <c r="C6345" s="1">
        <v>3</v>
      </c>
    </row>
    <row r="6346" spans="1:3" x14ac:dyDescent="0.3">
      <c r="A6346" t="s">
        <v>6345</v>
      </c>
      <c r="B6346">
        <f>29.7029415014286*(1-0.8198)</f>
        <v>5.3524700585574303</v>
      </c>
      <c r="C6346" s="1">
        <v>3</v>
      </c>
    </row>
    <row r="6347" spans="1:3" x14ac:dyDescent="0.3">
      <c r="A6347" t="s">
        <v>6346</v>
      </c>
      <c r="B6347">
        <f>41.2864894985714*(1-0.8198)</f>
        <v>7.4398254076425738</v>
      </c>
      <c r="C6347" s="1">
        <v>4</v>
      </c>
    </row>
    <row r="6348" spans="1:3" x14ac:dyDescent="0.3">
      <c r="A6348" t="s">
        <v>6347</v>
      </c>
      <c r="B6348">
        <f>48.7354760028571*(1-0.8198)</f>
        <v>8.7821327757148602</v>
      </c>
      <c r="C6348" s="1">
        <v>4</v>
      </c>
    </row>
    <row r="6349" spans="1:3" x14ac:dyDescent="0.3">
      <c r="A6349" t="s">
        <v>6348</v>
      </c>
      <c r="B6349">
        <f>51.2613576157143*(1-0.8198)</f>
        <v>9.2372966423517155</v>
      </c>
      <c r="C6349" s="1">
        <v>3</v>
      </c>
    </row>
    <row r="6350" spans="1:3" x14ac:dyDescent="0.3">
      <c r="A6350" t="s">
        <v>6349</v>
      </c>
      <c r="B6350">
        <f>50.5259323014286*(1-0.8198)</f>
        <v>9.1047730007174295</v>
      </c>
      <c r="C6350" s="1">
        <v>2</v>
      </c>
    </row>
    <row r="6351" spans="1:3" x14ac:dyDescent="0.3">
      <c r="A6351" t="s">
        <v>6350</v>
      </c>
      <c r="B6351">
        <f>47.6087965142857*(1-0.8198)</f>
        <v>8.5791051318742877</v>
      </c>
      <c r="C6351" s="1">
        <v>2</v>
      </c>
    </row>
    <row r="6352" spans="1:3" x14ac:dyDescent="0.3">
      <c r="A6352" t="s">
        <v>6351</v>
      </c>
      <c r="B6352">
        <f>39.9377893385714*(1-0.8198)</f>
        <v>7.1967896388105723</v>
      </c>
      <c r="C6352" s="1">
        <v>3</v>
      </c>
    </row>
    <row r="6353" spans="1:3" x14ac:dyDescent="0.3">
      <c r="A6353" t="s">
        <v>6352</v>
      </c>
      <c r="B6353">
        <f>28.5269273142857*(1-0.8198)</f>
        <v>5.1405523020342878</v>
      </c>
      <c r="C6353" s="1">
        <v>2</v>
      </c>
    </row>
    <row r="6354" spans="1:3" x14ac:dyDescent="0.3">
      <c r="A6354" t="s">
        <v>6353</v>
      </c>
      <c r="B6354">
        <f>14.2765983142857*(1-0.8198)</f>
        <v>2.5726430162342857</v>
      </c>
      <c r="C6354" s="1">
        <v>2</v>
      </c>
    </row>
    <row r="6355" spans="1:3" x14ac:dyDescent="0.3">
      <c r="A6355" t="s">
        <v>6354</v>
      </c>
      <c r="B6355">
        <f>3.07016762714286*(1-0.8198)</f>
        <v>0.55324420641114291</v>
      </c>
      <c r="C6355" s="1">
        <v>3</v>
      </c>
    </row>
    <row r="6356" spans="1:3" x14ac:dyDescent="0.3">
      <c r="A6356" t="s">
        <v>6355</v>
      </c>
      <c r="B6356">
        <f>0*(1-0.8198)</f>
        <v>0</v>
      </c>
      <c r="C6356" s="1">
        <v>2</v>
      </c>
    </row>
    <row r="6357" spans="1:3" x14ac:dyDescent="0.3">
      <c r="A6357" t="s">
        <v>6356</v>
      </c>
      <c r="B6357">
        <f>0*(1-0.8198)</f>
        <v>0</v>
      </c>
      <c r="C6357" s="1">
        <v>3</v>
      </c>
    </row>
    <row r="6358" spans="1:3" x14ac:dyDescent="0.3">
      <c r="A6358" t="s">
        <v>6357</v>
      </c>
      <c r="B6358">
        <f>0*(1-0.8198)</f>
        <v>0</v>
      </c>
      <c r="C6358" s="1">
        <v>2</v>
      </c>
    </row>
    <row r="6359" spans="1:3" x14ac:dyDescent="0.3">
      <c r="A6359" t="s">
        <v>6358</v>
      </c>
      <c r="B6359">
        <f>0*(1-0.8198)</f>
        <v>0</v>
      </c>
      <c r="C6359" s="1">
        <v>3</v>
      </c>
    </row>
    <row r="6360" spans="1:3" x14ac:dyDescent="0.3">
      <c r="A6360" t="s">
        <v>6359</v>
      </c>
      <c r="B6360">
        <f>0*(1-0.8198)</f>
        <v>0</v>
      </c>
      <c r="C6360" s="1">
        <v>2</v>
      </c>
    </row>
    <row r="6361" spans="1:3" x14ac:dyDescent="0.3">
      <c r="A6361" t="s">
        <v>6360</v>
      </c>
      <c r="B6361">
        <f>0*(1-0.8198)</f>
        <v>0</v>
      </c>
      <c r="C6361" s="1">
        <v>3</v>
      </c>
    </row>
    <row r="6362" spans="1:3" x14ac:dyDescent="0.3">
      <c r="A6362" t="s">
        <v>6361</v>
      </c>
      <c r="B6362">
        <f>0*(1-0.8198)</f>
        <v>0</v>
      </c>
      <c r="C6362" s="1">
        <v>3</v>
      </c>
    </row>
    <row r="6363" spans="1:3" x14ac:dyDescent="0.3">
      <c r="A6363" t="s">
        <v>6362</v>
      </c>
      <c r="B6363">
        <f>0*(1-0.8198)</f>
        <v>0</v>
      </c>
      <c r="C6363" s="1">
        <v>2</v>
      </c>
    </row>
    <row r="6364" spans="1:3" x14ac:dyDescent="0.3">
      <c r="A6364" t="s">
        <v>6363</v>
      </c>
      <c r="B6364">
        <f>0*(1-0.8198)</f>
        <v>0</v>
      </c>
      <c r="C6364" s="1">
        <v>3</v>
      </c>
    </row>
    <row r="6365" spans="1:3" x14ac:dyDescent="0.3">
      <c r="A6365" t="s">
        <v>6364</v>
      </c>
      <c r="B6365">
        <f>0*(1-0.8198)</f>
        <v>0</v>
      </c>
      <c r="C6365" s="1">
        <v>2</v>
      </c>
    </row>
    <row r="6366" spans="1:3" x14ac:dyDescent="0.3">
      <c r="A6366" t="s">
        <v>6365</v>
      </c>
      <c r="B6366">
        <f>0*(1-0.8198)</f>
        <v>0</v>
      </c>
      <c r="C6366" s="1">
        <v>3</v>
      </c>
    </row>
    <row r="6367" spans="1:3" x14ac:dyDescent="0.3">
      <c r="A6367" t="s">
        <v>6366</v>
      </c>
      <c r="B6367">
        <f>0*(1-0.8198)</f>
        <v>0</v>
      </c>
      <c r="C6367" s="1">
        <v>2</v>
      </c>
    </row>
    <row r="6368" spans="1:3" x14ac:dyDescent="0.3">
      <c r="A6368" t="s">
        <v>6367</v>
      </c>
      <c r="B6368">
        <f>1.204*(1-0.8198)</f>
        <v>0.21696080000000006</v>
      </c>
      <c r="C6368" s="1">
        <v>8</v>
      </c>
    </row>
    <row r="6369" spans="1:3" x14ac:dyDescent="0.3">
      <c r="A6369" t="s">
        <v>6368</v>
      </c>
      <c r="B6369">
        <f>15.7737248914286*(1-0.8198)</f>
        <v>2.842425225435429</v>
      </c>
      <c r="C6369" s="1">
        <v>13</v>
      </c>
    </row>
    <row r="6370" spans="1:3" x14ac:dyDescent="0.3">
      <c r="A6370" t="s">
        <v>6369</v>
      </c>
      <c r="B6370">
        <f>29.5123033357143*(1-0.8198)</f>
        <v>5.3181170610957151</v>
      </c>
      <c r="C6370" s="1">
        <v>13</v>
      </c>
    </row>
    <row r="6371" spans="1:3" x14ac:dyDescent="0.3">
      <c r="A6371" t="s">
        <v>6370</v>
      </c>
      <c r="B6371">
        <f>41.0959783057143*(1-0.8198)</f>
        <v>7.405495290689716</v>
      </c>
      <c r="C6371" s="1">
        <v>14</v>
      </c>
    </row>
    <row r="6372" spans="1:3" x14ac:dyDescent="0.3">
      <c r="A6372" t="s">
        <v>6371</v>
      </c>
      <c r="B6372">
        <f>42.4493294685714*(1-0.8198)</f>
        <v>7.6493691702365725</v>
      </c>
      <c r="C6372" s="1">
        <v>13</v>
      </c>
    </row>
    <row r="6373" spans="1:3" x14ac:dyDescent="0.3">
      <c r="A6373" t="s">
        <v>6372</v>
      </c>
      <c r="B6373">
        <f>48.81929922*(1-0.8198)</f>
        <v>8.7972377194440003</v>
      </c>
      <c r="C6373" s="1">
        <v>15</v>
      </c>
    </row>
    <row r="6374" spans="1:3" x14ac:dyDescent="0.3">
      <c r="A6374" t="s">
        <v>6373</v>
      </c>
      <c r="B6374">
        <f>48.4860110728571*(1-0.8198)</f>
        <v>8.7371791953288582</v>
      </c>
      <c r="C6374" s="1">
        <v>14</v>
      </c>
    </row>
    <row r="6375" spans="1:3" x14ac:dyDescent="0.3">
      <c r="A6375" t="s">
        <v>6374</v>
      </c>
      <c r="B6375">
        <f>46.1627731642857*(1-0.8198)</f>
        <v>8.3185317242042895</v>
      </c>
      <c r="C6375" s="1">
        <v>13</v>
      </c>
    </row>
    <row r="6376" spans="1:3" x14ac:dyDescent="0.3">
      <c r="A6376" t="s">
        <v>6375</v>
      </c>
      <c r="B6376">
        <f>39.9167003571429*(1-0.8198)</f>
        <v>7.192989404357145</v>
      </c>
      <c r="C6376" s="1">
        <v>10</v>
      </c>
    </row>
    <row r="6377" spans="1:3" x14ac:dyDescent="0.3">
      <c r="A6377" t="s">
        <v>6376</v>
      </c>
      <c r="B6377">
        <f>28.1852233914286*(1-0.8198)</f>
        <v>5.0789772551354302</v>
      </c>
      <c r="C6377" s="1">
        <v>9</v>
      </c>
    </row>
    <row r="6378" spans="1:3" x14ac:dyDescent="0.3">
      <c r="A6378" t="s">
        <v>6377</v>
      </c>
      <c r="B6378">
        <f>14.1424021942857*(1-0.8198)</f>
        <v>2.5484608754102864</v>
      </c>
      <c r="C6378" s="1">
        <v>7</v>
      </c>
    </row>
    <row r="6379" spans="1:3" x14ac:dyDescent="0.3">
      <c r="A6379" t="s">
        <v>6378</v>
      </c>
      <c r="B6379">
        <f>2.86555507571429*(1-0.8198)</f>
        <v>0.51637302464371437</v>
      </c>
      <c r="C6379" s="1">
        <v>7</v>
      </c>
    </row>
    <row r="6380" spans="1:3" x14ac:dyDescent="0.3">
      <c r="A6380" t="s">
        <v>6379</v>
      </c>
      <c r="B6380">
        <f>0*(1-0.8198)</f>
        <v>0</v>
      </c>
      <c r="C6380" s="1">
        <v>6</v>
      </c>
    </row>
    <row r="6381" spans="1:3" x14ac:dyDescent="0.3">
      <c r="A6381" t="s">
        <v>6380</v>
      </c>
      <c r="B6381">
        <f>0*(1-0.8198)</f>
        <v>0</v>
      </c>
      <c r="C6381" s="1">
        <v>5</v>
      </c>
    </row>
    <row r="6382" spans="1:3" x14ac:dyDescent="0.3">
      <c r="A6382" t="s">
        <v>6381</v>
      </c>
      <c r="B6382">
        <f>0*(1-0.8198)</f>
        <v>0</v>
      </c>
      <c r="C6382" s="1">
        <v>6</v>
      </c>
    </row>
    <row r="6383" spans="1:3" x14ac:dyDescent="0.3">
      <c r="A6383" t="s">
        <v>6382</v>
      </c>
      <c r="B6383">
        <f>0*(1-0.8198)</f>
        <v>0</v>
      </c>
      <c r="C6383" s="1">
        <v>5</v>
      </c>
    </row>
    <row r="6384" spans="1:3" x14ac:dyDescent="0.3">
      <c r="A6384" t="s">
        <v>6383</v>
      </c>
      <c r="B6384">
        <f>0*(1-0.8198)</f>
        <v>0</v>
      </c>
      <c r="C6384" s="1">
        <v>4</v>
      </c>
    </row>
    <row r="6385" spans="1:3" x14ac:dyDescent="0.3">
      <c r="A6385" t="s">
        <v>6384</v>
      </c>
      <c r="B6385">
        <f>0*(1-0.8198)</f>
        <v>0</v>
      </c>
      <c r="C6385" s="1">
        <v>3</v>
      </c>
    </row>
    <row r="6386" spans="1:3" x14ac:dyDescent="0.3">
      <c r="A6386" t="s">
        <v>6385</v>
      </c>
      <c r="B6386">
        <f>0*(1-0.8198)</f>
        <v>0</v>
      </c>
      <c r="C6386" s="1">
        <v>2</v>
      </c>
    </row>
    <row r="6387" spans="1:3" x14ac:dyDescent="0.3">
      <c r="A6387" t="s">
        <v>6386</v>
      </c>
      <c r="B6387">
        <f>0*(1-0.8198)</f>
        <v>0</v>
      </c>
      <c r="C6387" s="1">
        <v>3</v>
      </c>
    </row>
    <row r="6388" spans="1:3" x14ac:dyDescent="0.3">
      <c r="A6388" t="s">
        <v>6387</v>
      </c>
      <c r="B6388">
        <f>0*(1-0.8198)</f>
        <v>0</v>
      </c>
      <c r="C6388" s="1">
        <v>2</v>
      </c>
    </row>
    <row r="6389" spans="1:3" x14ac:dyDescent="0.3">
      <c r="A6389" t="s">
        <v>6388</v>
      </c>
      <c r="B6389">
        <f>0*(1-0.8198)</f>
        <v>0</v>
      </c>
      <c r="C6389" s="1">
        <v>3</v>
      </c>
    </row>
    <row r="6390" spans="1:3" x14ac:dyDescent="0.3">
      <c r="A6390" t="s">
        <v>6389</v>
      </c>
      <c r="B6390">
        <f>0*(1-0.8198)</f>
        <v>0</v>
      </c>
      <c r="C6390" s="1">
        <v>3</v>
      </c>
    </row>
    <row r="6391" spans="1:3" x14ac:dyDescent="0.3">
      <c r="A6391" t="s">
        <v>6390</v>
      </c>
      <c r="B6391">
        <f>0*(1-0.8198)</f>
        <v>0</v>
      </c>
      <c r="C6391" s="1">
        <v>2</v>
      </c>
    </row>
    <row r="6392" spans="1:3" x14ac:dyDescent="0.3">
      <c r="A6392" t="s">
        <v>6391</v>
      </c>
      <c r="B6392">
        <f>1.12832*(1-0.8198)</f>
        <v>0.20332326400000006</v>
      </c>
      <c r="C6392" s="1">
        <v>7</v>
      </c>
    </row>
    <row r="6393" spans="1:3" x14ac:dyDescent="0.3">
      <c r="A6393" t="s">
        <v>6392</v>
      </c>
      <c r="B6393">
        <f>15.1620411685714*(1-0.8198)</f>
        <v>2.7321998185765728</v>
      </c>
      <c r="C6393" s="1">
        <v>14</v>
      </c>
    </row>
    <row r="6394" spans="1:3" x14ac:dyDescent="0.3">
      <c r="A6394" t="s">
        <v>6393</v>
      </c>
      <c r="B6394">
        <f>28.7740096142857*(1-0.8198)</f>
        <v>5.1850765324942873</v>
      </c>
      <c r="C6394" s="1">
        <v>13</v>
      </c>
    </row>
    <row r="6395" spans="1:3" x14ac:dyDescent="0.3">
      <c r="A6395" t="s">
        <v>6394</v>
      </c>
      <c r="B6395">
        <f>38.6178926057143*(1-0.8198)</f>
        <v>6.9589442475497156</v>
      </c>
      <c r="C6395" s="1">
        <v>13</v>
      </c>
    </row>
    <row r="6396" spans="1:3" x14ac:dyDescent="0.3">
      <c r="A6396" t="s">
        <v>6395</v>
      </c>
      <c r="B6396">
        <f>46.0696901428571*(1-0.8198)</f>
        <v>8.3017581637428588</v>
      </c>
      <c r="C6396" s="1">
        <v>18</v>
      </c>
    </row>
    <row r="6397" spans="1:3" x14ac:dyDescent="0.3">
      <c r="A6397" t="s">
        <v>6396</v>
      </c>
      <c r="B6397">
        <f>43.8171716314286*(1-0.8198)</f>
        <v>7.8958543279834315</v>
      </c>
      <c r="C6397" s="1">
        <v>17</v>
      </c>
    </row>
    <row r="6398" spans="1:3" x14ac:dyDescent="0.3">
      <c r="A6398" t="s">
        <v>6397</v>
      </c>
      <c r="B6398">
        <f>42.1597247757143*(1-0.8198)</f>
        <v>7.597182404583716</v>
      </c>
      <c r="C6398" s="1">
        <v>16</v>
      </c>
    </row>
    <row r="6399" spans="1:3" x14ac:dyDescent="0.3">
      <c r="A6399" t="s">
        <v>6398</v>
      </c>
      <c r="B6399">
        <f>45.0871504014286*(1-0.8198)</f>
        <v>8.1247045023374316</v>
      </c>
      <c r="C6399" s="1">
        <v>11</v>
      </c>
    </row>
    <row r="6400" spans="1:3" x14ac:dyDescent="0.3">
      <c r="A6400" t="s">
        <v>6399</v>
      </c>
      <c r="B6400">
        <f>38.90632131*(1-0.8198)</f>
        <v>7.0109191000620017</v>
      </c>
      <c r="C6400" s="1">
        <v>9</v>
      </c>
    </row>
    <row r="6401" spans="1:3" x14ac:dyDescent="0.3">
      <c r="A6401" t="s">
        <v>6400</v>
      </c>
      <c r="B6401">
        <f>27.5849006371429*(1-0.8198)</f>
        <v>4.9707990948131435</v>
      </c>
      <c r="C6401" s="1">
        <v>10</v>
      </c>
    </row>
    <row r="6402" spans="1:3" x14ac:dyDescent="0.3">
      <c r="A6402" t="s">
        <v>6401</v>
      </c>
      <c r="B6402">
        <f>13.59019558*(1-0.8198)</f>
        <v>2.4489532435160006</v>
      </c>
      <c r="C6402" s="1">
        <v>8</v>
      </c>
    </row>
    <row r="6403" spans="1:3" x14ac:dyDescent="0.3">
      <c r="A6403" t="s">
        <v>6402</v>
      </c>
      <c r="B6403">
        <f>2.62940503428571*(1-0.8198)</f>
        <v>0.47381878717828591</v>
      </c>
      <c r="C6403" s="1">
        <v>7</v>
      </c>
    </row>
    <row r="6404" spans="1:3" x14ac:dyDescent="0.3">
      <c r="A6404" t="s">
        <v>6403</v>
      </c>
      <c r="B6404">
        <f>0*(1-0.8198)</f>
        <v>0</v>
      </c>
      <c r="C6404" s="1">
        <v>6</v>
      </c>
    </row>
    <row r="6405" spans="1:3" x14ac:dyDescent="0.3">
      <c r="A6405" t="s">
        <v>6404</v>
      </c>
      <c r="B6405">
        <f>0*(1-0.8198)</f>
        <v>0</v>
      </c>
      <c r="C6405" s="1">
        <v>7</v>
      </c>
    </row>
    <row r="6406" spans="1:3" x14ac:dyDescent="0.3">
      <c r="A6406" t="s">
        <v>6405</v>
      </c>
      <c r="B6406">
        <f>0*(1-0.8198)</f>
        <v>0</v>
      </c>
      <c r="C6406" s="1">
        <v>5</v>
      </c>
    </row>
    <row r="6407" spans="1:3" x14ac:dyDescent="0.3">
      <c r="A6407" t="s">
        <v>6406</v>
      </c>
      <c r="B6407">
        <f>0*(1-0.8198)</f>
        <v>0</v>
      </c>
      <c r="C6407" s="1">
        <v>4</v>
      </c>
    </row>
    <row r="6408" spans="1:3" x14ac:dyDescent="0.3">
      <c r="A6408" t="s">
        <v>6407</v>
      </c>
      <c r="B6408">
        <f>0*(1-0.8198)</f>
        <v>0</v>
      </c>
      <c r="C6408" s="1">
        <v>5</v>
      </c>
    </row>
    <row r="6409" spans="1:3" x14ac:dyDescent="0.3">
      <c r="A6409" t="s">
        <v>6408</v>
      </c>
      <c r="B6409">
        <f>0*(1-0.8198)</f>
        <v>0</v>
      </c>
      <c r="C6409" s="1">
        <v>3</v>
      </c>
    </row>
    <row r="6410" spans="1:3" x14ac:dyDescent="0.3">
      <c r="A6410" t="s">
        <v>6409</v>
      </c>
      <c r="B6410">
        <f>0*(1-0.8198)</f>
        <v>0</v>
      </c>
      <c r="C6410" s="1">
        <v>2</v>
      </c>
    </row>
    <row r="6411" spans="1:3" x14ac:dyDescent="0.3">
      <c r="A6411" t="s">
        <v>6410</v>
      </c>
      <c r="B6411">
        <f>0*(1-0.8198)</f>
        <v>0</v>
      </c>
      <c r="C6411" s="1">
        <v>3</v>
      </c>
    </row>
    <row r="6412" spans="1:3" x14ac:dyDescent="0.3">
      <c r="A6412" t="s">
        <v>6411</v>
      </c>
      <c r="B6412">
        <f>0*(1-0.8198)</f>
        <v>0</v>
      </c>
      <c r="C6412" s="1">
        <v>2</v>
      </c>
    </row>
    <row r="6413" spans="1:3" x14ac:dyDescent="0.3">
      <c r="A6413" t="s">
        <v>6412</v>
      </c>
      <c r="B6413">
        <f>0*(1-0.8198)</f>
        <v>0</v>
      </c>
      <c r="C6413" s="1">
        <v>3</v>
      </c>
    </row>
    <row r="6414" spans="1:3" x14ac:dyDescent="0.3">
      <c r="A6414" t="s">
        <v>6413</v>
      </c>
      <c r="B6414">
        <f>0*(1-0.8198)</f>
        <v>0</v>
      </c>
      <c r="C6414" s="1">
        <v>3</v>
      </c>
    </row>
    <row r="6415" spans="1:3" x14ac:dyDescent="0.3">
      <c r="A6415" t="s">
        <v>6414</v>
      </c>
      <c r="B6415">
        <f>0*(1-0.8198)</f>
        <v>0</v>
      </c>
      <c r="C6415" s="1">
        <v>2</v>
      </c>
    </row>
    <row r="6416" spans="1:3" x14ac:dyDescent="0.3">
      <c r="A6416" t="s">
        <v>6415</v>
      </c>
      <c r="B6416">
        <f>1.08102*(1-0.8198)</f>
        <v>0.19479980400000005</v>
      </c>
      <c r="C6416" s="1">
        <v>8</v>
      </c>
    </row>
    <row r="6417" spans="1:3" x14ac:dyDescent="0.3">
      <c r="A6417" t="s">
        <v>6416</v>
      </c>
      <c r="B6417">
        <f>14.3400333885714*(1-0.8198)</f>
        <v>2.5840740166205722</v>
      </c>
      <c r="C6417" s="1">
        <v>13</v>
      </c>
    </row>
    <row r="6418" spans="1:3" x14ac:dyDescent="0.3">
      <c r="A6418" t="s">
        <v>6417</v>
      </c>
      <c r="B6418">
        <f>23.90124384*(1-0.8198)</f>
        <v>4.3070041399680017</v>
      </c>
      <c r="C6418" s="1">
        <v>17</v>
      </c>
    </row>
    <row r="6419" spans="1:3" x14ac:dyDescent="0.3">
      <c r="A6419" t="s">
        <v>6418</v>
      </c>
      <c r="B6419">
        <f>39.3166587*(1-0.8198)</f>
        <v>7.0848618977400015</v>
      </c>
      <c r="C6419" s="1">
        <v>19</v>
      </c>
    </row>
    <row r="6420" spans="1:3" x14ac:dyDescent="0.3">
      <c r="A6420" t="s">
        <v>6419</v>
      </c>
      <c r="B6420">
        <f>46.33505463*(1-0.8198)</f>
        <v>8.3495768443260037</v>
      </c>
      <c r="C6420" s="1">
        <v>14</v>
      </c>
    </row>
    <row r="6421" spans="1:3" x14ac:dyDescent="0.3">
      <c r="A6421" t="s">
        <v>6420</v>
      </c>
      <c r="B6421">
        <f>50.4071071457143*(1-0.8198)</f>
        <v>9.0833607076577163</v>
      </c>
      <c r="C6421" s="1">
        <v>14</v>
      </c>
    </row>
    <row r="6422" spans="1:3" x14ac:dyDescent="0.3">
      <c r="A6422" t="s">
        <v>6421</v>
      </c>
      <c r="B6422">
        <f>49.0392319342857*(1-0.8198)</f>
        <v>8.8368695945582889</v>
      </c>
      <c r="C6422" s="1">
        <v>13</v>
      </c>
    </row>
    <row r="6423" spans="1:3" x14ac:dyDescent="0.3">
      <c r="A6423" t="s">
        <v>6422</v>
      </c>
      <c r="B6423">
        <f>46.2041487471429*(1-0.8198)</f>
        <v>8.3259876042351451</v>
      </c>
      <c r="C6423" s="1">
        <v>12</v>
      </c>
    </row>
    <row r="6424" spans="1:3" x14ac:dyDescent="0.3">
      <c r="A6424" t="s">
        <v>6423</v>
      </c>
      <c r="B6424">
        <f>38.1594458328571*(1-0.8198)</f>
        <v>6.8763321390808585</v>
      </c>
      <c r="C6424" s="1">
        <v>11</v>
      </c>
    </row>
    <row r="6425" spans="1:3" x14ac:dyDescent="0.3">
      <c r="A6425" t="s">
        <v>6424</v>
      </c>
      <c r="B6425">
        <f>26.87065614*(1-0.8198)</f>
        <v>4.8420922364280017</v>
      </c>
      <c r="C6425" s="1">
        <v>9</v>
      </c>
    </row>
    <row r="6426" spans="1:3" x14ac:dyDescent="0.3">
      <c r="A6426" t="s">
        <v>6425</v>
      </c>
      <c r="B6426">
        <f>12.9893126585714*(1-0.8198)</f>
        <v>2.3406741410745719</v>
      </c>
      <c r="C6426" s="1">
        <v>7</v>
      </c>
    </row>
    <row r="6427" spans="1:3" x14ac:dyDescent="0.3">
      <c r="A6427" t="s">
        <v>6426</v>
      </c>
      <c r="B6427">
        <f>2.24288681857143*(1-0.8198)</f>
        <v>0.40416820470657155</v>
      </c>
      <c r="C6427" s="1">
        <v>7</v>
      </c>
    </row>
    <row r="6428" spans="1:3" x14ac:dyDescent="0.3">
      <c r="A6428" t="s">
        <v>6427</v>
      </c>
      <c r="B6428">
        <f>0*(1-0.8198)</f>
        <v>0</v>
      </c>
      <c r="C6428" s="1">
        <v>8</v>
      </c>
    </row>
    <row r="6429" spans="1:3" x14ac:dyDescent="0.3">
      <c r="A6429" t="s">
        <v>6428</v>
      </c>
      <c r="B6429">
        <f>0*(1-0.8198)</f>
        <v>0</v>
      </c>
      <c r="C6429" s="1">
        <v>6</v>
      </c>
    </row>
    <row r="6430" spans="1:3" x14ac:dyDescent="0.3">
      <c r="A6430" t="s">
        <v>6429</v>
      </c>
      <c r="B6430">
        <f>0*(1-0.8198)</f>
        <v>0</v>
      </c>
      <c r="C6430" s="1">
        <v>6</v>
      </c>
    </row>
    <row r="6431" spans="1:3" x14ac:dyDescent="0.3">
      <c r="A6431" t="s">
        <v>6430</v>
      </c>
      <c r="B6431">
        <f>0*(1-0.8198)</f>
        <v>0</v>
      </c>
      <c r="C6431" s="1">
        <v>5</v>
      </c>
    </row>
    <row r="6432" spans="1:3" x14ac:dyDescent="0.3">
      <c r="A6432" t="s">
        <v>6431</v>
      </c>
      <c r="B6432">
        <f>0*(1-0.8198)</f>
        <v>0</v>
      </c>
      <c r="C6432" s="1">
        <v>5</v>
      </c>
    </row>
    <row r="6433" spans="1:3" x14ac:dyDescent="0.3">
      <c r="A6433" t="s">
        <v>6432</v>
      </c>
      <c r="B6433">
        <f>0*(1-0.8198)</f>
        <v>0</v>
      </c>
      <c r="C6433" s="1">
        <v>2</v>
      </c>
    </row>
    <row r="6434" spans="1:3" x14ac:dyDescent="0.3">
      <c r="A6434" t="s">
        <v>6433</v>
      </c>
      <c r="B6434">
        <f>0*(1-0.8198)</f>
        <v>0</v>
      </c>
      <c r="C6434" s="1">
        <v>3</v>
      </c>
    </row>
    <row r="6435" spans="1:3" x14ac:dyDescent="0.3">
      <c r="A6435" t="s">
        <v>6434</v>
      </c>
      <c r="B6435">
        <f>0*(1-0.8198)</f>
        <v>0</v>
      </c>
      <c r="C6435" s="1">
        <v>3</v>
      </c>
    </row>
    <row r="6436" spans="1:3" x14ac:dyDescent="0.3">
      <c r="A6436" t="s">
        <v>6435</v>
      </c>
      <c r="B6436">
        <f>0*(1-0.8198)</f>
        <v>0</v>
      </c>
      <c r="C6436" s="1">
        <v>2</v>
      </c>
    </row>
    <row r="6437" spans="1:3" x14ac:dyDescent="0.3">
      <c r="A6437" t="s">
        <v>6436</v>
      </c>
      <c r="B6437">
        <f>0*(1-0.8198)</f>
        <v>0</v>
      </c>
      <c r="C6437" s="1">
        <v>3</v>
      </c>
    </row>
    <row r="6438" spans="1:3" x14ac:dyDescent="0.3">
      <c r="A6438" t="s">
        <v>6437</v>
      </c>
      <c r="B6438">
        <f>0*(1-0.8198)</f>
        <v>0</v>
      </c>
      <c r="C6438" s="1">
        <v>2</v>
      </c>
    </row>
    <row r="6439" spans="1:3" x14ac:dyDescent="0.3">
      <c r="A6439" t="s">
        <v>6438</v>
      </c>
      <c r="B6439">
        <f>0*(1-0.8198)</f>
        <v>0</v>
      </c>
      <c r="C6439" s="1">
        <v>3</v>
      </c>
    </row>
    <row r="6440" spans="1:3" x14ac:dyDescent="0.3">
      <c r="A6440" t="s">
        <v>6439</v>
      </c>
      <c r="B6440">
        <f>1.0191*(1-0.8198)</f>
        <v>0.18364182000000001</v>
      </c>
      <c r="C6440" s="1">
        <v>8</v>
      </c>
    </row>
    <row r="6441" spans="1:3" x14ac:dyDescent="0.3">
      <c r="A6441" t="s">
        <v>6440</v>
      </c>
      <c r="B6441">
        <f>14.4201418357143*(1-0.8198)</f>
        <v>2.5985095587957145</v>
      </c>
      <c r="C6441" s="1">
        <v>13</v>
      </c>
    </row>
    <row r="6442" spans="1:3" x14ac:dyDescent="0.3">
      <c r="A6442" t="s">
        <v>6441</v>
      </c>
      <c r="B6442">
        <f>27.81034546*(1-0.8198)</f>
        <v>5.0114242518920014</v>
      </c>
      <c r="C6442" s="1">
        <v>18</v>
      </c>
    </row>
    <row r="6443" spans="1:3" x14ac:dyDescent="0.3">
      <c r="A6443" t="s">
        <v>6442</v>
      </c>
      <c r="B6443">
        <f>39.5383243757143*(1-0.8198)</f>
        <v>7.1248060525037147</v>
      </c>
      <c r="C6443" s="1">
        <v>13</v>
      </c>
    </row>
    <row r="6444" spans="1:3" x14ac:dyDescent="0.3">
      <c r="A6444" t="s">
        <v>6443</v>
      </c>
      <c r="B6444">
        <f>46.9178600442857*(1-0.8198)</f>
        <v>8.454598379980288</v>
      </c>
      <c r="C6444" s="1">
        <v>13</v>
      </c>
    </row>
    <row r="6445" spans="1:3" x14ac:dyDescent="0.3">
      <c r="A6445" t="s">
        <v>6444</v>
      </c>
      <c r="B6445">
        <f>50.1526807528572*(1-0.8198)</f>
        <v>9.0375130716648595</v>
      </c>
      <c r="C6445" s="1">
        <v>13</v>
      </c>
    </row>
    <row r="6446" spans="1:3" x14ac:dyDescent="0.3">
      <c r="A6446" t="s">
        <v>6445</v>
      </c>
      <c r="B6446">
        <f>48.8870118728572*(1-0.8198)</f>
        <v>8.80943953948886</v>
      </c>
      <c r="C6446" s="1">
        <v>13</v>
      </c>
    </row>
    <row r="6447" spans="1:3" x14ac:dyDescent="0.3">
      <c r="A6447" t="s">
        <v>6446</v>
      </c>
      <c r="B6447">
        <f>45.9645942114286*(1-0.8198)</f>
        <v>8.2828198768994312</v>
      </c>
      <c r="C6447" s="1">
        <v>13</v>
      </c>
    </row>
    <row r="6448" spans="1:3" x14ac:dyDescent="0.3">
      <c r="A6448" t="s">
        <v>6447</v>
      </c>
      <c r="B6448">
        <f>37.9039009485714*(1-0.8198)</f>
        <v>6.8302829509325731</v>
      </c>
      <c r="C6448" s="1">
        <v>10</v>
      </c>
    </row>
    <row r="6449" spans="1:3" x14ac:dyDescent="0.3">
      <c r="A6449" t="s">
        <v>6448</v>
      </c>
      <c r="B6449">
        <f>26.5148279457143*(1-0.8198)</f>
        <v>4.7779719958177145</v>
      </c>
      <c r="C6449" s="1">
        <v>9</v>
      </c>
    </row>
    <row r="6450" spans="1:3" x14ac:dyDescent="0.3">
      <c r="A6450" t="s">
        <v>6449</v>
      </c>
      <c r="B6450">
        <f>12.6562341057143*(1-0.8198)</f>
        <v>2.2806533858497153</v>
      </c>
      <c r="C6450" s="1">
        <v>8</v>
      </c>
    </row>
    <row r="6451" spans="1:3" x14ac:dyDescent="0.3">
      <c r="A6451" t="s">
        <v>6450</v>
      </c>
      <c r="B6451">
        <f>2.04202884285714*(1-0.8198)</f>
        <v>0.36797359748285718</v>
      </c>
      <c r="C6451" s="1">
        <v>7</v>
      </c>
    </row>
    <row r="6452" spans="1:3" x14ac:dyDescent="0.3">
      <c r="A6452" t="s">
        <v>6451</v>
      </c>
      <c r="B6452">
        <f>0*(1-0.8198)</f>
        <v>0</v>
      </c>
      <c r="C6452" s="1">
        <v>6</v>
      </c>
    </row>
    <row r="6453" spans="1:3" x14ac:dyDescent="0.3">
      <c r="A6453" t="s">
        <v>6452</v>
      </c>
      <c r="B6453">
        <f>0*(1-0.8198)</f>
        <v>0</v>
      </c>
      <c r="C6453" s="1">
        <v>6</v>
      </c>
    </row>
    <row r="6454" spans="1:3" x14ac:dyDescent="0.3">
      <c r="A6454" t="s">
        <v>6453</v>
      </c>
      <c r="B6454">
        <f>0*(1-0.8198)</f>
        <v>0</v>
      </c>
      <c r="C6454" s="1">
        <v>6</v>
      </c>
    </row>
    <row r="6455" spans="1:3" x14ac:dyDescent="0.3">
      <c r="A6455" t="s">
        <v>6454</v>
      </c>
      <c r="B6455">
        <f>0*(1-0.8198)</f>
        <v>0</v>
      </c>
      <c r="C6455" s="1">
        <v>5</v>
      </c>
    </row>
    <row r="6456" spans="1:3" x14ac:dyDescent="0.3">
      <c r="A6456" t="s">
        <v>6455</v>
      </c>
      <c r="B6456">
        <f>0*(1-0.8198)</f>
        <v>0</v>
      </c>
      <c r="C6456" s="1">
        <v>5</v>
      </c>
    </row>
    <row r="6457" spans="1:3" x14ac:dyDescent="0.3">
      <c r="A6457" t="s">
        <v>6456</v>
      </c>
      <c r="B6457">
        <f>0*(1-0.8198)</f>
        <v>0</v>
      </c>
      <c r="C6457" s="1">
        <v>2</v>
      </c>
    </row>
    <row r="6458" spans="1:3" x14ac:dyDescent="0.3">
      <c r="A6458" t="s">
        <v>6457</v>
      </c>
      <c r="B6458">
        <f>0*(1-0.8198)</f>
        <v>0</v>
      </c>
      <c r="C6458" s="1">
        <v>3</v>
      </c>
    </row>
    <row r="6459" spans="1:3" x14ac:dyDescent="0.3">
      <c r="A6459" t="s">
        <v>6458</v>
      </c>
      <c r="B6459">
        <f>0*(1-0.8198)</f>
        <v>0</v>
      </c>
      <c r="C6459" s="1">
        <v>3</v>
      </c>
    </row>
    <row r="6460" spans="1:3" x14ac:dyDescent="0.3">
      <c r="A6460" t="s">
        <v>6459</v>
      </c>
      <c r="B6460">
        <f>0*(1-0.8198)</f>
        <v>0</v>
      </c>
      <c r="C6460" s="1">
        <v>2</v>
      </c>
    </row>
    <row r="6461" spans="1:3" x14ac:dyDescent="0.3">
      <c r="A6461" t="s">
        <v>6460</v>
      </c>
      <c r="B6461">
        <f>0*(1-0.8198)</f>
        <v>0</v>
      </c>
      <c r="C6461" s="1">
        <v>3</v>
      </c>
    </row>
    <row r="6462" spans="1:3" x14ac:dyDescent="0.3">
      <c r="A6462" t="s">
        <v>6461</v>
      </c>
      <c r="B6462">
        <f>0*(1-0.8198)</f>
        <v>0</v>
      </c>
      <c r="C6462" s="1">
        <v>2</v>
      </c>
    </row>
    <row r="6463" spans="1:3" x14ac:dyDescent="0.3">
      <c r="A6463" t="s">
        <v>6462</v>
      </c>
      <c r="B6463">
        <f>0*(1-0.8198)</f>
        <v>0</v>
      </c>
      <c r="C6463" s="1">
        <v>3</v>
      </c>
    </row>
    <row r="6464" spans="1:3" x14ac:dyDescent="0.3">
      <c r="A6464" t="s">
        <v>6463</v>
      </c>
      <c r="B6464">
        <f>0.9073*(1-0.8198)</f>
        <v>0.16349546000000004</v>
      </c>
      <c r="C6464" s="1">
        <v>10</v>
      </c>
    </row>
    <row r="6465" spans="1:3" x14ac:dyDescent="0.3">
      <c r="A6465" t="s">
        <v>6464</v>
      </c>
      <c r="B6465">
        <f>14.10732863*(1-0.8198)</f>
        <v>2.5421406191260005</v>
      </c>
      <c r="C6465" s="1">
        <v>13</v>
      </c>
    </row>
    <row r="6466" spans="1:3" x14ac:dyDescent="0.3">
      <c r="A6466" t="s">
        <v>6465</v>
      </c>
      <c r="B6466">
        <f>27.2498905242857*(1-0.8198)</f>
        <v>4.9104302724762867</v>
      </c>
      <c r="C6466" s="1">
        <v>15</v>
      </c>
    </row>
    <row r="6467" spans="1:3" x14ac:dyDescent="0.3">
      <c r="A6467" t="s">
        <v>6466</v>
      </c>
      <c r="B6467">
        <f>38.4300283085714*(1-0.8198)</f>
        <v>6.9250911012045737</v>
      </c>
      <c r="C6467" s="1">
        <v>18</v>
      </c>
    </row>
    <row r="6468" spans="1:3" x14ac:dyDescent="0.3">
      <c r="A6468" t="s">
        <v>6467</v>
      </c>
      <c r="B6468">
        <f>46.1265197414286*(1-0.8198)</f>
        <v>8.3119988574054311</v>
      </c>
      <c r="C6468" s="1">
        <v>20</v>
      </c>
    </row>
    <row r="6469" spans="1:3" x14ac:dyDescent="0.3">
      <c r="A6469" t="s">
        <v>6468</v>
      </c>
      <c r="B6469">
        <f>49.5927911442857*(1-0.8198)</f>
        <v>8.9366209642002872</v>
      </c>
      <c r="C6469" s="1">
        <v>13</v>
      </c>
    </row>
    <row r="6470" spans="1:3" x14ac:dyDescent="0.3">
      <c r="A6470" t="s">
        <v>6469</v>
      </c>
      <c r="B6470">
        <f>48.6817139628571*(1-0.8198)</f>
        <v>8.7724448561068584</v>
      </c>
      <c r="C6470" s="1">
        <v>13</v>
      </c>
    </row>
    <row r="6471" spans="1:3" x14ac:dyDescent="0.3">
      <c r="A6471" t="s">
        <v>6470</v>
      </c>
      <c r="B6471">
        <f>45.0732760828571*(1-0.8198)</f>
        <v>8.1222043501308594</v>
      </c>
      <c r="C6471" s="1">
        <v>14</v>
      </c>
    </row>
    <row r="6472" spans="1:3" x14ac:dyDescent="0.3">
      <c r="A6472" t="s">
        <v>6471</v>
      </c>
      <c r="B6472">
        <f>37.2946695157143*(1-0.8198)</f>
        <v>6.7204994467317158</v>
      </c>
      <c r="C6472" s="1">
        <v>10</v>
      </c>
    </row>
    <row r="6473" spans="1:3" x14ac:dyDescent="0.3">
      <c r="A6473" t="s">
        <v>6472</v>
      </c>
      <c r="B6473">
        <f>26.0889252928571*(1-0.8198)</f>
        <v>4.7012243377728575</v>
      </c>
      <c r="C6473" s="1">
        <v>8</v>
      </c>
    </row>
    <row r="6474" spans="1:3" x14ac:dyDescent="0.3">
      <c r="A6474" t="s">
        <v>6473</v>
      </c>
      <c r="B6474">
        <f>12.13661412*(1-0.8198)</f>
        <v>2.1870178644240008</v>
      </c>
      <c r="C6474" s="1">
        <v>6</v>
      </c>
    </row>
    <row r="6475" spans="1:3" x14ac:dyDescent="0.3">
      <c r="A6475" t="s">
        <v>6474</v>
      </c>
      <c r="B6475">
        <f>1.84033107714286*(1-0.8198)</f>
        <v>0.33162766010114297</v>
      </c>
      <c r="C6475" s="1">
        <v>7</v>
      </c>
    </row>
    <row r="6476" spans="1:3" x14ac:dyDescent="0.3">
      <c r="A6476" t="s">
        <v>6475</v>
      </c>
      <c r="B6476">
        <f>0*(1-0.8198)</f>
        <v>0</v>
      </c>
      <c r="C6476" s="1">
        <v>6</v>
      </c>
    </row>
    <row r="6477" spans="1:3" x14ac:dyDescent="0.3">
      <c r="A6477" t="s">
        <v>6476</v>
      </c>
      <c r="B6477">
        <f>0*(1-0.8198)</f>
        <v>0</v>
      </c>
      <c r="C6477" s="1">
        <v>7</v>
      </c>
    </row>
    <row r="6478" spans="1:3" x14ac:dyDescent="0.3">
      <c r="A6478" t="s">
        <v>6477</v>
      </c>
      <c r="B6478">
        <f>0*(1-0.8198)</f>
        <v>0</v>
      </c>
      <c r="C6478" s="1">
        <v>5</v>
      </c>
    </row>
    <row r="6479" spans="1:3" x14ac:dyDescent="0.3">
      <c r="A6479" t="s">
        <v>6478</v>
      </c>
      <c r="B6479">
        <f>0*(1-0.8198)</f>
        <v>0</v>
      </c>
      <c r="C6479" s="1">
        <v>5</v>
      </c>
    </row>
    <row r="6480" spans="1:3" x14ac:dyDescent="0.3">
      <c r="A6480" t="s">
        <v>6479</v>
      </c>
      <c r="B6480">
        <f>0*(1-0.8198)</f>
        <v>0</v>
      </c>
      <c r="C6480" s="1">
        <v>5</v>
      </c>
    </row>
    <row r="6481" spans="1:3" x14ac:dyDescent="0.3">
      <c r="A6481" t="s">
        <v>6480</v>
      </c>
      <c r="B6481">
        <f>0*(1-0.8198)</f>
        <v>0</v>
      </c>
      <c r="C6481" s="1">
        <v>3</v>
      </c>
    </row>
    <row r="6482" spans="1:3" x14ac:dyDescent="0.3">
      <c r="A6482" t="s">
        <v>6481</v>
      </c>
      <c r="B6482">
        <f>0*(1-0.8198)</f>
        <v>0</v>
      </c>
      <c r="C6482" s="1">
        <v>3</v>
      </c>
    </row>
    <row r="6483" spans="1:3" x14ac:dyDescent="0.3">
      <c r="A6483" t="s">
        <v>6482</v>
      </c>
      <c r="B6483">
        <f>0*(1-0.8198)</f>
        <v>0</v>
      </c>
      <c r="C6483" s="1">
        <v>3</v>
      </c>
    </row>
    <row r="6484" spans="1:3" x14ac:dyDescent="0.3">
      <c r="A6484" t="s">
        <v>6483</v>
      </c>
      <c r="B6484">
        <f>0*(1-0.8198)</f>
        <v>0</v>
      </c>
      <c r="C6484" s="1">
        <v>3</v>
      </c>
    </row>
    <row r="6485" spans="1:3" x14ac:dyDescent="0.3">
      <c r="A6485" t="s">
        <v>6484</v>
      </c>
      <c r="B6485">
        <f>0*(1-0.8198)</f>
        <v>0</v>
      </c>
      <c r="C6485" s="1">
        <v>3</v>
      </c>
    </row>
    <row r="6486" spans="1:3" x14ac:dyDescent="0.3">
      <c r="A6486" t="s">
        <v>6485</v>
      </c>
      <c r="B6486">
        <f>0*(1-0.8198)</f>
        <v>0</v>
      </c>
      <c r="C6486" s="1">
        <v>2</v>
      </c>
    </row>
    <row r="6487" spans="1:3" x14ac:dyDescent="0.3">
      <c r="A6487" t="s">
        <v>6486</v>
      </c>
      <c r="B6487">
        <f>0*(1-0.8198)</f>
        <v>0</v>
      </c>
      <c r="C6487" s="1">
        <v>3</v>
      </c>
    </row>
    <row r="6488" spans="1:3" x14ac:dyDescent="0.3">
      <c r="A6488" t="s">
        <v>6487</v>
      </c>
      <c r="B6488">
        <f>0.27864*(1-0.8198)</f>
        <v>5.0210928000000009E-2</v>
      </c>
      <c r="C6488" s="1">
        <v>3</v>
      </c>
    </row>
    <row r="6489" spans="1:3" x14ac:dyDescent="0.3">
      <c r="A6489" t="s">
        <v>6488</v>
      </c>
      <c r="B6489">
        <f>11.8462973471429*(1-0.8198)</f>
        <v>2.1347027819551432</v>
      </c>
      <c r="C6489" s="1">
        <v>2</v>
      </c>
    </row>
    <row r="6490" spans="1:3" x14ac:dyDescent="0.3">
      <c r="A6490" t="s">
        <v>6489</v>
      </c>
      <c r="B6490">
        <f>27.1280078228571*(1-0.8198)</f>
        <v>4.8884670096788581</v>
      </c>
      <c r="C6490" s="1">
        <v>3</v>
      </c>
    </row>
    <row r="6491" spans="1:3" x14ac:dyDescent="0.3">
      <c r="A6491" t="s">
        <v>6490</v>
      </c>
      <c r="B6491">
        <f>36.5548390357143*(1-0.8198)</f>
        <v>6.5871819942357153</v>
      </c>
      <c r="C6491" s="1">
        <v>3</v>
      </c>
    </row>
    <row r="6492" spans="1:3" x14ac:dyDescent="0.3">
      <c r="A6492" t="s">
        <v>6491</v>
      </c>
      <c r="B6492">
        <f>45.4752488671429*(1-0.8198)</f>
        <v>8.194639845859145</v>
      </c>
      <c r="C6492" s="1">
        <v>2</v>
      </c>
    </row>
    <row r="6493" spans="1:3" x14ac:dyDescent="0.3">
      <c r="A6493" t="s">
        <v>6492</v>
      </c>
      <c r="B6493">
        <f>48.42818283*(1-0.8198)</f>
        <v>8.7267585459660033</v>
      </c>
      <c r="C6493" s="1">
        <v>2</v>
      </c>
    </row>
    <row r="6494" spans="1:3" x14ac:dyDescent="0.3">
      <c r="A6494" t="s">
        <v>6493</v>
      </c>
      <c r="B6494">
        <f>48.0270877985714*(1-0.8198)</f>
        <v>8.6544812213025732</v>
      </c>
      <c r="C6494" s="1">
        <v>3</v>
      </c>
    </row>
    <row r="6495" spans="1:3" x14ac:dyDescent="0.3">
      <c r="A6495" t="s">
        <v>6494</v>
      </c>
      <c r="B6495">
        <f>44.4688551828572*(1-0.8198)</f>
        <v>8.0132877039508603</v>
      </c>
      <c r="C6495" s="1">
        <v>2</v>
      </c>
    </row>
    <row r="6496" spans="1:3" x14ac:dyDescent="0.3">
      <c r="A6496" t="s">
        <v>6495</v>
      </c>
      <c r="B6496">
        <f>36.68073118*(1-0.8198)</f>
        <v>6.6098677586360015</v>
      </c>
      <c r="C6496" s="1">
        <v>3</v>
      </c>
    </row>
    <row r="6497" spans="1:3" x14ac:dyDescent="0.3">
      <c r="A6497" t="s">
        <v>6496</v>
      </c>
      <c r="B6497">
        <f>24.9798561471429*(1-0.8198)</f>
        <v>4.5013700777151442</v>
      </c>
      <c r="C6497" s="1">
        <v>2</v>
      </c>
    </row>
    <row r="6498" spans="1:3" x14ac:dyDescent="0.3">
      <c r="A6498" t="s">
        <v>6497</v>
      </c>
      <c r="B6498">
        <f>11.2250206928571*(1-0.8198)</f>
        <v>2.0227487288528576</v>
      </c>
      <c r="C6498" s="1">
        <v>3</v>
      </c>
    </row>
    <row r="6499" spans="1:3" x14ac:dyDescent="0.3">
      <c r="A6499" t="s">
        <v>6498</v>
      </c>
      <c r="B6499">
        <f>1.44029802285714*(1-0.8198)</f>
        <v>0.25954170371885715</v>
      </c>
      <c r="C6499" s="1">
        <v>2</v>
      </c>
    </row>
    <row r="6500" spans="1:3" x14ac:dyDescent="0.3">
      <c r="A6500" t="s">
        <v>6499</v>
      </c>
      <c r="B6500">
        <f>0*(1-0.8198)</f>
        <v>0</v>
      </c>
      <c r="C6500" s="1">
        <v>3</v>
      </c>
    </row>
    <row r="6501" spans="1:3" x14ac:dyDescent="0.3">
      <c r="A6501" t="s">
        <v>6500</v>
      </c>
      <c r="B6501">
        <f>0*(1-0.8198)</f>
        <v>0</v>
      </c>
      <c r="C6501" s="1">
        <v>3</v>
      </c>
    </row>
    <row r="6502" spans="1:3" x14ac:dyDescent="0.3">
      <c r="A6502" t="s">
        <v>6501</v>
      </c>
      <c r="B6502">
        <f>0*(1-0.8198)</f>
        <v>0</v>
      </c>
      <c r="C6502" s="1">
        <v>3</v>
      </c>
    </row>
    <row r="6503" spans="1:3" x14ac:dyDescent="0.3">
      <c r="A6503" t="s">
        <v>6502</v>
      </c>
      <c r="B6503">
        <f>0*(1-0.8198)</f>
        <v>0</v>
      </c>
      <c r="C6503" s="1">
        <v>4</v>
      </c>
    </row>
    <row r="6504" spans="1:3" x14ac:dyDescent="0.3">
      <c r="A6504" t="s">
        <v>6503</v>
      </c>
      <c r="B6504">
        <f>0*(1-0.8198)</f>
        <v>0</v>
      </c>
      <c r="C6504" s="1">
        <v>4</v>
      </c>
    </row>
    <row r="6505" spans="1:3" x14ac:dyDescent="0.3">
      <c r="A6505" t="s">
        <v>6504</v>
      </c>
      <c r="B6505">
        <f>0*(1-0.8198)</f>
        <v>0</v>
      </c>
      <c r="C6505" s="1">
        <v>3</v>
      </c>
    </row>
    <row r="6506" spans="1:3" x14ac:dyDescent="0.3">
      <c r="A6506" t="s">
        <v>6505</v>
      </c>
      <c r="B6506">
        <f>0*(1-0.8198)</f>
        <v>0</v>
      </c>
      <c r="C6506" s="1">
        <v>2</v>
      </c>
    </row>
    <row r="6507" spans="1:3" x14ac:dyDescent="0.3">
      <c r="A6507" t="s">
        <v>6506</v>
      </c>
      <c r="B6507">
        <f>0*(1-0.8198)</f>
        <v>0</v>
      </c>
      <c r="C6507" s="1">
        <v>3</v>
      </c>
    </row>
    <row r="6508" spans="1:3" x14ac:dyDescent="0.3">
      <c r="A6508" t="s">
        <v>6507</v>
      </c>
      <c r="B6508">
        <f>0*(1-0.8198)</f>
        <v>0</v>
      </c>
      <c r="C6508" s="1">
        <v>3</v>
      </c>
    </row>
    <row r="6509" spans="1:3" x14ac:dyDescent="0.3">
      <c r="A6509" t="s">
        <v>6508</v>
      </c>
      <c r="B6509">
        <f>0*(1-0.8198)</f>
        <v>0</v>
      </c>
      <c r="C6509" s="1">
        <v>3</v>
      </c>
    </row>
    <row r="6510" spans="1:3" x14ac:dyDescent="0.3">
      <c r="A6510" t="s">
        <v>6509</v>
      </c>
      <c r="B6510">
        <f>0*(1-0.8198)</f>
        <v>0</v>
      </c>
      <c r="C6510" s="1">
        <v>3</v>
      </c>
    </row>
    <row r="6511" spans="1:3" x14ac:dyDescent="0.3">
      <c r="A6511" t="s">
        <v>6510</v>
      </c>
      <c r="B6511">
        <f>0*(1-0.8198)</f>
        <v>0</v>
      </c>
      <c r="C6511" s="1">
        <v>2</v>
      </c>
    </row>
    <row r="6512" spans="1:3" x14ac:dyDescent="0.3">
      <c r="A6512" t="s">
        <v>6511</v>
      </c>
      <c r="B6512">
        <f>0.731*(1-0.8198)</f>
        <v>0.13172620000000004</v>
      </c>
      <c r="C6512" s="1">
        <v>4</v>
      </c>
    </row>
    <row r="6513" spans="1:3" x14ac:dyDescent="0.3">
      <c r="A6513" t="s">
        <v>6512</v>
      </c>
      <c r="B6513">
        <f>13.30200098*(1-0.8198)</f>
        <v>2.3970205765960007</v>
      </c>
      <c r="C6513" s="1">
        <v>3</v>
      </c>
    </row>
    <row r="6514" spans="1:3" x14ac:dyDescent="0.3">
      <c r="A6514" t="s">
        <v>6513</v>
      </c>
      <c r="B6514">
        <f>26.2757157571429*(1-0.8198)</f>
        <v>4.7348839794371438</v>
      </c>
      <c r="C6514" s="1">
        <v>3</v>
      </c>
    </row>
    <row r="6515" spans="1:3" x14ac:dyDescent="0.3">
      <c r="A6515" t="s">
        <v>6514</v>
      </c>
      <c r="B6515">
        <f>37.15928162*(1-0.8198)</f>
        <v>6.6961025479240011</v>
      </c>
      <c r="C6515" s="1">
        <v>2</v>
      </c>
    </row>
    <row r="6516" spans="1:3" x14ac:dyDescent="0.3">
      <c r="A6516" t="s">
        <v>6515</v>
      </c>
      <c r="B6516">
        <f>44.5138307257143*(1-0.8198)</f>
        <v>8.0213922967737172</v>
      </c>
      <c r="C6516" s="1">
        <v>4</v>
      </c>
    </row>
    <row r="6517" spans="1:3" x14ac:dyDescent="0.3">
      <c r="A6517" t="s">
        <v>6516</v>
      </c>
      <c r="B6517">
        <f>48.0109610785714*(1-0.8198)</f>
        <v>8.6515751863585724</v>
      </c>
      <c r="C6517" s="1">
        <v>3</v>
      </c>
    </row>
    <row r="6518" spans="1:3" x14ac:dyDescent="0.3">
      <c r="A6518" t="s">
        <v>6517</v>
      </c>
      <c r="B6518">
        <f>46.7837276257143*(1-0.8198)</f>
        <v>8.4304277181537159</v>
      </c>
      <c r="C6518" s="1">
        <v>2</v>
      </c>
    </row>
    <row r="6519" spans="1:3" x14ac:dyDescent="0.3">
      <c r="A6519" t="s">
        <v>6518</v>
      </c>
      <c r="B6519">
        <f>43.23908258*(1-0.8198)</f>
        <v>7.7916826809159998</v>
      </c>
      <c r="C6519" s="1">
        <v>3</v>
      </c>
    </row>
    <row r="6520" spans="1:3" x14ac:dyDescent="0.3">
      <c r="A6520" t="s">
        <v>6519</v>
      </c>
      <c r="B6520">
        <f>35.7744109657143*(1-0.8198)</f>
        <v>6.4465488560217157</v>
      </c>
      <c r="C6520" s="1">
        <v>3</v>
      </c>
    </row>
    <row r="6521" spans="1:3" x14ac:dyDescent="0.3">
      <c r="A6521" t="s">
        <v>6520</v>
      </c>
      <c r="B6521">
        <f>24.4055932971429*(1-0.8198)</f>
        <v>4.3978879121451442</v>
      </c>
      <c r="C6521" s="1">
        <v>3</v>
      </c>
    </row>
    <row r="6522" spans="1:3" x14ac:dyDescent="0.3">
      <c r="A6522" t="s">
        <v>6521</v>
      </c>
      <c r="B6522">
        <f>11.0477813885714*(1-0.8198)</f>
        <v>1.9908102062205719</v>
      </c>
      <c r="C6522" s="1">
        <v>3</v>
      </c>
    </row>
    <row r="6523" spans="1:3" x14ac:dyDescent="0.3">
      <c r="A6523" t="s">
        <v>6522</v>
      </c>
      <c r="B6523">
        <f>1.26800322714286*(1-0.8198)</f>
        <v>0.2284941815311429</v>
      </c>
      <c r="C6523" s="1">
        <v>3</v>
      </c>
    </row>
    <row r="6524" spans="1:3" x14ac:dyDescent="0.3">
      <c r="A6524" t="s">
        <v>6523</v>
      </c>
      <c r="B6524">
        <f>0*(1-0.8198)</f>
        <v>0</v>
      </c>
      <c r="C6524" s="1">
        <v>3</v>
      </c>
    </row>
    <row r="6525" spans="1:3" x14ac:dyDescent="0.3">
      <c r="A6525" t="s">
        <v>6524</v>
      </c>
      <c r="B6525">
        <f>0*(1-0.8198)</f>
        <v>0</v>
      </c>
      <c r="C6525" s="1">
        <v>3</v>
      </c>
    </row>
    <row r="6526" spans="1:3" x14ac:dyDescent="0.3">
      <c r="A6526" t="s">
        <v>6525</v>
      </c>
      <c r="B6526">
        <f>0*(1-0.8198)</f>
        <v>0</v>
      </c>
      <c r="C6526" s="1">
        <v>2</v>
      </c>
    </row>
    <row r="6527" spans="1:3" x14ac:dyDescent="0.3">
      <c r="A6527" t="s">
        <v>6526</v>
      </c>
      <c r="B6527">
        <f>0*(1-0.8198)</f>
        <v>0</v>
      </c>
      <c r="C6527" s="1">
        <v>2</v>
      </c>
    </row>
    <row r="6528" spans="1:3" x14ac:dyDescent="0.3">
      <c r="A6528" t="s">
        <v>6527</v>
      </c>
      <c r="B6528">
        <f>0*(1-0.8198)</f>
        <v>0</v>
      </c>
      <c r="C6528" s="1">
        <v>3</v>
      </c>
    </row>
    <row r="6529" spans="1:3" x14ac:dyDescent="0.3">
      <c r="A6529" t="s">
        <v>6528</v>
      </c>
      <c r="B6529">
        <f>0*(1-0.8198)</f>
        <v>0</v>
      </c>
      <c r="C6529" s="1">
        <v>2</v>
      </c>
    </row>
    <row r="6530" spans="1:3" x14ac:dyDescent="0.3">
      <c r="A6530" t="s">
        <v>6529</v>
      </c>
      <c r="B6530">
        <f>0*(1-0.8198)</f>
        <v>0</v>
      </c>
      <c r="C6530" s="1">
        <v>3</v>
      </c>
    </row>
    <row r="6531" spans="1:3" x14ac:dyDescent="0.3">
      <c r="A6531" t="s">
        <v>6530</v>
      </c>
      <c r="B6531">
        <f>0*(1-0.8198)</f>
        <v>0</v>
      </c>
      <c r="C6531" s="1">
        <v>2</v>
      </c>
    </row>
    <row r="6532" spans="1:3" x14ac:dyDescent="0.3">
      <c r="A6532" t="s">
        <v>6531</v>
      </c>
      <c r="B6532">
        <f>0*(1-0.8198)</f>
        <v>0</v>
      </c>
      <c r="C6532" s="1">
        <v>3</v>
      </c>
    </row>
    <row r="6533" spans="1:3" x14ac:dyDescent="0.3">
      <c r="A6533" t="s">
        <v>6532</v>
      </c>
      <c r="B6533">
        <f>0*(1-0.8198)</f>
        <v>0</v>
      </c>
      <c r="C6533" s="1">
        <v>3</v>
      </c>
    </row>
    <row r="6534" spans="1:3" x14ac:dyDescent="0.3">
      <c r="A6534" t="s">
        <v>6533</v>
      </c>
      <c r="B6534">
        <f>0*(1-0.8198)</f>
        <v>0</v>
      </c>
      <c r="C6534" s="1">
        <v>2</v>
      </c>
    </row>
    <row r="6535" spans="1:3" x14ac:dyDescent="0.3">
      <c r="A6535" t="s">
        <v>6534</v>
      </c>
      <c r="B6535">
        <f>0*(1-0.8198)</f>
        <v>0</v>
      </c>
      <c r="C6535" s="1">
        <v>2</v>
      </c>
    </row>
    <row r="6536" spans="1:3" x14ac:dyDescent="0.3">
      <c r="A6536" t="s">
        <v>6535</v>
      </c>
      <c r="B6536">
        <f>0.62178*(1-0.8198)</f>
        <v>0.11204475600000002</v>
      </c>
      <c r="C6536" s="1">
        <v>3</v>
      </c>
    </row>
    <row r="6537" spans="1:3" x14ac:dyDescent="0.3">
      <c r="A6537" t="s">
        <v>6536</v>
      </c>
      <c r="B6537">
        <f>13.1149358685714*(1-0.8198)</f>
        <v>2.3633114435165719</v>
      </c>
      <c r="C6537" s="1">
        <v>2</v>
      </c>
    </row>
    <row r="6538" spans="1:3" x14ac:dyDescent="0.3">
      <c r="A6538" t="s">
        <v>6537</v>
      </c>
      <c r="B6538">
        <f>26.16890603*(1-0.8198)</f>
        <v>4.7156368666060011</v>
      </c>
      <c r="C6538" s="1">
        <v>3</v>
      </c>
    </row>
    <row r="6539" spans="1:3" x14ac:dyDescent="0.3">
      <c r="A6539" t="s">
        <v>6538</v>
      </c>
      <c r="B6539">
        <f>37.0856904985714*(1-0.8198)</f>
        <v>6.6828414278425727</v>
      </c>
      <c r="C6539" s="1">
        <v>2</v>
      </c>
    </row>
    <row r="6540" spans="1:3" x14ac:dyDescent="0.3">
      <c r="A6540" t="s">
        <v>6539</v>
      </c>
      <c r="B6540">
        <f>44.5366502728571*(1-0.8198)</f>
        <v>8.0255043791688578</v>
      </c>
      <c r="C6540" s="1">
        <v>2</v>
      </c>
    </row>
    <row r="6541" spans="1:3" x14ac:dyDescent="0.3">
      <c r="A6541" t="s">
        <v>6540</v>
      </c>
      <c r="B6541">
        <f>47.8610698357143*(1-0.8198)</f>
        <v>8.6245647843957158</v>
      </c>
      <c r="C6541" s="1">
        <v>3</v>
      </c>
    </row>
    <row r="6542" spans="1:3" x14ac:dyDescent="0.3">
      <c r="A6542" t="s">
        <v>6541</v>
      </c>
      <c r="B6542">
        <f>47.40448398*(1-0.8198)</f>
        <v>8.5422880131960017</v>
      </c>
      <c r="C6542" s="1">
        <v>2</v>
      </c>
    </row>
    <row r="6543" spans="1:3" x14ac:dyDescent="0.3">
      <c r="A6543" t="s">
        <v>6542</v>
      </c>
      <c r="B6543">
        <f>43.3260278428571*(1-0.8198)</f>
        <v>7.8073502172828588</v>
      </c>
      <c r="C6543" s="1">
        <v>3</v>
      </c>
    </row>
    <row r="6544" spans="1:3" x14ac:dyDescent="0.3">
      <c r="A6544" t="s">
        <v>6543</v>
      </c>
      <c r="B6544">
        <f>35.5897885*(1-0.8198)</f>
        <v>6.4132798877000008</v>
      </c>
      <c r="C6544" s="1">
        <v>2</v>
      </c>
    </row>
    <row r="6545" spans="1:3" x14ac:dyDescent="0.3">
      <c r="A6545" t="s">
        <v>6544</v>
      </c>
      <c r="B6545">
        <f>24.2910525385714*(1-0.8198)</f>
        <v>4.3772476674505718</v>
      </c>
      <c r="C6545" s="1">
        <v>3</v>
      </c>
    </row>
    <row r="6546" spans="1:3" x14ac:dyDescent="0.3">
      <c r="A6546" t="s">
        <v>6545</v>
      </c>
      <c r="B6546">
        <f>10.8749464514286*(1-0.8198)</f>
        <v>1.9596653505474286</v>
      </c>
      <c r="C6546" s="1">
        <v>2</v>
      </c>
    </row>
    <row r="6547" spans="1:3" x14ac:dyDescent="0.3">
      <c r="A6547" t="s">
        <v>6546</v>
      </c>
      <c r="B6547">
        <f>1.12143705142857*(1-0.8198)</f>
        <v>0.20208295666742859</v>
      </c>
      <c r="C6547" s="1">
        <v>3</v>
      </c>
    </row>
    <row r="6548" spans="1:3" x14ac:dyDescent="0.3">
      <c r="A6548" t="s">
        <v>6547</v>
      </c>
      <c r="B6548">
        <f>0*(1-0.8198)</f>
        <v>0</v>
      </c>
      <c r="C6548" s="1">
        <v>3</v>
      </c>
    </row>
    <row r="6549" spans="1:3" x14ac:dyDescent="0.3">
      <c r="A6549" t="s">
        <v>6548</v>
      </c>
      <c r="B6549">
        <f>0*(1-0.8198)</f>
        <v>0</v>
      </c>
      <c r="C6549" s="1">
        <v>2</v>
      </c>
    </row>
    <row r="6550" spans="1:3" x14ac:dyDescent="0.3">
      <c r="A6550" t="s">
        <v>6549</v>
      </c>
      <c r="B6550">
        <f>0*(1-0.8198)</f>
        <v>0</v>
      </c>
      <c r="C6550" s="1">
        <v>3</v>
      </c>
    </row>
    <row r="6551" spans="1:3" x14ac:dyDescent="0.3">
      <c r="A6551" t="s">
        <v>6550</v>
      </c>
      <c r="B6551">
        <f>0*(1-0.8198)</f>
        <v>0</v>
      </c>
      <c r="C6551" s="1">
        <v>2</v>
      </c>
    </row>
    <row r="6552" spans="1:3" x14ac:dyDescent="0.3">
      <c r="A6552" t="s">
        <v>6551</v>
      </c>
      <c r="B6552">
        <f>0*(1-0.8198)</f>
        <v>0</v>
      </c>
      <c r="C6552" s="1">
        <v>3</v>
      </c>
    </row>
    <row r="6553" spans="1:3" x14ac:dyDescent="0.3">
      <c r="A6553" t="s">
        <v>6552</v>
      </c>
      <c r="B6553">
        <f>0*(1-0.8198)</f>
        <v>0</v>
      </c>
      <c r="C6553" s="1">
        <v>2</v>
      </c>
    </row>
    <row r="6554" spans="1:3" x14ac:dyDescent="0.3">
      <c r="A6554" t="s">
        <v>6553</v>
      </c>
      <c r="B6554">
        <f>0*(1-0.8198)</f>
        <v>0</v>
      </c>
      <c r="C6554" s="1">
        <v>3</v>
      </c>
    </row>
    <row r="6555" spans="1:3" x14ac:dyDescent="0.3">
      <c r="A6555" t="s">
        <v>6554</v>
      </c>
      <c r="B6555">
        <f>0*(1-0.8198)</f>
        <v>0</v>
      </c>
      <c r="C6555" s="1">
        <v>2</v>
      </c>
    </row>
    <row r="6556" spans="1:3" x14ac:dyDescent="0.3">
      <c r="A6556" t="s">
        <v>6555</v>
      </c>
      <c r="B6556">
        <f>0*(1-0.8198)</f>
        <v>0</v>
      </c>
      <c r="C6556" s="1">
        <v>2</v>
      </c>
    </row>
    <row r="6557" spans="1:3" x14ac:dyDescent="0.3">
      <c r="A6557" t="s">
        <v>6556</v>
      </c>
      <c r="B6557">
        <f>0*(1-0.8198)</f>
        <v>0</v>
      </c>
      <c r="C6557" s="1">
        <v>3</v>
      </c>
    </row>
    <row r="6558" spans="1:3" x14ac:dyDescent="0.3">
      <c r="A6558" t="s">
        <v>6557</v>
      </c>
      <c r="B6558">
        <f>0*(1-0.8198)</f>
        <v>0</v>
      </c>
      <c r="C6558" s="1">
        <v>3</v>
      </c>
    </row>
    <row r="6559" spans="1:3" x14ac:dyDescent="0.3">
      <c r="A6559" t="s">
        <v>6558</v>
      </c>
      <c r="B6559">
        <f>0*(1-0.8198)</f>
        <v>0</v>
      </c>
      <c r="C6559" s="1">
        <v>2</v>
      </c>
    </row>
    <row r="6560" spans="1:3" x14ac:dyDescent="0.3">
      <c r="A6560" t="s">
        <v>6559</v>
      </c>
      <c r="B6560">
        <f>0.51772*(1-0.8198)</f>
        <v>9.3293144000000008E-2</v>
      </c>
      <c r="C6560" s="1">
        <v>10</v>
      </c>
    </row>
    <row r="6561" spans="1:3" x14ac:dyDescent="0.3">
      <c r="A6561" t="s">
        <v>6560</v>
      </c>
      <c r="B6561">
        <f>13.2168070457143*(1-0.8198)</f>
        <v>2.3816686296377148</v>
      </c>
      <c r="C6561" s="1">
        <v>14</v>
      </c>
    </row>
    <row r="6562" spans="1:3" x14ac:dyDescent="0.3">
      <c r="A6562" t="s">
        <v>6561</v>
      </c>
      <c r="B6562">
        <f>26.1915421514286*(1-0.8198)</f>
        <v>4.719715895687429</v>
      </c>
      <c r="C6562" s="1">
        <v>17</v>
      </c>
    </row>
    <row r="6563" spans="1:3" x14ac:dyDescent="0.3">
      <c r="A6563" t="s">
        <v>6562</v>
      </c>
      <c r="B6563">
        <f>37.4597691828571*(1-0.8198)</f>
        <v>6.7502504067508582</v>
      </c>
      <c r="C6563" s="1">
        <v>15</v>
      </c>
    </row>
    <row r="6564" spans="1:3" x14ac:dyDescent="0.3">
      <c r="A6564" t="s">
        <v>6563</v>
      </c>
      <c r="B6564">
        <f>44.7261859185714*(1-0.8198)</f>
        <v>8.0596587025265727</v>
      </c>
      <c r="C6564" s="1">
        <v>17</v>
      </c>
    </row>
    <row r="6565" spans="1:3" x14ac:dyDescent="0.3">
      <c r="A6565" t="s">
        <v>6564</v>
      </c>
      <c r="B6565">
        <f>47.5889861685714*(1-0.8198)</f>
        <v>8.5755353075765726</v>
      </c>
      <c r="C6565" s="1">
        <v>14</v>
      </c>
    </row>
    <row r="6566" spans="1:3" x14ac:dyDescent="0.3">
      <c r="A6566" t="s">
        <v>6565</v>
      </c>
      <c r="B6566">
        <f>47.0605152471429*(1-0.8198)</f>
        <v>8.4803048475351428</v>
      </c>
      <c r="C6566" s="1">
        <v>13</v>
      </c>
    </row>
    <row r="6567" spans="1:3" x14ac:dyDescent="0.3">
      <c r="A6567" t="s">
        <v>6566</v>
      </c>
      <c r="B6567">
        <f>43.3799346085714*(1-0.8198)</f>
        <v>7.8170642164645736</v>
      </c>
      <c r="C6567" s="1">
        <v>14</v>
      </c>
    </row>
    <row r="6568" spans="1:3" x14ac:dyDescent="0.3">
      <c r="A6568" t="s">
        <v>6567</v>
      </c>
      <c r="B6568">
        <f>35.4514557185714*(1-0.8198)</f>
        <v>6.3883523204865726</v>
      </c>
      <c r="C6568" s="1">
        <v>11</v>
      </c>
    </row>
    <row r="6569" spans="1:3" x14ac:dyDescent="0.3">
      <c r="A6569" t="s">
        <v>6568</v>
      </c>
      <c r="B6569">
        <f>23.9858075785714*(1-0.8198)</f>
        <v>4.3222425256585737</v>
      </c>
      <c r="C6569" s="1">
        <v>10</v>
      </c>
    </row>
    <row r="6570" spans="1:3" x14ac:dyDescent="0.3">
      <c r="A6570" t="s">
        <v>6569</v>
      </c>
      <c r="B6570">
        <f>10.4806527914286*(1-0.8198)</f>
        <v>1.8886136330154288</v>
      </c>
      <c r="C6570" s="1">
        <v>8</v>
      </c>
    </row>
    <row r="6571" spans="1:3" x14ac:dyDescent="0.3">
      <c r="A6571" t="s">
        <v>6570</v>
      </c>
      <c r="B6571">
        <f>0.980546875714286*(1-0.8198)</f>
        <v>0.17669454700371434</v>
      </c>
      <c r="C6571" s="1">
        <v>7</v>
      </c>
    </row>
    <row r="6572" spans="1:3" x14ac:dyDescent="0.3">
      <c r="A6572" t="s">
        <v>6571</v>
      </c>
      <c r="B6572">
        <f>0*(1-0.8198)</f>
        <v>0</v>
      </c>
      <c r="C6572" s="1">
        <v>7</v>
      </c>
    </row>
    <row r="6573" spans="1:3" x14ac:dyDescent="0.3">
      <c r="A6573" t="s">
        <v>6572</v>
      </c>
      <c r="B6573">
        <f>0*(1-0.8198)</f>
        <v>0</v>
      </c>
      <c r="C6573" s="1">
        <v>6</v>
      </c>
    </row>
    <row r="6574" spans="1:3" x14ac:dyDescent="0.3">
      <c r="A6574" t="s">
        <v>6573</v>
      </c>
      <c r="B6574">
        <f>0*(1-0.8198)</f>
        <v>0</v>
      </c>
      <c r="C6574" s="1">
        <v>5</v>
      </c>
    </row>
    <row r="6575" spans="1:3" x14ac:dyDescent="0.3">
      <c r="A6575" t="s">
        <v>6574</v>
      </c>
      <c r="B6575">
        <f>0*(1-0.8198)</f>
        <v>0</v>
      </c>
      <c r="C6575" s="1">
        <v>5</v>
      </c>
    </row>
    <row r="6576" spans="1:3" x14ac:dyDescent="0.3">
      <c r="A6576" t="s">
        <v>6575</v>
      </c>
      <c r="B6576">
        <f>0*(1-0.8198)</f>
        <v>0</v>
      </c>
      <c r="C6576" s="1">
        <v>4</v>
      </c>
    </row>
    <row r="6577" spans="1:3" x14ac:dyDescent="0.3">
      <c r="A6577" t="s">
        <v>6576</v>
      </c>
      <c r="B6577">
        <f>0*(1-0.8198)</f>
        <v>0</v>
      </c>
      <c r="C6577" s="1">
        <v>3</v>
      </c>
    </row>
    <row r="6578" spans="1:3" x14ac:dyDescent="0.3">
      <c r="A6578" t="s">
        <v>6577</v>
      </c>
      <c r="B6578">
        <f>0*(1-0.8198)</f>
        <v>0</v>
      </c>
      <c r="C6578" s="1">
        <v>3</v>
      </c>
    </row>
    <row r="6579" spans="1:3" x14ac:dyDescent="0.3">
      <c r="A6579" t="s">
        <v>6578</v>
      </c>
      <c r="B6579">
        <f>0*(1-0.8198)</f>
        <v>0</v>
      </c>
      <c r="C6579" s="1">
        <v>2</v>
      </c>
    </row>
    <row r="6580" spans="1:3" x14ac:dyDescent="0.3">
      <c r="A6580" t="s">
        <v>6579</v>
      </c>
      <c r="B6580">
        <f>0*(1-0.8198)</f>
        <v>0</v>
      </c>
      <c r="C6580" s="1">
        <v>3</v>
      </c>
    </row>
    <row r="6581" spans="1:3" x14ac:dyDescent="0.3">
      <c r="A6581" t="s">
        <v>6580</v>
      </c>
      <c r="B6581">
        <f>0*(1-0.8198)</f>
        <v>0</v>
      </c>
      <c r="C6581" s="1">
        <v>2</v>
      </c>
    </row>
    <row r="6582" spans="1:3" x14ac:dyDescent="0.3">
      <c r="A6582" t="s">
        <v>6581</v>
      </c>
      <c r="B6582">
        <f>0*(1-0.8198)</f>
        <v>0</v>
      </c>
      <c r="C6582" s="1">
        <v>3</v>
      </c>
    </row>
    <row r="6583" spans="1:3" x14ac:dyDescent="0.3">
      <c r="A6583" t="s">
        <v>6582</v>
      </c>
      <c r="B6583">
        <f>0*(1-0.8198)</f>
        <v>0</v>
      </c>
      <c r="C6583" s="1">
        <v>3</v>
      </c>
    </row>
    <row r="6584" spans="1:3" x14ac:dyDescent="0.3">
      <c r="A6584" t="s">
        <v>6583</v>
      </c>
      <c r="B6584">
        <f>0.27778*(1-0.8198)</f>
        <v>5.0055956000000019E-2</v>
      </c>
      <c r="C6584" s="1">
        <v>10</v>
      </c>
    </row>
    <row r="6585" spans="1:3" x14ac:dyDescent="0.3">
      <c r="A6585" t="s">
        <v>6584</v>
      </c>
      <c r="B6585">
        <f>8.07219803571429*(1-0.8198)</f>
        <v>1.4546100860357147</v>
      </c>
      <c r="C6585" s="1">
        <v>13</v>
      </c>
    </row>
    <row r="6586" spans="1:3" x14ac:dyDescent="0.3">
      <c r="A6586" t="s">
        <v>6585</v>
      </c>
      <c r="B6586">
        <f>16.9058030914286*(1-0.8198)</f>
        <v>3.0464257170754294</v>
      </c>
      <c r="C6586" s="1">
        <v>16</v>
      </c>
    </row>
    <row r="6587" spans="1:3" x14ac:dyDescent="0.3">
      <c r="A6587" t="s">
        <v>6586</v>
      </c>
      <c r="B6587">
        <f>21.0080124285714*(1-0.8198)</f>
        <v>3.7856438396285728</v>
      </c>
      <c r="C6587" s="1">
        <v>16</v>
      </c>
    </row>
    <row r="6588" spans="1:3" x14ac:dyDescent="0.3">
      <c r="A6588" t="s">
        <v>6587</v>
      </c>
      <c r="B6588">
        <f>32.7299893428571*(1-0.8198)</f>
        <v>5.8979440795828584</v>
      </c>
      <c r="C6588" s="1">
        <v>15</v>
      </c>
    </row>
    <row r="6589" spans="1:3" x14ac:dyDescent="0.3">
      <c r="A6589" t="s">
        <v>6588</v>
      </c>
      <c r="B6589">
        <f>37.4433635771429*(1-0.8198)</f>
        <v>6.7472941166011449</v>
      </c>
      <c r="C6589" s="1">
        <v>13</v>
      </c>
    </row>
    <row r="6590" spans="1:3" x14ac:dyDescent="0.3">
      <c r="A6590" t="s">
        <v>6589</v>
      </c>
      <c r="B6590">
        <f>39.3967531414286*(1-0.8198)</f>
        <v>7.0992949160854302</v>
      </c>
      <c r="C6590" s="1">
        <v>13</v>
      </c>
    </row>
    <row r="6591" spans="1:3" x14ac:dyDescent="0.3">
      <c r="A6591" t="s">
        <v>6590</v>
      </c>
      <c r="B6591">
        <f>42.9247591528571*(1-0.8198)</f>
        <v>7.7350415993448598</v>
      </c>
      <c r="C6591" s="1">
        <v>12</v>
      </c>
    </row>
    <row r="6592" spans="1:3" x14ac:dyDescent="0.3">
      <c r="A6592" t="s">
        <v>6591</v>
      </c>
      <c r="B6592">
        <f>34.9554442071429*(1-0.8198)</f>
        <v>6.2989710461271429</v>
      </c>
      <c r="C6592" s="1">
        <v>10</v>
      </c>
    </row>
    <row r="6593" spans="1:3" x14ac:dyDescent="0.3">
      <c r="A6593" t="s">
        <v>6592</v>
      </c>
      <c r="B6593">
        <f>23.6115336742857*(1-0.8198)</f>
        <v>4.2547983681062878</v>
      </c>
      <c r="C6593" s="1">
        <v>9</v>
      </c>
    </row>
    <row r="6594" spans="1:3" x14ac:dyDescent="0.3">
      <c r="A6594" t="s">
        <v>6593</v>
      </c>
      <c r="B6594">
        <f>10.0963016528571*(1-0.8198)</f>
        <v>1.8193535578448574</v>
      </c>
      <c r="C6594" s="1">
        <v>9</v>
      </c>
    </row>
    <row r="6595" spans="1:3" x14ac:dyDescent="0.3">
      <c r="A6595" t="s">
        <v>6594</v>
      </c>
      <c r="B6595">
        <f>0.5547*(1-0.8198)</f>
        <v>9.9956940000000008E-2</v>
      </c>
      <c r="C6595" s="1">
        <v>8</v>
      </c>
    </row>
    <row r="6596" spans="1:3" x14ac:dyDescent="0.3">
      <c r="A6596" t="s">
        <v>6595</v>
      </c>
      <c r="B6596">
        <f>0*(1-0.8198)</f>
        <v>0</v>
      </c>
      <c r="C6596" s="1">
        <v>7</v>
      </c>
    </row>
    <row r="6597" spans="1:3" x14ac:dyDescent="0.3">
      <c r="A6597" t="s">
        <v>6596</v>
      </c>
      <c r="B6597">
        <f>0*(1-0.8198)</f>
        <v>0</v>
      </c>
      <c r="C6597" s="1">
        <v>5</v>
      </c>
    </row>
    <row r="6598" spans="1:3" x14ac:dyDescent="0.3">
      <c r="A6598" t="s">
        <v>6597</v>
      </c>
      <c r="B6598">
        <f>0*(1-0.8198)</f>
        <v>0</v>
      </c>
      <c r="C6598" s="1">
        <v>5</v>
      </c>
    </row>
    <row r="6599" spans="1:3" x14ac:dyDescent="0.3">
      <c r="A6599" t="s">
        <v>6598</v>
      </c>
      <c r="B6599">
        <f>0*(1-0.8198)</f>
        <v>0</v>
      </c>
      <c r="C6599" s="1">
        <v>4</v>
      </c>
    </row>
    <row r="6600" spans="1:3" x14ac:dyDescent="0.3">
      <c r="A6600" t="s">
        <v>6599</v>
      </c>
      <c r="B6600">
        <f>0*(1-0.8198)</f>
        <v>0</v>
      </c>
      <c r="C6600" s="1">
        <v>4</v>
      </c>
    </row>
    <row r="6601" spans="1:3" x14ac:dyDescent="0.3">
      <c r="A6601" t="s">
        <v>6600</v>
      </c>
      <c r="B6601">
        <f>0*(1-0.8198)</f>
        <v>0</v>
      </c>
      <c r="C6601" s="1">
        <v>3</v>
      </c>
    </row>
    <row r="6602" spans="1:3" x14ac:dyDescent="0.3">
      <c r="A6602" t="s">
        <v>6601</v>
      </c>
      <c r="B6602">
        <f>0*(1-0.8198)</f>
        <v>0</v>
      </c>
      <c r="C6602" s="1">
        <v>2</v>
      </c>
    </row>
    <row r="6603" spans="1:3" x14ac:dyDescent="0.3">
      <c r="A6603" t="s">
        <v>6602</v>
      </c>
      <c r="B6603">
        <f>0*(1-0.8198)</f>
        <v>0</v>
      </c>
      <c r="C6603" s="1">
        <v>3</v>
      </c>
    </row>
    <row r="6604" spans="1:3" x14ac:dyDescent="0.3">
      <c r="A6604" t="s">
        <v>6603</v>
      </c>
      <c r="B6604">
        <f>0*(1-0.8198)</f>
        <v>0</v>
      </c>
      <c r="C6604" s="1">
        <v>2</v>
      </c>
    </row>
    <row r="6605" spans="1:3" x14ac:dyDescent="0.3">
      <c r="A6605" t="s">
        <v>6604</v>
      </c>
      <c r="B6605">
        <f>0*(1-0.8198)</f>
        <v>0</v>
      </c>
      <c r="C6605" s="1">
        <v>2</v>
      </c>
    </row>
    <row r="6606" spans="1:3" x14ac:dyDescent="0.3">
      <c r="A6606" t="s">
        <v>6605</v>
      </c>
      <c r="B6606">
        <f>0*(1-0.8198)</f>
        <v>0</v>
      </c>
      <c r="C6606" s="1">
        <v>2</v>
      </c>
    </row>
    <row r="6607" spans="1:3" x14ac:dyDescent="0.3">
      <c r="A6607" t="s">
        <v>6606</v>
      </c>
      <c r="B6607">
        <f>0*(1-0.8198)</f>
        <v>0</v>
      </c>
      <c r="C6607" s="1">
        <v>4</v>
      </c>
    </row>
    <row r="6608" spans="1:3" x14ac:dyDescent="0.3">
      <c r="A6608" t="s">
        <v>6607</v>
      </c>
      <c r="B6608">
        <f>0.36808*(1-0.8198)</f>
        <v>6.6328016000000017E-2</v>
      </c>
      <c r="C6608" s="1">
        <v>4</v>
      </c>
    </row>
    <row r="6609" spans="1:3" x14ac:dyDescent="0.3">
      <c r="A6609" t="s">
        <v>6608</v>
      </c>
      <c r="B6609">
        <f>12.6538514757143*(1-0.8198)</f>
        <v>2.2802240359237147</v>
      </c>
      <c r="C6609" s="1">
        <v>8</v>
      </c>
    </row>
    <row r="6610" spans="1:3" x14ac:dyDescent="0.3">
      <c r="A6610" t="s">
        <v>6609</v>
      </c>
      <c r="B6610">
        <f>17.39396999*(1-0.8198)</f>
        <v>3.1343933921980009</v>
      </c>
      <c r="C6610" s="1">
        <v>16</v>
      </c>
    </row>
    <row r="6611" spans="1:3" x14ac:dyDescent="0.3">
      <c r="A6611" t="s">
        <v>6610</v>
      </c>
      <c r="B6611">
        <f>33.7225450742857*(1-0.8198)</f>
        <v>6.0768026223862872</v>
      </c>
      <c r="C6611" s="1">
        <v>13</v>
      </c>
    </row>
    <row r="6612" spans="1:3" x14ac:dyDescent="0.3">
      <c r="A6612" t="s">
        <v>6611</v>
      </c>
      <c r="B6612">
        <f>35.4300865614286*(1-0.8198)</f>
        <v>6.3845015983694298</v>
      </c>
      <c r="C6612" s="1">
        <v>12</v>
      </c>
    </row>
    <row r="6613" spans="1:3" x14ac:dyDescent="0.3">
      <c r="A6613" t="s">
        <v>6612</v>
      </c>
      <c r="B6613">
        <f>28.3284985314286*(1-0.8198)</f>
        <v>5.1047954353634299</v>
      </c>
      <c r="C6613" s="1">
        <v>13</v>
      </c>
    </row>
    <row r="6614" spans="1:3" x14ac:dyDescent="0.3">
      <c r="A6614" t="s">
        <v>6613</v>
      </c>
      <c r="B6614">
        <f>23.8795595542857*(1-0.8198)</f>
        <v>4.303096631682287</v>
      </c>
      <c r="C6614" s="1">
        <v>13</v>
      </c>
    </row>
    <row r="6615" spans="1:3" x14ac:dyDescent="0.3">
      <c r="A6615" t="s">
        <v>6614</v>
      </c>
      <c r="B6615">
        <f>30.4071639885714*(1-0.8198)</f>
        <v>5.4793709507405728</v>
      </c>
      <c r="C6615" s="1">
        <v>11</v>
      </c>
    </row>
    <row r="6616" spans="1:3" x14ac:dyDescent="0.3">
      <c r="A6616" t="s">
        <v>6615</v>
      </c>
      <c r="B6616">
        <f>33.5522832571429*(1-0.8198)</f>
        <v>6.0461214429371442</v>
      </c>
      <c r="C6616" s="1">
        <v>10</v>
      </c>
    </row>
    <row r="6617" spans="1:3" x14ac:dyDescent="0.3">
      <c r="A6617" t="s">
        <v>6616</v>
      </c>
      <c r="B6617">
        <f>21.4787853357143*(1-0.8198)</f>
        <v>3.8704771174957147</v>
      </c>
      <c r="C6617" s="1">
        <v>9</v>
      </c>
    </row>
    <row r="6618" spans="1:3" x14ac:dyDescent="0.3">
      <c r="A6618" t="s">
        <v>6617</v>
      </c>
      <c r="B6618">
        <f>9.86134449285714*(1-0.8198)</f>
        <v>1.7770142776128577</v>
      </c>
      <c r="C6618" s="1">
        <v>8</v>
      </c>
    </row>
    <row r="6619" spans="1:3" x14ac:dyDescent="0.3">
      <c r="A6619" t="s">
        <v>6618</v>
      </c>
      <c r="B6619">
        <f>0.40592*(1-0.8198)</f>
        <v>7.3146784000000006E-2</v>
      </c>
      <c r="C6619" s="1">
        <v>6</v>
      </c>
    </row>
    <row r="6620" spans="1:3" x14ac:dyDescent="0.3">
      <c r="A6620" t="s">
        <v>6619</v>
      </c>
      <c r="B6620">
        <f>0*(1-0.8198)</f>
        <v>0</v>
      </c>
      <c r="C6620" s="1">
        <v>7</v>
      </c>
    </row>
    <row r="6621" spans="1:3" x14ac:dyDescent="0.3">
      <c r="A6621" t="s">
        <v>6620</v>
      </c>
      <c r="B6621">
        <f>0*(1-0.8198)</f>
        <v>0</v>
      </c>
      <c r="C6621" s="1">
        <v>6</v>
      </c>
    </row>
    <row r="6622" spans="1:3" x14ac:dyDescent="0.3">
      <c r="A6622" t="s">
        <v>6621</v>
      </c>
      <c r="B6622">
        <f>0*(1-0.8198)</f>
        <v>0</v>
      </c>
      <c r="C6622" s="1">
        <v>5</v>
      </c>
    </row>
    <row r="6623" spans="1:3" x14ac:dyDescent="0.3">
      <c r="A6623" t="s">
        <v>6622</v>
      </c>
      <c r="B6623">
        <f>0*(1-0.8198)</f>
        <v>0</v>
      </c>
      <c r="C6623" s="1">
        <v>5</v>
      </c>
    </row>
    <row r="6624" spans="1:3" x14ac:dyDescent="0.3">
      <c r="A6624" t="s">
        <v>6623</v>
      </c>
      <c r="B6624">
        <f>0*(1-0.8198)</f>
        <v>0</v>
      </c>
      <c r="C6624" s="1">
        <v>4</v>
      </c>
    </row>
    <row r="6625" spans="1:3" x14ac:dyDescent="0.3">
      <c r="A6625" t="s">
        <v>6624</v>
      </c>
      <c r="B6625">
        <f>0*(1-0.8198)</f>
        <v>0</v>
      </c>
      <c r="C6625" s="1">
        <v>3</v>
      </c>
    </row>
    <row r="6626" spans="1:3" x14ac:dyDescent="0.3">
      <c r="A6626" t="s">
        <v>6625</v>
      </c>
      <c r="B6626">
        <f>0*(1-0.8198)</f>
        <v>0</v>
      </c>
      <c r="C6626" s="1">
        <v>3</v>
      </c>
    </row>
    <row r="6627" spans="1:3" x14ac:dyDescent="0.3">
      <c r="A6627" t="s">
        <v>6626</v>
      </c>
      <c r="B6627">
        <f>0*(1-0.8198)</f>
        <v>0</v>
      </c>
      <c r="C6627" s="1">
        <v>3</v>
      </c>
    </row>
    <row r="6628" spans="1:3" x14ac:dyDescent="0.3">
      <c r="A6628" t="s">
        <v>6627</v>
      </c>
      <c r="B6628">
        <f>0*(1-0.8198)</f>
        <v>0</v>
      </c>
      <c r="C6628" s="1">
        <v>3</v>
      </c>
    </row>
    <row r="6629" spans="1:3" x14ac:dyDescent="0.3">
      <c r="A6629" t="s">
        <v>6628</v>
      </c>
      <c r="B6629">
        <f>0*(1-0.8198)</f>
        <v>0</v>
      </c>
      <c r="C6629" s="1">
        <v>2</v>
      </c>
    </row>
    <row r="6630" spans="1:3" x14ac:dyDescent="0.3">
      <c r="A6630" t="s">
        <v>6629</v>
      </c>
      <c r="B6630">
        <f>0*(1-0.8198)</f>
        <v>0</v>
      </c>
      <c r="C6630" s="1">
        <v>3</v>
      </c>
    </row>
    <row r="6631" spans="1:3" x14ac:dyDescent="0.3">
      <c r="A6631" t="s">
        <v>6630</v>
      </c>
      <c r="B6631">
        <f>0*(1-0.8198)</f>
        <v>0</v>
      </c>
      <c r="C6631" s="1">
        <v>2</v>
      </c>
    </row>
    <row r="6632" spans="1:3" x14ac:dyDescent="0.3">
      <c r="A6632" t="s">
        <v>6631</v>
      </c>
      <c r="B6632">
        <f>0.27348*(1-0.8198)</f>
        <v>4.928109600000001E-2</v>
      </c>
      <c r="C6632" s="1">
        <v>9</v>
      </c>
    </row>
    <row r="6633" spans="1:3" x14ac:dyDescent="0.3">
      <c r="A6633" t="s">
        <v>6632</v>
      </c>
      <c r="B6633">
        <f>9.02799601571428*(1-0.8198)</f>
        <v>1.6268448820317143</v>
      </c>
      <c r="C6633" s="1">
        <v>12</v>
      </c>
    </row>
    <row r="6634" spans="1:3" x14ac:dyDescent="0.3">
      <c r="A6634" t="s">
        <v>6633</v>
      </c>
      <c r="B6634">
        <f>24.1179531514286*(1-0.8198)</f>
        <v>4.3460551578874291</v>
      </c>
      <c r="C6634" s="1">
        <v>14</v>
      </c>
    </row>
    <row r="6635" spans="1:3" x14ac:dyDescent="0.3">
      <c r="A6635" t="s">
        <v>6634</v>
      </c>
      <c r="B6635">
        <f>36.07606518*(1-0.8198)</f>
        <v>6.5009069454360011</v>
      </c>
      <c r="C6635" s="1">
        <v>16</v>
      </c>
    </row>
    <row r="6636" spans="1:3" x14ac:dyDescent="0.3">
      <c r="A6636" t="s">
        <v>6635</v>
      </c>
      <c r="B6636">
        <f>43.7267797957143*(1-0.8198)</f>
        <v>7.8795657191877169</v>
      </c>
      <c r="C6636" s="1">
        <v>16</v>
      </c>
    </row>
    <row r="6637" spans="1:3" x14ac:dyDescent="0.3">
      <c r="A6637" t="s">
        <v>6636</v>
      </c>
      <c r="B6637">
        <f>46.0562098271429*(1-0.8198)</f>
        <v>8.2993290108511442</v>
      </c>
      <c r="C6637" s="1">
        <v>14</v>
      </c>
    </row>
    <row r="6638" spans="1:3" x14ac:dyDescent="0.3">
      <c r="A6638" t="s">
        <v>6637</v>
      </c>
      <c r="B6638">
        <f>44.9639777614286*(1-0.8198)</f>
        <v>8.1025087926094308</v>
      </c>
      <c r="C6638" s="1">
        <v>12</v>
      </c>
    </row>
    <row r="6639" spans="1:3" x14ac:dyDescent="0.3">
      <c r="A6639" t="s">
        <v>6638</v>
      </c>
      <c r="B6639">
        <f>42.45135741*(1-0.8198)</f>
        <v>7.649734605282001</v>
      </c>
      <c r="C6639" s="1">
        <v>11</v>
      </c>
    </row>
    <row r="6640" spans="1:3" x14ac:dyDescent="0.3">
      <c r="A6640" t="s">
        <v>6639</v>
      </c>
      <c r="B6640">
        <f>34.2197924671429*(1-0.8198)</f>
        <v>6.1664066025791442</v>
      </c>
      <c r="C6640" s="1">
        <v>11</v>
      </c>
    </row>
    <row r="6641" spans="1:3" x14ac:dyDescent="0.3">
      <c r="A6641" t="s">
        <v>6640</v>
      </c>
      <c r="B6641">
        <f>22.5312799957143*(1-0.8198)</f>
        <v>4.0601366552277156</v>
      </c>
      <c r="C6641" s="1">
        <v>9</v>
      </c>
    </row>
    <row r="6642" spans="1:3" x14ac:dyDescent="0.3">
      <c r="A6642" t="s">
        <v>6641</v>
      </c>
      <c r="B6642">
        <f>9.44331065571429*(1-0.8198)</f>
        <v>1.7016845801597147</v>
      </c>
      <c r="C6642" s="1">
        <v>8</v>
      </c>
    </row>
    <row r="6643" spans="1:3" x14ac:dyDescent="0.3">
      <c r="A6643" t="s">
        <v>6642</v>
      </c>
      <c r="B6643">
        <f>0.26746*(1-0.8198)</f>
        <v>4.8196292000000016E-2</v>
      </c>
      <c r="C6643" s="1">
        <v>7</v>
      </c>
    </row>
    <row r="6644" spans="1:3" x14ac:dyDescent="0.3">
      <c r="A6644" t="s">
        <v>6643</v>
      </c>
      <c r="B6644">
        <f>0*(1-0.8198)</f>
        <v>0</v>
      </c>
      <c r="C6644" s="1">
        <v>7</v>
      </c>
    </row>
    <row r="6645" spans="1:3" x14ac:dyDescent="0.3">
      <c r="A6645" t="s">
        <v>6644</v>
      </c>
      <c r="B6645">
        <f>0*(1-0.8198)</f>
        <v>0</v>
      </c>
      <c r="C6645" s="1">
        <v>5</v>
      </c>
    </row>
    <row r="6646" spans="1:3" x14ac:dyDescent="0.3">
      <c r="A6646" t="s">
        <v>6645</v>
      </c>
      <c r="B6646">
        <f>0*(1-0.8198)</f>
        <v>0</v>
      </c>
      <c r="C6646" s="1">
        <v>5</v>
      </c>
    </row>
    <row r="6647" spans="1:3" x14ac:dyDescent="0.3">
      <c r="A6647" t="s">
        <v>6646</v>
      </c>
      <c r="B6647">
        <f>0*(1-0.8198)</f>
        <v>0</v>
      </c>
      <c r="C6647" s="1">
        <v>4</v>
      </c>
    </row>
    <row r="6648" spans="1:3" x14ac:dyDescent="0.3">
      <c r="A6648" t="s">
        <v>6647</v>
      </c>
      <c r="B6648">
        <f>0*(1-0.8198)</f>
        <v>0</v>
      </c>
      <c r="C6648" s="1">
        <v>4</v>
      </c>
    </row>
    <row r="6649" spans="1:3" x14ac:dyDescent="0.3">
      <c r="A6649" t="s">
        <v>6648</v>
      </c>
      <c r="B6649">
        <f>0*(1-0.8198)</f>
        <v>0</v>
      </c>
      <c r="C6649" s="1">
        <v>3</v>
      </c>
    </row>
    <row r="6650" spans="1:3" x14ac:dyDescent="0.3">
      <c r="A6650" t="s">
        <v>6649</v>
      </c>
      <c r="B6650">
        <f>0*(1-0.8198)</f>
        <v>0</v>
      </c>
      <c r="C6650" s="1">
        <v>2</v>
      </c>
    </row>
    <row r="6651" spans="1:3" x14ac:dyDescent="0.3">
      <c r="A6651" t="s">
        <v>6650</v>
      </c>
      <c r="B6651">
        <f>0*(1-0.8198)</f>
        <v>0</v>
      </c>
      <c r="C6651" s="1">
        <v>2</v>
      </c>
    </row>
    <row r="6652" spans="1:3" x14ac:dyDescent="0.3">
      <c r="A6652" t="s">
        <v>6651</v>
      </c>
      <c r="B6652">
        <f>0*(1-0.8198)</f>
        <v>0</v>
      </c>
      <c r="C6652" s="1">
        <v>3</v>
      </c>
    </row>
    <row r="6653" spans="1:3" x14ac:dyDescent="0.3">
      <c r="A6653" t="s">
        <v>6652</v>
      </c>
      <c r="B6653">
        <f>0*(1-0.8198)</f>
        <v>0</v>
      </c>
      <c r="C6653" s="1">
        <v>2</v>
      </c>
    </row>
    <row r="6654" spans="1:3" x14ac:dyDescent="0.3">
      <c r="A6654" t="s">
        <v>6653</v>
      </c>
      <c r="B6654">
        <f>0*(1-0.8198)</f>
        <v>0</v>
      </c>
      <c r="C6654" s="1">
        <v>2</v>
      </c>
    </row>
    <row r="6655" spans="1:3" x14ac:dyDescent="0.3">
      <c r="A6655" t="s">
        <v>6654</v>
      </c>
      <c r="B6655">
        <f>0*(1-0.8198)</f>
        <v>0</v>
      </c>
      <c r="C6655" s="1">
        <v>3</v>
      </c>
    </row>
    <row r="6656" spans="1:3" x14ac:dyDescent="0.3">
      <c r="A6656" t="s">
        <v>6655</v>
      </c>
      <c r="B6656">
        <f>0.22962*(1-0.8198)</f>
        <v>4.1377524000000013E-2</v>
      </c>
      <c r="C6656" s="1">
        <v>2</v>
      </c>
    </row>
    <row r="6657" spans="1:3" x14ac:dyDescent="0.3">
      <c r="A6657" t="s">
        <v>6656</v>
      </c>
      <c r="B6657">
        <f>9.59480684285714*(1-0.8198)</f>
        <v>1.7289841930828573</v>
      </c>
      <c r="C6657" s="1">
        <v>2</v>
      </c>
    </row>
    <row r="6658" spans="1:3" x14ac:dyDescent="0.3">
      <c r="A6658" t="s">
        <v>6657</v>
      </c>
      <c r="B6658">
        <f>15.3598105771429*(1-0.8198)</f>
        <v>2.7678378660011433</v>
      </c>
      <c r="C6658" s="1">
        <v>3</v>
      </c>
    </row>
    <row r="6659" spans="1:3" x14ac:dyDescent="0.3">
      <c r="A6659" t="s">
        <v>6658</v>
      </c>
      <c r="B6659">
        <f>31.5839676557143*(1-0.8198)</f>
        <v>5.6914309715597167</v>
      </c>
      <c r="C6659" s="1">
        <v>2</v>
      </c>
    </row>
    <row r="6660" spans="1:3" x14ac:dyDescent="0.3">
      <c r="A6660" t="s">
        <v>6659</v>
      </c>
      <c r="B6660">
        <f>28.4247830257143*(1-0.8198)</f>
        <v>5.1221459012337149</v>
      </c>
      <c r="C6660" s="1">
        <v>2</v>
      </c>
    </row>
    <row r="6661" spans="1:3" x14ac:dyDescent="0.3">
      <c r="A6661" t="s">
        <v>6660</v>
      </c>
      <c r="B6661">
        <f>31.4366317185714*(1-0.8198)</f>
        <v>5.664881035686574</v>
      </c>
      <c r="C6661" s="1">
        <v>3</v>
      </c>
    </row>
    <row r="6662" spans="1:3" x14ac:dyDescent="0.3">
      <c r="A6662" t="s">
        <v>6661</v>
      </c>
      <c r="B6662">
        <f>43.6603126071429*(1-0.8198)</f>
        <v>7.867588331807144</v>
      </c>
      <c r="C6662" s="1">
        <v>2</v>
      </c>
    </row>
    <row r="6663" spans="1:3" x14ac:dyDescent="0.3">
      <c r="A6663" t="s">
        <v>6662</v>
      </c>
      <c r="B6663">
        <f>38.9930196914286*(1-0.8198)</f>
        <v>7.0265421483954311</v>
      </c>
      <c r="C6663" s="1">
        <v>2</v>
      </c>
    </row>
    <row r="6664" spans="1:3" x14ac:dyDescent="0.3">
      <c r="A6664" t="s">
        <v>6663</v>
      </c>
      <c r="B6664">
        <f>31.0298562642857*(1-0.8198)</f>
        <v>5.5915800988242879</v>
      </c>
      <c r="C6664" s="1">
        <v>2</v>
      </c>
    </row>
    <row r="6665" spans="1:3" x14ac:dyDescent="0.3">
      <c r="A6665" t="s">
        <v>6664</v>
      </c>
      <c r="B6665">
        <f>18.96062554*(1-0.8198)</f>
        <v>3.4167047223080007</v>
      </c>
      <c r="C6665" s="1">
        <v>3</v>
      </c>
    </row>
    <row r="6666" spans="1:3" x14ac:dyDescent="0.3">
      <c r="A6666" t="s">
        <v>6665</v>
      </c>
      <c r="B6666">
        <f>8.84600072714286*(1-0.8198)</f>
        <v>1.5940493310311432</v>
      </c>
      <c r="C6666" s="1">
        <v>2</v>
      </c>
    </row>
    <row r="6667" spans="1:3" x14ac:dyDescent="0.3">
      <c r="A6667" t="s">
        <v>6666</v>
      </c>
      <c r="B6667">
        <f>0.1419*(1-0.8198)</f>
        <v>2.5570380000000004E-2</v>
      </c>
      <c r="C6667" s="1">
        <v>2</v>
      </c>
    </row>
    <row r="6668" spans="1:3" x14ac:dyDescent="0.3">
      <c r="A6668" t="s">
        <v>6667</v>
      </c>
      <c r="B6668">
        <f>0*(1-0.8198)</f>
        <v>0</v>
      </c>
      <c r="C6668" s="1">
        <v>3</v>
      </c>
    </row>
    <row r="6669" spans="1:3" x14ac:dyDescent="0.3">
      <c r="A6669" t="s">
        <v>6668</v>
      </c>
      <c r="B6669">
        <f>0*(1-0.8198)</f>
        <v>0</v>
      </c>
      <c r="C6669" s="1">
        <v>2</v>
      </c>
    </row>
    <row r="6670" spans="1:3" x14ac:dyDescent="0.3">
      <c r="A6670" t="s">
        <v>6669</v>
      </c>
      <c r="B6670">
        <f>0*(1-0.8198)</f>
        <v>0</v>
      </c>
      <c r="C6670" s="1">
        <v>2</v>
      </c>
    </row>
    <row r="6671" spans="1:3" x14ac:dyDescent="0.3">
      <c r="A6671" t="s">
        <v>6670</v>
      </c>
      <c r="B6671">
        <f>0*(1-0.8198)</f>
        <v>0</v>
      </c>
      <c r="C6671" s="1">
        <v>3</v>
      </c>
    </row>
    <row r="6672" spans="1:3" x14ac:dyDescent="0.3">
      <c r="A6672" t="s">
        <v>6671</v>
      </c>
      <c r="B6672">
        <f>0*(1-0.8198)</f>
        <v>0</v>
      </c>
      <c r="C6672" s="1">
        <v>2</v>
      </c>
    </row>
    <row r="6673" spans="1:3" x14ac:dyDescent="0.3">
      <c r="A6673" t="s">
        <v>6672</v>
      </c>
      <c r="B6673">
        <f>0*(1-0.8198)</f>
        <v>0</v>
      </c>
      <c r="C6673" s="1">
        <v>2</v>
      </c>
    </row>
    <row r="6674" spans="1:3" x14ac:dyDescent="0.3">
      <c r="A6674" t="s">
        <v>6673</v>
      </c>
      <c r="B6674">
        <f>0*(1-0.8198)</f>
        <v>0</v>
      </c>
      <c r="C6674" s="1">
        <v>3</v>
      </c>
    </row>
    <row r="6675" spans="1:3" x14ac:dyDescent="0.3">
      <c r="A6675" t="s">
        <v>6674</v>
      </c>
      <c r="B6675">
        <f>0*(1-0.8198)</f>
        <v>0</v>
      </c>
      <c r="C6675" s="1">
        <v>2</v>
      </c>
    </row>
    <row r="6676" spans="1:3" x14ac:dyDescent="0.3">
      <c r="A6676" t="s">
        <v>6675</v>
      </c>
      <c r="B6676">
        <f>0*(1-0.8198)</f>
        <v>0</v>
      </c>
      <c r="C6676" s="1">
        <v>2</v>
      </c>
    </row>
    <row r="6677" spans="1:3" x14ac:dyDescent="0.3">
      <c r="A6677" t="s">
        <v>6676</v>
      </c>
      <c r="B6677">
        <f>0*(1-0.8198)</f>
        <v>0</v>
      </c>
      <c r="C6677" s="1">
        <v>3</v>
      </c>
    </row>
    <row r="6678" spans="1:3" x14ac:dyDescent="0.3">
      <c r="A6678" t="s">
        <v>6677</v>
      </c>
      <c r="B6678">
        <f>0*(1-0.8198)</f>
        <v>0</v>
      </c>
      <c r="C6678" s="1">
        <v>2</v>
      </c>
    </row>
    <row r="6679" spans="1:3" x14ac:dyDescent="0.3">
      <c r="A6679" t="s">
        <v>6678</v>
      </c>
      <c r="B6679">
        <f>0*(1-0.8198)</f>
        <v>0</v>
      </c>
      <c r="C6679" s="1">
        <v>3</v>
      </c>
    </row>
    <row r="6680" spans="1:3" x14ac:dyDescent="0.3">
      <c r="A6680" t="s">
        <v>6679</v>
      </c>
      <c r="B6680">
        <f>0.18834*(1-0.8198)</f>
        <v>3.3938868000000004E-2</v>
      </c>
      <c r="C6680" s="1">
        <v>2</v>
      </c>
    </row>
    <row r="6681" spans="1:3" x14ac:dyDescent="0.3">
      <c r="A6681" t="s">
        <v>6680</v>
      </c>
      <c r="B6681">
        <f>11.6877128557143*(1-0.8198)</f>
        <v>2.1061258565997152</v>
      </c>
      <c r="C6681" s="1">
        <v>2</v>
      </c>
    </row>
    <row r="6682" spans="1:3" x14ac:dyDescent="0.3">
      <c r="A6682" t="s">
        <v>6681</v>
      </c>
      <c r="B6682">
        <f>23.9982428714286*(1-0.8198)</f>
        <v>4.3244833654314299</v>
      </c>
      <c r="C6682" s="1">
        <v>2</v>
      </c>
    </row>
    <row r="6683" spans="1:3" x14ac:dyDescent="0.3">
      <c r="A6683" t="s">
        <v>6682</v>
      </c>
      <c r="B6683">
        <f>35.0849553542857*(1-0.8198)</f>
        <v>6.3223089548422875</v>
      </c>
      <c r="C6683" s="1">
        <v>3</v>
      </c>
    </row>
    <row r="6684" spans="1:3" x14ac:dyDescent="0.3">
      <c r="A6684" t="s">
        <v>6683</v>
      </c>
      <c r="B6684">
        <f>38.9042167671429*(1-0.8198)</f>
        <v>7.0105398614391436</v>
      </c>
      <c r="C6684" s="1">
        <v>2</v>
      </c>
    </row>
    <row r="6685" spans="1:3" x14ac:dyDescent="0.3">
      <c r="A6685" t="s">
        <v>6684</v>
      </c>
      <c r="B6685">
        <f>37.3155211985714*(1-0.8198)</f>
        <v>6.7242569199825732</v>
      </c>
      <c r="C6685" s="1">
        <v>2</v>
      </c>
    </row>
    <row r="6686" spans="1:3" x14ac:dyDescent="0.3">
      <c r="A6686" t="s">
        <v>6685</v>
      </c>
      <c r="B6686">
        <f>43.2997183542857*(1-0.8198)</f>
        <v>7.8026092474422875</v>
      </c>
      <c r="C6686" s="1">
        <v>3</v>
      </c>
    </row>
    <row r="6687" spans="1:3" x14ac:dyDescent="0.3">
      <c r="A6687" t="s">
        <v>6686</v>
      </c>
      <c r="B6687">
        <f>40.7380832857143*(1-0.8198)</f>
        <v>7.3410026080857156</v>
      </c>
      <c r="C6687" s="1">
        <v>2</v>
      </c>
    </row>
    <row r="6688" spans="1:3" x14ac:dyDescent="0.3">
      <c r="A6688" t="s">
        <v>6687</v>
      </c>
      <c r="B6688">
        <f>32.4143282471429*(1-0.8198)</f>
        <v>5.8410619501351446</v>
      </c>
      <c r="C6688" s="1">
        <v>2</v>
      </c>
    </row>
    <row r="6689" spans="1:3" x14ac:dyDescent="0.3">
      <c r="A6689" t="s">
        <v>6688</v>
      </c>
      <c r="B6689">
        <f>21.4373424885714*(1-0.8198)</f>
        <v>3.8630091164405727</v>
      </c>
      <c r="C6689" s="1">
        <v>3</v>
      </c>
    </row>
    <row r="6690" spans="1:3" x14ac:dyDescent="0.3">
      <c r="A6690" t="s">
        <v>6689</v>
      </c>
      <c r="B6690">
        <f>8.68780557*(1-0.8198)</f>
        <v>1.5655425637140006</v>
      </c>
      <c r="C6690" s="1">
        <v>3</v>
      </c>
    </row>
    <row r="6691" spans="1:3" x14ac:dyDescent="0.3">
      <c r="A6691" t="s">
        <v>6690</v>
      </c>
      <c r="B6691">
        <f>0.1032*(1-0.8198)</f>
        <v>1.8596640000000005E-2</v>
      </c>
      <c r="C6691" s="1">
        <v>2</v>
      </c>
    </row>
    <row r="6692" spans="1:3" x14ac:dyDescent="0.3">
      <c r="A6692" t="s">
        <v>6691</v>
      </c>
      <c r="B6692">
        <f>0*(1-0.8198)</f>
        <v>0</v>
      </c>
      <c r="C6692" s="1">
        <v>2</v>
      </c>
    </row>
    <row r="6693" spans="1:3" x14ac:dyDescent="0.3">
      <c r="A6693" t="s">
        <v>6692</v>
      </c>
      <c r="B6693">
        <f>0*(1-0.8198)</f>
        <v>0</v>
      </c>
      <c r="C6693" s="1">
        <v>2</v>
      </c>
    </row>
    <row r="6694" spans="1:3" x14ac:dyDescent="0.3">
      <c r="A6694" t="s">
        <v>6693</v>
      </c>
      <c r="B6694">
        <f>0*(1-0.8198)</f>
        <v>0</v>
      </c>
      <c r="C6694" s="1">
        <v>3</v>
      </c>
    </row>
    <row r="6695" spans="1:3" x14ac:dyDescent="0.3">
      <c r="A6695" t="s">
        <v>6694</v>
      </c>
      <c r="B6695">
        <f>0*(1-0.8198)</f>
        <v>0</v>
      </c>
      <c r="C6695" s="1">
        <v>2</v>
      </c>
    </row>
    <row r="6696" spans="1:3" x14ac:dyDescent="0.3">
      <c r="A6696" t="s">
        <v>6695</v>
      </c>
      <c r="B6696">
        <f>0*(1-0.8198)</f>
        <v>0</v>
      </c>
      <c r="C6696" s="1">
        <v>3</v>
      </c>
    </row>
    <row r="6697" spans="1:3" x14ac:dyDescent="0.3">
      <c r="A6697" t="s">
        <v>6696</v>
      </c>
      <c r="B6697">
        <f>0*(1-0.8198)</f>
        <v>0</v>
      </c>
      <c r="C6697" s="1">
        <v>2</v>
      </c>
    </row>
    <row r="6698" spans="1:3" x14ac:dyDescent="0.3">
      <c r="A6698" t="s">
        <v>6697</v>
      </c>
      <c r="B6698">
        <f>0*(1-0.8198)</f>
        <v>0</v>
      </c>
      <c r="C6698" s="1">
        <v>2</v>
      </c>
    </row>
    <row r="6699" spans="1:3" x14ac:dyDescent="0.3">
      <c r="A6699" t="s">
        <v>6698</v>
      </c>
      <c r="B6699">
        <f>0*(1-0.8198)</f>
        <v>0</v>
      </c>
      <c r="C6699" s="1">
        <v>3</v>
      </c>
    </row>
    <row r="6700" spans="1:3" x14ac:dyDescent="0.3">
      <c r="A6700" t="s">
        <v>6699</v>
      </c>
      <c r="B6700">
        <f>0*(1-0.8198)</f>
        <v>0</v>
      </c>
      <c r="C6700" s="1">
        <v>2</v>
      </c>
    </row>
    <row r="6701" spans="1:3" x14ac:dyDescent="0.3">
      <c r="A6701" t="s">
        <v>6700</v>
      </c>
      <c r="B6701">
        <f>0*(1-0.8198)</f>
        <v>0</v>
      </c>
      <c r="C6701" s="1">
        <v>2</v>
      </c>
    </row>
    <row r="6702" spans="1:3" x14ac:dyDescent="0.3">
      <c r="A6702" t="s">
        <v>6701</v>
      </c>
      <c r="B6702">
        <f>0*(1-0.8198)</f>
        <v>0</v>
      </c>
      <c r="C6702" s="1">
        <v>2</v>
      </c>
    </row>
    <row r="6703" spans="1:3" x14ac:dyDescent="0.3">
      <c r="A6703" t="s">
        <v>6702</v>
      </c>
      <c r="B6703">
        <f>0*(1-0.8198)</f>
        <v>0</v>
      </c>
      <c r="C6703" s="1">
        <v>3</v>
      </c>
    </row>
    <row r="6704" spans="1:3" x14ac:dyDescent="0.3">
      <c r="A6704" t="s">
        <v>6703</v>
      </c>
      <c r="B6704">
        <f>0.1075*(1-0.8198)</f>
        <v>1.9371500000000003E-2</v>
      </c>
      <c r="C6704" s="1">
        <v>10</v>
      </c>
    </row>
    <row r="6705" spans="1:3" x14ac:dyDescent="0.3">
      <c r="A6705" t="s">
        <v>6704</v>
      </c>
      <c r="B6705">
        <f>10.5910667171429*(1-0.8198)</f>
        <v>1.9085102224291435</v>
      </c>
      <c r="C6705" s="1">
        <v>13</v>
      </c>
    </row>
    <row r="6706" spans="1:3" x14ac:dyDescent="0.3">
      <c r="A6706" t="s">
        <v>6705</v>
      </c>
      <c r="B6706">
        <f>18.4323667314286*(1-0.8198)</f>
        <v>3.3215124850034292</v>
      </c>
      <c r="C6706" s="1">
        <v>18</v>
      </c>
    </row>
    <row r="6707" spans="1:3" x14ac:dyDescent="0.3">
      <c r="A6707" t="s">
        <v>6706</v>
      </c>
      <c r="B6707">
        <f>28.9271906642857*(1-0.8198)</f>
        <v>5.2126797577042874</v>
      </c>
      <c r="C6707" s="1">
        <v>15</v>
      </c>
    </row>
    <row r="6708" spans="1:3" x14ac:dyDescent="0.3">
      <c r="A6708" t="s">
        <v>6707</v>
      </c>
      <c r="B6708">
        <f>42.0540276428571*(1-0.8198)</f>
        <v>7.5781357812428585</v>
      </c>
      <c r="C6708" s="1">
        <v>14</v>
      </c>
    </row>
    <row r="6709" spans="1:3" x14ac:dyDescent="0.3">
      <c r="A6709" t="s">
        <v>6708</v>
      </c>
      <c r="B6709">
        <f>45.4015906657143*(1-0.8198)</f>
        <v>8.1813666379617178</v>
      </c>
      <c r="C6709" s="1">
        <v>13</v>
      </c>
    </row>
    <row r="6710" spans="1:3" x14ac:dyDescent="0.3">
      <c r="A6710" t="s">
        <v>6709</v>
      </c>
      <c r="B6710">
        <f>40.5849384785714*(1-0.8198)</f>
        <v>7.3134059138385741</v>
      </c>
      <c r="C6710" s="1">
        <v>15</v>
      </c>
    </row>
    <row r="6711" spans="1:3" x14ac:dyDescent="0.3">
      <c r="A6711" t="s">
        <v>6710</v>
      </c>
      <c r="B6711">
        <f>38.1173791171429*(1-0.8198)</f>
        <v>6.8687517169091441</v>
      </c>
      <c r="C6711" s="1">
        <v>12</v>
      </c>
    </row>
    <row r="6712" spans="1:3" x14ac:dyDescent="0.3">
      <c r="A6712" t="s">
        <v>6711</v>
      </c>
      <c r="B6712">
        <f>30.4310824314286*(1-0.8198)</f>
        <v>5.4836810541434291</v>
      </c>
      <c r="C6712" s="1">
        <v>10</v>
      </c>
    </row>
    <row r="6713" spans="1:3" x14ac:dyDescent="0.3">
      <c r="A6713" t="s">
        <v>6712</v>
      </c>
      <c r="B6713">
        <f>19.3105432*(1-0.8198)</f>
        <v>3.47975988464</v>
      </c>
      <c r="C6713" s="1">
        <v>9</v>
      </c>
    </row>
    <row r="6714" spans="1:3" x14ac:dyDescent="0.3">
      <c r="A6714" t="s">
        <v>6713</v>
      </c>
      <c r="B6714">
        <f>7.72787436857143*(1-0.8198)</f>
        <v>1.3925629612165717</v>
      </c>
      <c r="C6714" s="1">
        <v>7</v>
      </c>
    </row>
    <row r="6715" spans="1:3" x14ac:dyDescent="0.3">
      <c r="A6715" t="s">
        <v>6714</v>
      </c>
      <c r="B6715">
        <f>0.03354*(1-0.8198)</f>
        <v>6.0439080000000023E-3</v>
      </c>
      <c r="C6715" s="1">
        <v>6</v>
      </c>
    </row>
    <row r="6716" spans="1:3" x14ac:dyDescent="0.3">
      <c r="A6716" t="s">
        <v>6715</v>
      </c>
      <c r="B6716">
        <f>0*(1-0.8198)</f>
        <v>0</v>
      </c>
      <c r="C6716" s="1">
        <v>7</v>
      </c>
    </row>
    <row r="6717" spans="1:3" x14ac:dyDescent="0.3">
      <c r="A6717" t="s">
        <v>6716</v>
      </c>
      <c r="B6717">
        <f>0*(1-0.8198)</f>
        <v>0</v>
      </c>
      <c r="C6717" s="1">
        <v>5</v>
      </c>
    </row>
    <row r="6718" spans="1:3" x14ac:dyDescent="0.3">
      <c r="A6718" t="s">
        <v>6717</v>
      </c>
      <c r="B6718">
        <f>0*(1-0.8198)</f>
        <v>0</v>
      </c>
      <c r="C6718" s="1">
        <v>6</v>
      </c>
    </row>
    <row r="6719" spans="1:3" x14ac:dyDescent="0.3">
      <c r="A6719" t="s">
        <v>6718</v>
      </c>
      <c r="B6719">
        <f>0*(1-0.8198)</f>
        <v>0</v>
      </c>
      <c r="C6719" s="1">
        <v>5</v>
      </c>
    </row>
    <row r="6720" spans="1:3" x14ac:dyDescent="0.3">
      <c r="A6720" t="s">
        <v>6719</v>
      </c>
      <c r="B6720">
        <f>0*(1-0.8198)</f>
        <v>0</v>
      </c>
      <c r="C6720" s="1">
        <v>4</v>
      </c>
    </row>
    <row r="6721" spans="1:3" x14ac:dyDescent="0.3">
      <c r="A6721" t="s">
        <v>6720</v>
      </c>
      <c r="B6721">
        <f>0*(1-0.8198)</f>
        <v>0</v>
      </c>
      <c r="C6721" s="1">
        <v>2</v>
      </c>
    </row>
    <row r="6722" spans="1:3" x14ac:dyDescent="0.3">
      <c r="A6722" t="s">
        <v>6721</v>
      </c>
      <c r="B6722">
        <f>0*(1-0.8198)</f>
        <v>0</v>
      </c>
      <c r="C6722" s="1">
        <v>2</v>
      </c>
    </row>
    <row r="6723" spans="1:3" x14ac:dyDescent="0.3">
      <c r="A6723" t="s">
        <v>6722</v>
      </c>
      <c r="B6723">
        <f>0*(1-0.8198)</f>
        <v>0</v>
      </c>
      <c r="C6723" s="1">
        <v>3</v>
      </c>
    </row>
    <row r="6724" spans="1:3" x14ac:dyDescent="0.3">
      <c r="A6724" t="s">
        <v>6723</v>
      </c>
      <c r="B6724">
        <f>0*(1-0.8198)</f>
        <v>0</v>
      </c>
      <c r="C6724" s="1">
        <v>2</v>
      </c>
    </row>
    <row r="6725" spans="1:3" x14ac:dyDescent="0.3">
      <c r="A6725" t="s">
        <v>6724</v>
      </c>
      <c r="B6725">
        <f>0*(1-0.8198)</f>
        <v>0</v>
      </c>
      <c r="C6725" s="1">
        <v>2</v>
      </c>
    </row>
    <row r="6726" spans="1:3" x14ac:dyDescent="0.3">
      <c r="A6726" t="s">
        <v>6725</v>
      </c>
      <c r="B6726">
        <f>0*(1-0.8198)</f>
        <v>0</v>
      </c>
      <c r="C6726" s="1">
        <v>3</v>
      </c>
    </row>
    <row r="6727" spans="1:3" x14ac:dyDescent="0.3">
      <c r="A6727" t="s">
        <v>6726</v>
      </c>
      <c r="B6727">
        <f>0*(1-0.8198)</f>
        <v>0</v>
      </c>
      <c r="C6727" s="1">
        <v>2</v>
      </c>
    </row>
    <row r="6728" spans="1:3" x14ac:dyDescent="0.3">
      <c r="A6728" t="s">
        <v>6727</v>
      </c>
      <c r="B6728">
        <f>0.06966*(1-0.8198)</f>
        <v>1.2552732000000002E-2</v>
      </c>
      <c r="C6728" s="1">
        <v>8</v>
      </c>
    </row>
    <row r="6729" spans="1:3" x14ac:dyDescent="0.3">
      <c r="A6729" t="s">
        <v>6728</v>
      </c>
      <c r="B6729">
        <f>11.4066979657143*(1-0.8198)</f>
        <v>2.0554869734217149</v>
      </c>
      <c r="C6729" s="1">
        <v>12</v>
      </c>
    </row>
    <row r="6730" spans="1:3" x14ac:dyDescent="0.3">
      <c r="A6730" t="s">
        <v>6729</v>
      </c>
      <c r="B6730">
        <f>23.5476722857143*(1-0.8198)</f>
        <v>4.2432905458857153</v>
      </c>
      <c r="C6730" s="1">
        <v>12</v>
      </c>
    </row>
    <row r="6731" spans="1:3" x14ac:dyDescent="0.3">
      <c r="A6731" t="s">
        <v>6730</v>
      </c>
      <c r="B6731">
        <f>35.1930242442857*(1-0.8198)</f>
        <v>6.3417829688202874</v>
      </c>
      <c r="C6731" s="1">
        <v>18</v>
      </c>
    </row>
    <row r="6732" spans="1:3" x14ac:dyDescent="0.3">
      <c r="A6732" t="s">
        <v>6731</v>
      </c>
      <c r="B6732">
        <f>42.94828519*(1-0.8198)</f>
        <v>7.7392809912380027</v>
      </c>
      <c r="C6732" s="1">
        <v>13</v>
      </c>
    </row>
    <row r="6733" spans="1:3" x14ac:dyDescent="0.3">
      <c r="A6733" t="s">
        <v>6732</v>
      </c>
      <c r="B6733">
        <f>46.32337583*(1-0.8198)</f>
        <v>8.3474723245660023</v>
      </c>
      <c r="C6733" s="1">
        <v>14</v>
      </c>
    </row>
    <row r="6734" spans="1:3" x14ac:dyDescent="0.3">
      <c r="A6734" t="s">
        <v>6733</v>
      </c>
      <c r="B6734">
        <f>46.0820118542857*(1-0.8198)</f>
        <v>8.3039785361422886</v>
      </c>
      <c r="C6734" s="1">
        <v>16</v>
      </c>
    </row>
    <row r="6735" spans="1:3" x14ac:dyDescent="0.3">
      <c r="A6735" t="s">
        <v>6734</v>
      </c>
      <c r="B6735">
        <f>41.5177419014286*(1-0.8198)</f>
        <v>7.4814970906374301</v>
      </c>
      <c r="C6735" s="1">
        <v>11</v>
      </c>
    </row>
    <row r="6736" spans="1:3" x14ac:dyDescent="0.3">
      <c r="A6736" t="s">
        <v>6735</v>
      </c>
      <c r="B6736">
        <f>33.3497098885714*(1-0.8198)</f>
        <v>6.0096177219205744</v>
      </c>
      <c r="C6736" s="1">
        <v>10</v>
      </c>
    </row>
    <row r="6737" spans="1:3" x14ac:dyDescent="0.3">
      <c r="A6737" t="s">
        <v>6736</v>
      </c>
      <c r="B6737">
        <f>21.4405613457143*(1-0.8198)</f>
        <v>3.8635891544977148</v>
      </c>
      <c r="C6737" s="1">
        <v>9</v>
      </c>
    </row>
    <row r="6738" spans="1:3" x14ac:dyDescent="0.3">
      <c r="A6738" t="s">
        <v>6737</v>
      </c>
      <c r="B6738">
        <f>8.30951454428571*(1-0.8198)</f>
        <v>1.4973745208802858</v>
      </c>
      <c r="C6738" s="1">
        <v>7</v>
      </c>
    </row>
    <row r="6739" spans="1:3" x14ac:dyDescent="0.3">
      <c r="A6739" t="s">
        <v>6738</v>
      </c>
      <c r="B6739">
        <f>0*(1-0.8198)</f>
        <v>0</v>
      </c>
      <c r="C6739" s="1">
        <v>7</v>
      </c>
    </row>
    <row r="6740" spans="1:3" x14ac:dyDescent="0.3">
      <c r="A6740" t="s">
        <v>6739</v>
      </c>
      <c r="B6740">
        <f>0*(1-0.8198)</f>
        <v>0</v>
      </c>
      <c r="C6740" s="1">
        <v>7</v>
      </c>
    </row>
    <row r="6741" spans="1:3" x14ac:dyDescent="0.3">
      <c r="A6741" t="s">
        <v>6740</v>
      </c>
      <c r="B6741">
        <f>0*(1-0.8198)</f>
        <v>0</v>
      </c>
      <c r="C6741" s="1">
        <v>7</v>
      </c>
    </row>
    <row r="6742" spans="1:3" x14ac:dyDescent="0.3">
      <c r="A6742" t="s">
        <v>6741</v>
      </c>
      <c r="B6742">
        <f>0*(1-0.8198)</f>
        <v>0</v>
      </c>
      <c r="C6742" s="1">
        <v>6</v>
      </c>
    </row>
    <row r="6743" spans="1:3" x14ac:dyDescent="0.3">
      <c r="A6743" t="s">
        <v>6742</v>
      </c>
      <c r="B6743">
        <f>0*(1-0.8198)</f>
        <v>0</v>
      </c>
      <c r="C6743" s="1">
        <v>5</v>
      </c>
    </row>
    <row r="6744" spans="1:3" x14ac:dyDescent="0.3">
      <c r="A6744" t="s">
        <v>6743</v>
      </c>
      <c r="B6744">
        <f>0*(1-0.8198)</f>
        <v>0</v>
      </c>
      <c r="C6744" s="1">
        <v>4</v>
      </c>
    </row>
    <row r="6745" spans="1:3" x14ac:dyDescent="0.3">
      <c r="A6745" t="s">
        <v>6744</v>
      </c>
      <c r="B6745">
        <f>0*(1-0.8198)</f>
        <v>0</v>
      </c>
      <c r="C6745" s="1">
        <v>3</v>
      </c>
    </row>
    <row r="6746" spans="1:3" x14ac:dyDescent="0.3">
      <c r="A6746" t="s">
        <v>6745</v>
      </c>
      <c r="B6746">
        <f>0*(1-0.8198)</f>
        <v>0</v>
      </c>
      <c r="C6746" s="1">
        <v>2</v>
      </c>
    </row>
    <row r="6747" spans="1:3" x14ac:dyDescent="0.3">
      <c r="A6747" t="s">
        <v>6746</v>
      </c>
      <c r="B6747">
        <f>0*(1-0.8198)</f>
        <v>0</v>
      </c>
      <c r="C6747" s="1">
        <v>3</v>
      </c>
    </row>
    <row r="6748" spans="1:3" x14ac:dyDescent="0.3">
      <c r="A6748" t="s">
        <v>6747</v>
      </c>
      <c r="B6748">
        <f>0*(1-0.8198)</f>
        <v>0</v>
      </c>
      <c r="C6748" s="1">
        <v>3</v>
      </c>
    </row>
    <row r="6749" spans="1:3" x14ac:dyDescent="0.3">
      <c r="A6749" t="s">
        <v>6748</v>
      </c>
      <c r="B6749">
        <f>0*(1-0.8198)</f>
        <v>0</v>
      </c>
      <c r="C6749" s="1">
        <v>2</v>
      </c>
    </row>
    <row r="6750" spans="1:3" x14ac:dyDescent="0.3">
      <c r="A6750" t="s">
        <v>6749</v>
      </c>
      <c r="B6750">
        <f>0*(1-0.8198)</f>
        <v>0</v>
      </c>
      <c r="C6750" s="1">
        <v>3</v>
      </c>
    </row>
    <row r="6751" spans="1:3" x14ac:dyDescent="0.3">
      <c r="A6751" t="s">
        <v>6750</v>
      </c>
      <c r="B6751">
        <f>0*(1-0.8198)</f>
        <v>0</v>
      </c>
      <c r="C6751" s="1">
        <v>2</v>
      </c>
    </row>
    <row r="6752" spans="1:3" x14ac:dyDescent="0.3">
      <c r="A6752" t="s">
        <v>6751</v>
      </c>
      <c r="B6752">
        <f>0.00516*(1-0.8198)</f>
        <v>9.2983200000000023E-4</v>
      </c>
      <c r="C6752" s="1">
        <v>8</v>
      </c>
    </row>
    <row r="6753" spans="1:3" x14ac:dyDescent="0.3">
      <c r="A6753" t="s">
        <v>6752</v>
      </c>
      <c r="B6753">
        <f>11.3087620871429*(1-0.8198)</f>
        <v>2.0378389281031435</v>
      </c>
      <c r="C6753" s="1">
        <v>14</v>
      </c>
    </row>
    <row r="6754" spans="1:3" x14ac:dyDescent="0.3">
      <c r="A6754" t="s">
        <v>6753</v>
      </c>
      <c r="B6754">
        <f>24.4019761371429*(1-0.8198)</f>
        <v>4.397236099913143</v>
      </c>
      <c r="C6754" s="1">
        <v>17</v>
      </c>
    </row>
    <row r="6755" spans="1:3" x14ac:dyDescent="0.3">
      <c r="A6755" t="s">
        <v>6754</v>
      </c>
      <c r="B6755">
        <f>35.6262992471429*(1-0.8198)</f>
        <v>6.4198591243351446</v>
      </c>
      <c r="C6755" s="1">
        <v>18</v>
      </c>
    </row>
    <row r="6756" spans="1:3" x14ac:dyDescent="0.3">
      <c r="A6756" t="s">
        <v>6755</v>
      </c>
      <c r="B6756">
        <f>42.85336828*(1-0.8198)</f>
        <v>7.7221769640560005</v>
      </c>
      <c r="C6756" s="1">
        <v>16</v>
      </c>
    </row>
    <row r="6757" spans="1:3" x14ac:dyDescent="0.3">
      <c r="A6757" t="s">
        <v>6756</v>
      </c>
      <c r="B6757">
        <f>46.2050237971429*(1-0.8198)</f>
        <v>8.3261452882451454</v>
      </c>
      <c r="C6757" s="1">
        <v>14</v>
      </c>
    </row>
    <row r="6758" spans="1:3" x14ac:dyDescent="0.3">
      <c r="A6758" t="s">
        <v>6757</v>
      </c>
      <c r="B6758">
        <f>45.8723029428571*(1-0.8198)</f>
        <v>8.2661889903028598</v>
      </c>
      <c r="C6758" s="1">
        <v>13</v>
      </c>
    </row>
    <row r="6759" spans="1:3" x14ac:dyDescent="0.3">
      <c r="A6759" t="s">
        <v>6758</v>
      </c>
      <c r="B6759">
        <f>41.2658122114286*(1-0.8198)</f>
        <v>7.4360993604994299</v>
      </c>
      <c r="C6759" s="1">
        <v>11</v>
      </c>
    </row>
    <row r="6760" spans="1:3" x14ac:dyDescent="0.3">
      <c r="A6760" t="s">
        <v>6759</v>
      </c>
      <c r="B6760">
        <f>32.84046138*(1-0.8198)</f>
        <v>5.9178511406760013</v>
      </c>
      <c r="C6760" s="1">
        <v>9</v>
      </c>
    </row>
    <row r="6761" spans="1:3" x14ac:dyDescent="0.3">
      <c r="A6761" t="s">
        <v>6760</v>
      </c>
      <c r="B6761">
        <f>21.0707324742857*(1-0.8198)</f>
        <v>3.7969459918662865</v>
      </c>
      <c r="C6761" s="1">
        <v>10</v>
      </c>
    </row>
    <row r="6762" spans="1:3" x14ac:dyDescent="0.3">
      <c r="A6762" t="s">
        <v>6761</v>
      </c>
      <c r="B6762">
        <f>7.99771251428572*(1-0.8198)</f>
        <v>1.4411877950742862</v>
      </c>
      <c r="C6762" s="1">
        <v>8</v>
      </c>
    </row>
    <row r="6763" spans="1:3" x14ac:dyDescent="0.3">
      <c r="A6763" t="s">
        <v>6762</v>
      </c>
      <c r="B6763">
        <f>0*(1-0.8198)</f>
        <v>0</v>
      </c>
      <c r="C6763" s="1">
        <v>6</v>
      </c>
    </row>
    <row r="6764" spans="1:3" x14ac:dyDescent="0.3">
      <c r="A6764" t="s">
        <v>6763</v>
      </c>
      <c r="B6764">
        <f>0*(1-0.8198)</f>
        <v>0</v>
      </c>
      <c r="C6764" s="1">
        <v>8</v>
      </c>
    </row>
    <row r="6765" spans="1:3" x14ac:dyDescent="0.3">
      <c r="A6765" t="s">
        <v>6764</v>
      </c>
      <c r="B6765">
        <f>0*(1-0.8198)</f>
        <v>0</v>
      </c>
      <c r="C6765" s="1">
        <v>8</v>
      </c>
    </row>
    <row r="6766" spans="1:3" x14ac:dyDescent="0.3">
      <c r="A6766" t="s">
        <v>6765</v>
      </c>
      <c r="B6766">
        <f>0*(1-0.8198)</f>
        <v>0</v>
      </c>
      <c r="C6766" s="1">
        <v>7</v>
      </c>
    </row>
    <row r="6767" spans="1:3" x14ac:dyDescent="0.3">
      <c r="A6767" t="s">
        <v>6766</v>
      </c>
      <c r="B6767">
        <f>0*(1-0.8198)</f>
        <v>0</v>
      </c>
      <c r="C6767" s="1">
        <v>6</v>
      </c>
    </row>
    <row r="6768" spans="1:3" x14ac:dyDescent="0.3">
      <c r="A6768" t="s">
        <v>6767</v>
      </c>
      <c r="B6768">
        <f>0*(1-0.8198)</f>
        <v>0</v>
      </c>
      <c r="C6768" s="1">
        <v>4</v>
      </c>
    </row>
    <row r="6769" spans="1:3" x14ac:dyDescent="0.3">
      <c r="A6769" t="s">
        <v>6768</v>
      </c>
      <c r="B6769">
        <f>0*(1-0.8198)</f>
        <v>0</v>
      </c>
      <c r="C6769" s="1">
        <v>3</v>
      </c>
    </row>
    <row r="6770" spans="1:3" x14ac:dyDescent="0.3">
      <c r="A6770" t="s">
        <v>6769</v>
      </c>
      <c r="B6770">
        <f>0*(1-0.8198)</f>
        <v>0</v>
      </c>
      <c r="C6770" s="1">
        <v>3</v>
      </c>
    </row>
    <row r="6771" spans="1:3" x14ac:dyDescent="0.3">
      <c r="A6771" t="s">
        <v>6770</v>
      </c>
      <c r="B6771">
        <f>0*(1-0.8198)</f>
        <v>0</v>
      </c>
      <c r="C6771" s="1">
        <v>2</v>
      </c>
    </row>
    <row r="6772" spans="1:3" x14ac:dyDescent="0.3">
      <c r="A6772" t="s">
        <v>6771</v>
      </c>
      <c r="B6772">
        <f>0*(1-0.8198)</f>
        <v>0</v>
      </c>
      <c r="C6772" s="1">
        <v>3</v>
      </c>
    </row>
    <row r="6773" spans="1:3" x14ac:dyDescent="0.3">
      <c r="A6773" t="s">
        <v>6772</v>
      </c>
      <c r="B6773">
        <f>0*(1-0.8198)</f>
        <v>0</v>
      </c>
      <c r="C6773" s="1">
        <v>3</v>
      </c>
    </row>
    <row r="6774" spans="1:3" x14ac:dyDescent="0.3">
      <c r="A6774" t="s">
        <v>6773</v>
      </c>
      <c r="B6774">
        <f>0*(1-0.8198)</f>
        <v>0</v>
      </c>
      <c r="C6774" s="1">
        <v>2</v>
      </c>
    </row>
    <row r="6775" spans="1:3" x14ac:dyDescent="0.3">
      <c r="A6775" t="s">
        <v>6774</v>
      </c>
      <c r="B6775">
        <f>0*(1-0.8198)</f>
        <v>0</v>
      </c>
      <c r="C6775" s="1">
        <v>3</v>
      </c>
    </row>
    <row r="6776" spans="1:3" x14ac:dyDescent="0.3">
      <c r="A6776" t="s">
        <v>6775</v>
      </c>
      <c r="B6776">
        <f>0*(1-0.8198)</f>
        <v>0</v>
      </c>
      <c r="C6776" s="1">
        <v>9</v>
      </c>
    </row>
    <row r="6777" spans="1:3" x14ac:dyDescent="0.3">
      <c r="A6777" t="s">
        <v>6776</v>
      </c>
      <c r="B6777">
        <f>11.3518668842857*(1-0.8198)</f>
        <v>2.0456064125482865</v>
      </c>
      <c r="C6777" s="1">
        <v>14</v>
      </c>
    </row>
    <row r="6778" spans="1:3" x14ac:dyDescent="0.3">
      <c r="A6778" t="s">
        <v>6777</v>
      </c>
      <c r="B6778">
        <f>24.3018752085714*(1-0.8198)</f>
        <v>4.3791979125845728</v>
      </c>
      <c r="C6778" s="1">
        <v>19</v>
      </c>
    </row>
    <row r="6779" spans="1:3" x14ac:dyDescent="0.3">
      <c r="A6779" t="s">
        <v>6778</v>
      </c>
      <c r="B6779">
        <f>35.3171970028571*(1-0.8198)</f>
        <v>6.3641588999148579</v>
      </c>
      <c r="C6779" s="1">
        <v>18</v>
      </c>
    </row>
    <row r="6780" spans="1:3" x14ac:dyDescent="0.3">
      <c r="A6780" t="s">
        <v>6779</v>
      </c>
      <c r="B6780">
        <f>42.7566902742857*(1-0.8198)</f>
        <v>7.7047555874262885</v>
      </c>
      <c r="C6780" s="1">
        <v>15</v>
      </c>
    </row>
    <row r="6781" spans="1:3" x14ac:dyDescent="0.3">
      <c r="A6781" t="s">
        <v>6780</v>
      </c>
      <c r="B6781">
        <f>46.1006279671428*(1-0.8198)</f>
        <v>8.3073331596791427</v>
      </c>
      <c r="C6781" s="1">
        <v>14</v>
      </c>
    </row>
    <row r="6782" spans="1:3" x14ac:dyDescent="0.3">
      <c r="A6782" t="s">
        <v>6781</v>
      </c>
      <c r="B6782">
        <f>45.46605258*(1-0.8198)</f>
        <v>8.1929826749160011</v>
      </c>
      <c r="C6782" s="1">
        <v>13</v>
      </c>
    </row>
    <row r="6783" spans="1:3" x14ac:dyDescent="0.3">
      <c r="A6783" t="s">
        <v>6782</v>
      </c>
      <c r="B6783">
        <f>41.0673094071429*(1-0.8198)</f>
        <v>7.4003291551671451</v>
      </c>
      <c r="C6783" s="1">
        <v>15</v>
      </c>
    </row>
    <row r="6784" spans="1:3" x14ac:dyDescent="0.3">
      <c r="A6784" t="s">
        <v>6783</v>
      </c>
      <c r="B6784">
        <f>32.6445423228571*(1-0.8198)</f>
        <v>5.8825465265788575</v>
      </c>
      <c r="C6784" s="1">
        <v>11</v>
      </c>
    </row>
    <row r="6785" spans="1:3" x14ac:dyDescent="0.3">
      <c r="A6785" t="s">
        <v>6784</v>
      </c>
      <c r="B6785">
        <f>20.7632305671429*(1-0.8198)</f>
        <v>3.7415341481991438</v>
      </c>
      <c r="C6785" s="1">
        <v>11</v>
      </c>
    </row>
    <row r="6786" spans="1:3" x14ac:dyDescent="0.3">
      <c r="A6786" t="s">
        <v>6785</v>
      </c>
      <c r="B6786">
        <f>7.58890973285714*(1-0.8198)</f>
        <v>1.3675215338608575</v>
      </c>
      <c r="C6786" s="1">
        <v>8</v>
      </c>
    </row>
    <row r="6787" spans="1:3" x14ac:dyDescent="0.3">
      <c r="A6787" t="s">
        <v>6786</v>
      </c>
      <c r="B6787">
        <f>0*(1-0.8198)</f>
        <v>0</v>
      </c>
      <c r="C6787" s="1">
        <v>7</v>
      </c>
    </row>
    <row r="6788" spans="1:3" x14ac:dyDescent="0.3">
      <c r="A6788" t="s">
        <v>6787</v>
      </c>
      <c r="B6788">
        <f>0*(1-0.8198)</f>
        <v>0</v>
      </c>
      <c r="C6788" s="1">
        <v>6</v>
      </c>
    </row>
    <row r="6789" spans="1:3" x14ac:dyDescent="0.3">
      <c r="A6789" t="s">
        <v>6788</v>
      </c>
      <c r="B6789">
        <f>0*(1-0.8198)</f>
        <v>0</v>
      </c>
      <c r="C6789" s="1">
        <v>6</v>
      </c>
    </row>
    <row r="6790" spans="1:3" x14ac:dyDescent="0.3">
      <c r="A6790" t="s">
        <v>6789</v>
      </c>
      <c r="B6790">
        <f>0*(1-0.8198)</f>
        <v>0</v>
      </c>
      <c r="C6790" s="1">
        <v>4</v>
      </c>
    </row>
    <row r="6791" spans="1:3" x14ac:dyDescent="0.3">
      <c r="A6791" t="s">
        <v>6790</v>
      </c>
      <c r="B6791">
        <f>0*(1-0.8198)</f>
        <v>0</v>
      </c>
      <c r="C6791" s="1">
        <v>5</v>
      </c>
    </row>
    <row r="6792" spans="1:3" x14ac:dyDescent="0.3">
      <c r="A6792" t="s">
        <v>6791</v>
      </c>
      <c r="B6792">
        <f>0*(1-0.8198)</f>
        <v>0</v>
      </c>
      <c r="C6792" s="1">
        <v>4</v>
      </c>
    </row>
    <row r="6793" spans="1:3" x14ac:dyDescent="0.3">
      <c r="A6793" t="s">
        <v>6792</v>
      </c>
      <c r="B6793">
        <f>0*(1-0.8198)</f>
        <v>0</v>
      </c>
      <c r="C6793" s="1">
        <v>3</v>
      </c>
    </row>
    <row r="6794" spans="1:3" x14ac:dyDescent="0.3">
      <c r="A6794" t="s">
        <v>6793</v>
      </c>
      <c r="B6794">
        <f>0*(1-0.8198)</f>
        <v>0</v>
      </c>
      <c r="C6794" s="1">
        <v>3</v>
      </c>
    </row>
    <row r="6795" spans="1:3" x14ac:dyDescent="0.3">
      <c r="A6795" t="s">
        <v>6794</v>
      </c>
      <c r="B6795">
        <f>0*(1-0.8198)</f>
        <v>0</v>
      </c>
      <c r="C6795" s="1">
        <v>2</v>
      </c>
    </row>
    <row r="6796" spans="1:3" x14ac:dyDescent="0.3">
      <c r="A6796" t="s">
        <v>6795</v>
      </c>
      <c r="B6796">
        <f>0*(1-0.8198)</f>
        <v>0</v>
      </c>
      <c r="C6796" s="1">
        <v>3</v>
      </c>
    </row>
    <row r="6797" spans="1:3" x14ac:dyDescent="0.3">
      <c r="A6797" t="s">
        <v>6796</v>
      </c>
      <c r="B6797">
        <f>0*(1-0.8198)</f>
        <v>0</v>
      </c>
      <c r="C6797" s="1">
        <v>2</v>
      </c>
    </row>
    <row r="6798" spans="1:3" x14ac:dyDescent="0.3">
      <c r="A6798" t="s">
        <v>6797</v>
      </c>
      <c r="B6798">
        <f>0*(1-0.8198)</f>
        <v>0</v>
      </c>
      <c r="C6798" s="1">
        <v>3</v>
      </c>
    </row>
    <row r="6799" spans="1:3" x14ac:dyDescent="0.3">
      <c r="A6799" t="s">
        <v>6798</v>
      </c>
      <c r="B6799">
        <f>0*(1-0.8198)</f>
        <v>0</v>
      </c>
      <c r="C6799" s="1">
        <v>2</v>
      </c>
    </row>
    <row r="6800" spans="1:3" x14ac:dyDescent="0.3">
      <c r="A6800" t="s">
        <v>6799</v>
      </c>
      <c r="B6800">
        <f>0*(1-0.8198)</f>
        <v>0</v>
      </c>
      <c r="C6800" s="1">
        <v>9</v>
      </c>
    </row>
    <row r="6801" spans="1:3" x14ac:dyDescent="0.3">
      <c r="A6801" t="s">
        <v>6800</v>
      </c>
      <c r="B6801">
        <f>11.3347493828571*(1-0.8198)</f>
        <v>2.0425218387908575</v>
      </c>
      <c r="C6801" s="1">
        <v>14</v>
      </c>
    </row>
    <row r="6802" spans="1:3" x14ac:dyDescent="0.3">
      <c r="A6802" t="s">
        <v>6801</v>
      </c>
      <c r="B6802">
        <f>24.1313580328571*(1-0.8198)</f>
        <v>4.3484707175208577</v>
      </c>
      <c r="C6802" s="1">
        <v>16</v>
      </c>
    </row>
    <row r="6803" spans="1:3" x14ac:dyDescent="0.3">
      <c r="A6803" t="s">
        <v>6802</v>
      </c>
      <c r="B6803">
        <f>35.1316392871429*(1-0.8198)</f>
        <v>6.3307213995431448</v>
      </c>
      <c r="C6803" s="1">
        <v>15</v>
      </c>
    </row>
    <row r="6804" spans="1:3" x14ac:dyDescent="0.3">
      <c r="A6804" t="s">
        <v>6803</v>
      </c>
      <c r="B6804">
        <f>42.4473010357143*(1-0.8198)</f>
        <v>7.6490036466357179</v>
      </c>
      <c r="C6804" s="1">
        <v>15</v>
      </c>
    </row>
    <row r="6805" spans="1:3" x14ac:dyDescent="0.3">
      <c r="A6805" t="s">
        <v>6804</v>
      </c>
      <c r="B6805">
        <f>45.7605257328571*(1-0.8198)</f>
        <v>8.2460467370608583</v>
      </c>
      <c r="C6805" s="1">
        <v>15</v>
      </c>
    </row>
    <row r="6806" spans="1:3" x14ac:dyDescent="0.3">
      <c r="A6806" t="s">
        <v>6805</v>
      </c>
      <c r="B6806">
        <f>45.59801829*(1-0.8198)</f>
        <v>8.2167628958580003</v>
      </c>
      <c r="C6806" s="1">
        <v>14</v>
      </c>
    </row>
    <row r="6807" spans="1:3" x14ac:dyDescent="0.3">
      <c r="A6807" t="s">
        <v>6806</v>
      </c>
      <c r="B6807">
        <f>41.1024146685714*(1-0.8198)</f>
        <v>7.4066551232765745</v>
      </c>
      <c r="C6807" s="1">
        <v>12</v>
      </c>
    </row>
    <row r="6808" spans="1:3" x14ac:dyDescent="0.3">
      <c r="A6808" t="s">
        <v>6807</v>
      </c>
      <c r="B6808">
        <f>32.1885605557143*(1-0.8198)</f>
        <v>5.8003786121397161</v>
      </c>
      <c r="C6808" s="1">
        <v>11</v>
      </c>
    </row>
    <row r="6809" spans="1:3" x14ac:dyDescent="0.3">
      <c r="A6809" t="s">
        <v>6808</v>
      </c>
      <c r="B6809">
        <f>20.5006200457143*(1-0.8198)</f>
        <v>3.6942117322377155</v>
      </c>
      <c r="C6809" s="1">
        <v>10</v>
      </c>
    </row>
    <row r="6810" spans="1:3" x14ac:dyDescent="0.3">
      <c r="A6810" t="s">
        <v>6809</v>
      </c>
      <c r="B6810">
        <f>7.46868756857143*(1-0.8198)</f>
        <v>1.3458574998565718</v>
      </c>
      <c r="C6810" s="1">
        <v>7</v>
      </c>
    </row>
    <row r="6811" spans="1:3" x14ac:dyDescent="0.3">
      <c r="A6811" t="s">
        <v>6810</v>
      </c>
      <c r="B6811">
        <f>0*(1-0.8198)</f>
        <v>0</v>
      </c>
      <c r="C6811" s="1">
        <v>7</v>
      </c>
    </row>
    <row r="6812" spans="1:3" x14ac:dyDescent="0.3">
      <c r="A6812" t="s">
        <v>6811</v>
      </c>
      <c r="B6812">
        <f>0*(1-0.8198)</f>
        <v>0</v>
      </c>
      <c r="C6812" s="1">
        <v>6</v>
      </c>
    </row>
    <row r="6813" spans="1:3" x14ac:dyDescent="0.3">
      <c r="A6813" t="s">
        <v>6812</v>
      </c>
      <c r="B6813">
        <f>0*(1-0.8198)</f>
        <v>0</v>
      </c>
      <c r="C6813" s="1">
        <v>6</v>
      </c>
    </row>
    <row r="6814" spans="1:3" x14ac:dyDescent="0.3">
      <c r="A6814" t="s">
        <v>6813</v>
      </c>
      <c r="B6814">
        <f>0*(1-0.8198)</f>
        <v>0</v>
      </c>
      <c r="C6814" s="1">
        <v>6</v>
      </c>
    </row>
    <row r="6815" spans="1:3" x14ac:dyDescent="0.3">
      <c r="A6815" t="s">
        <v>6814</v>
      </c>
      <c r="B6815">
        <f>0*(1-0.8198)</f>
        <v>0</v>
      </c>
      <c r="C6815" s="1">
        <v>4</v>
      </c>
    </row>
    <row r="6816" spans="1:3" x14ac:dyDescent="0.3">
      <c r="A6816" t="s">
        <v>6815</v>
      </c>
      <c r="B6816">
        <f>0*(1-0.8198)</f>
        <v>0</v>
      </c>
      <c r="C6816" s="1">
        <v>4</v>
      </c>
    </row>
    <row r="6817" spans="1:3" x14ac:dyDescent="0.3">
      <c r="A6817" t="s">
        <v>6816</v>
      </c>
      <c r="B6817">
        <f>0*(1-0.8198)</f>
        <v>0</v>
      </c>
      <c r="C6817" s="1">
        <v>3</v>
      </c>
    </row>
    <row r="6818" spans="1:3" x14ac:dyDescent="0.3">
      <c r="A6818" t="s">
        <v>6817</v>
      </c>
      <c r="B6818">
        <f>0*(1-0.8198)</f>
        <v>0</v>
      </c>
      <c r="C6818" s="1">
        <v>2</v>
      </c>
    </row>
    <row r="6819" spans="1:3" x14ac:dyDescent="0.3">
      <c r="A6819" t="s">
        <v>6818</v>
      </c>
      <c r="B6819">
        <f>0*(1-0.8198)</f>
        <v>0</v>
      </c>
      <c r="C6819" s="1">
        <v>2</v>
      </c>
    </row>
    <row r="6820" spans="1:3" x14ac:dyDescent="0.3">
      <c r="A6820" t="s">
        <v>6819</v>
      </c>
      <c r="B6820">
        <f>0*(1-0.8198)</f>
        <v>0</v>
      </c>
      <c r="C6820" s="1">
        <v>2</v>
      </c>
    </row>
    <row r="6821" spans="1:3" x14ac:dyDescent="0.3">
      <c r="A6821" t="s">
        <v>6820</v>
      </c>
      <c r="B6821">
        <f>0*(1-0.8198)</f>
        <v>0</v>
      </c>
      <c r="C6821" s="1">
        <v>3</v>
      </c>
    </row>
    <row r="6822" spans="1:3" x14ac:dyDescent="0.3">
      <c r="A6822" t="s">
        <v>6821</v>
      </c>
      <c r="B6822">
        <f>0*(1-0.8198)</f>
        <v>0</v>
      </c>
      <c r="C6822" s="1">
        <v>2</v>
      </c>
    </row>
    <row r="6823" spans="1:3" x14ac:dyDescent="0.3">
      <c r="A6823" t="s">
        <v>6822</v>
      </c>
      <c r="B6823">
        <f>0*(1-0.8198)</f>
        <v>0</v>
      </c>
      <c r="C6823" s="1">
        <v>2</v>
      </c>
    </row>
    <row r="6824" spans="1:3" x14ac:dyDescent="0.3">
      <c r="A6824" t="s">
        <v>6823</v>
      </c>
      <c r="B6824">
        <f>0*(1-0.8198)</f>
        <v>0</v>
      </c>
      <c r="C6824" s="1">
        <v>2</v>
      </c>
    </row>
    <row r="6825" spans="1:3" x14ac:dyDescent="0.3">
      <c r="A6825" t="s">
        <v>6824</v>
      </c>
      <c r="B6825">
        <f>10.8548742971429*(1-0.8198)</f>
        <v>1.956048348345143</v>
      </c>
      <c r="C6825" s="1">
        <v>3</v>
      </c>
    </row>
    <row r="6826" spans="1:3" x14ac:dyDescent="0.3">
      <c r="A6826" t="s">
        <v>6825</v>
      </c>
      <c r="B6826">
        <f>23.9813688728571*(1-0.8198)</f>
        <v>4.3214426708888585</v>
      </c>
      <c r="C6826" s="1">
        <v>2</v>
      </c>
    </row>
    <row r="6827" spans="1:3" x14ac:dyDescent="0.3">
      <c r="A6827" t="s">
        <v>6826</v>
      </c>
      <c r="B6827">
        <f>35.0575770085714*(1-0.8198)</f>
        <v>6.3173753769445726</v>
      </c>
      <c r="C6827" s="1">
        <v>2</v>
      </c>
    </row>
    <row r="6828" spans="1:3" x14ac:dyDescent="0.3">
      <c r="A6828" t="s">
        <v>6827</v>
      </c>
      <c r="B6828">
        <f>42.4134239771429*(1-0.8198)</f>
        <v>7.6428990006811439</v>
      </c>
      <c r="C6828" s="1">
        <v>3</v>
      </c>
    </row>
    <row r="6829" spans="1:3" x14ac:dyDescent="0.3">
      <c r="A6829" t="s">
        <v>6828</v>
      </c>
      <c r="B6829">
        <f>45.6694470028571*(1-0.8198)</f>
        <v>8.2296343499148588</v>
      </c>
      <c r="C6829" s="1">
        <v>2</v>
      </c>
    </row>
    <row r="6830" spans="1:3" x14ac:dyDescent="0.3">
      <c r="A6830" t="s">
        <v>6829</v>
      </c>
      <c r="B6830">
        <f>45.45059709*(1-0.8198)</f>
        <v>8.1901975956180024</v>
      </c>
      <c r="C6830" s="1">
        <v>2</v>
      </c>
    </row>
    <row r="6831" spans="1:3" x14ac:dyDescent="0.3">
      <c r="A6831" t="s">
        <v>6830</v>
      </c>
      <c r="B6831">
        <f>40.6147221828572*(1-0.8198)</f>
        <v>7.3187729373508592</v>
      </c>
      <c r="C6831" s="1">
        <v>2</v>
      </c>
    </row>
    <row r="6832" spans="1:3" x14ac:dyDescent="0.3">
      <c r="A6832" t="s">
        <v>6831</v>
      </c>
      <c r="B6832">
        <f>32.0706180057143*(1-0.8198)</f>
        <v>5.7791253646297154</v>
      </c>
      <c r="C6832" s="1">
        <v>2</v>
      </c>
    </row>
    <row r="6833" spans="1:3" x14ac:dyDescent="0.3">
      <c r="A6833" t="s">
        <v>6832</v>
      </c>
      <c r="B6833">
        <f>20.0673674028571*(1-0.8198)</f>
        <v>3.6161396059948578</v>
      </c>
      <c r="C6833" s="1">
        <v>3</v>
      </c>
    </row>
    <row r="6834" spans="1:3" x14ac:dyDescent="0.3">
      <c r="A6834" t="s">
        <v>6833</v>
      </c>
      <c r="B6834">
        <f>7.17821900571429*(1-0.8198)</f>
        <v>1.2935150648297145</v>
      </c>
      <c r="C6834" s="1">
        <v>2</v>
      </c>
    </row>
    <row r="6835" spans="1:3" x14ac:dyDescent="0.3">
      <c r="A6835" t="s">
        <v>6834</v>
      </c>
      <c r="B6835">
        <f>0*(1-0.8198)</f>
        <v>0</v>
      </c>
      <c r="C6835" s="1">
        <v>2</v>
      </c>
    </row>
    <row r="6836" spans="1:3" x14ac:dyDescent="0.3">
      <c r="A6836" t="s">
        <v>6835</v>
      </c>
      <c r="B6836">
        <f>0*(1-0.8198)</f>
        <v>0</v>
      </c>
      <c r="C6836" s="1">
        <v>3</v>
      </c>
    </row>
    <row r="6837" spans="1:3" x14ac:dyDescent="0.3">
      <c r="A6837" t="s">
        <v>6836</v>
      </c>
      <c r="B6837">
        <f>0*(1-0.8198)</f>
        <v>0</v>
      </c>
      <c r="C6837" s="1">
        <v>2</v>
      </c>
    </row>
    <row r="6838" spans="1:3" x14ac:dyDescent="0.3">
      <c r="A6838" t="s">
        <v>6837</v>
      </c>
      <c r="B6838">
        <f>0*(1-0.8198)</f>
        <v>0</v>
      </c>
      <c r="C6838" s="1">
        <v>2</v>
      </c>
    </row>
    <row r="6839" spans="1:3" x14ac:dyDescent="0.3">
      <c r="A6839" t="s">
        <v>6838</v>
      </c>
      <c r="B6839">
        <f>0*(1-0.8198)</f>
        <v>0</v>
      </c>
      <c r="C6839" s="1">
        <v>2</v>
      </c>
    </row>
    <row r="6840" spans="1:3" x14ac:dyDescent="0.3">
      <c r="A6840" t="s">
        <v>6839</v>
      </c>
      <c r="B6840">
        <f>0*(1-0.8198)</f>
        <v>0</v>
      </c>
      <c r="C6840" s="1">
        <v>3</v>
      </c>
    </row>
    <row r="6841" spans="1:3" x14ac:dyDescent="0.3">
      <c r="A6841" t="s">
        <v>6840</v>
      </c>
      <c r="B6841">
        <f>0*(1-0.8198)</f>
        <v>0</v>
      </c>
      <c r="C6841" s="1">
        <v>2</v>
      </c>
    </row>
    <row r="6842" spans="1:3" x14ac:dyDescent="0.3">
      <c r="A6842" t="s">
        <v>6841</v>
      </c>
      <c r="B6842">
        <f>0*(1-0.8198)</f>
        <v>0</v>
      </c>
      <c r="C6842" s="1">
        <v>2</v>
      </c>
    </row>
    <row r="6843" spans="1:3" x14ac:dyDescent="0.3">
      <c r="A6843" t="s">
        <v>6842</v>
      </c>
      <c r="B6843">
        <f>0*(1-0.8198)</f>
        <v>0</v>
      </c>
      <c r="C6843" s="1">
        <v>2</v>
      </c>
    </row>
    <row r="6844" spans="1:3" x14ac:dyDescent="0.3">
      <c r="A6844" t="s">
        <v>6843</v>
      </c>
      <c r="B6844">
        <f>0*(1-0.8198)</f>
        <v>0</v>
      </c>
      <c r="C6844" s="1">
        <v>3</v>
      </c>
    </row>
    <row r="6845" spans="1:3" x14ac:dyDescent="0.3">
      <c r="A6845" t="s">
        <v>6844</v>
      </c>
      <c r="B6845">
        <f>0*(1-0.8198)</f>
        <v>0</v>
      </c>
      <c r="C6845" s="1">
        <v>2</v>
      </c>
    </row>
    <row r="6846" spans="1:3" x14ac:dyDescent="0.3">
      <c r="A6846" t="s">
        <v>6845</v>
      </c>
      <c r="B6846">
        <f>0*(1-0.8198)</f>
        <v>0</v>
      </c>
      <c r="C6846" s="1">
        <v>2</v>
      </c>
    </row>
    <row r="6847" spans="1:3" x14ac:dyDescent="0.3">
      <c r="A6847" t="s">
        <v>6846</v>
      </c>
      <c r="B6847">
        <f>0*(1-0.8198)</f>
        <v>0</v>
      </c>
      <c r="C6847" s="1">
        <v>2</v>
      </c>
    </row>
    <row r="6848" spans="1:3" x14ac:dyDescent="0.3">
      <c r="A6848" t="s">
        <v>6847</v>
      </c>
      <c r="B6848">
        <f>0*(1-0.8198)</f>
        <v>0</v>
      </c>
      <c r="C6848" s="1">
        <v>3</v>
      </c>
    </row>
    <row r="6849" spans="1:3" x14ac:dyDescent="0.3">
      <c r="A6849" t="s">
        <v>6848</v>
      </c>
      <c r="B6849">
        <f>10.4398518728571*(1-0.8198)</f>
        <v>1.8812613074888582</v>
      </c>
      <c r="C6849" s="1">
        <v>2</v>
      </c>
    </row>
    <row r="6850" spans="1:3" x14ac:dyDescent="0.3">
      <c r="A6850" t="s">
        <v>6849</v>
      </c>
      <c r="B6850">
        <f>23.3952484042857*(1-0.8198)</f>
        <v>4.2158237624522865</v>
      </c>
      <c r="C6850" s="1">
        <v>2</v>
      </c>
    </row>
    <row r="6851" spans="1:3" x14ac:dyDescent="0.3">
      <c r="A6851" t="s">
        <v>6850</v>
      </c>
      <c r="B6851">
        <f>33.98133996*(1-0.8198)</f>
        <v>6.1234374607920019</v>
      </c>
      <c r="C6851" s="1">
        <v>2</v>
      </c>
    </row>
    <row r="6852" spans="1:3" x14ac:dyDescent="0.3">
      <c r="A6852" t="s">
        <v>6851</v>
      </c>
      <c r="B6852">
        <f>41.15393948*(1-0.8198)</f>
        <v>7.4159398942960006</v>
      </c>
      <c r="C6852" s="1">
        <v>3</v>
      </c>
    </row>
    <row r="6853" spans="1:3" x14ac:dyDescent="0.3">
      <c r="A6853" t="s">
        <v>6852</v>
      </c>
      <c r="B6853">
        <f>44.1725134957143*(1-0.8198)</f>
        <v>7.9598869319277155</v>
      </c>
      <c r="C6853" s="1">
        <v>2</v>
      </c>
    </row>
    <row r="6854" spans="1:3" x14ac:dyDescent="0.3">
      <c r="A6854" t="s">
        <v>6853</v>
      </c>
      <c r="B6854">
        <f>45.1942873585714*(1-0.8198)</f>
        <v>8.1440105820145696</v>
      </c>
      <c r="C6854" s="1">
        <v>2</v>
      </c>
    </row>
    <row r="6855" spans="1:3" x14ac:dyDescent="0.3">
      <c r="A6855" t="s">
        <v>6854</v>
      </c>
      <c r="B6855">
        <f>40.3290987985714*(1-0.8198)</f>
        <v>7.2673036035025724</v>
      </c>
      <c r="C6855" s="1">
        <v>3</v>
      </c>
    </row>
    <row r="6856" spans="1:3" x14ac:dyDescent="0.3">
      <c r="A6856" t="s">
        <v>6855</v>
      </c>
      <c r="B6856">
        <f>31.8980927914286*(1-0.8198)</f>
        <v>5.7480363210154302</v>
      </c>
      <c r="C6856" s="1">
        <v>2</v>
      </c>
    </row>
    <row r="6857" spans="1:3" x14ac:dyDescent="0.3">
      <c r="A6857" t="s">
        <v>6856</v>
      </c>
      <c r="B6857">
        <f>19.5679904657143*(1-0.8198)</f>
        <v>3.5261518819217152</v>
      </c>
      <c r="C6857" s="1">
        <v>3</v>
      </c>
    </row>
    <row r="6858" spans="1:3" x14ac:dyDescent="0.3">
      <c r="A6858" t="s">
        <v>6857</v>
      </c>
      <c r="B6858">
        <f>6.74042685285715*(1-0.8198)</f>
        <v>1.2146249188848577</v>
      </c>
      <c r="C6858" s="1">
        <v>2</v>
      </c>
    </row>
    <row r="6859" spans="1:3" x14ac:dyDescent="0.3">
      <c r="A6859" t="s">
        <v>6858</v>
      </c>
      <c r="B6859">
        <f>0*(1-0.8198)</f>
        <v>0</v>
      </c>
      <c r="C6859" s="1">
        <v>3</v>
      </c>
    </row>
    <row r="6860" spans="1:3" x14ac:dyDescent="0.3">
      <c r="A6860" t="s">
        <v>6859</v>
      </c>
      <c r="B6860">
        <f>0*(1-0.8198)</f>
        <v>0</v>
      </c>
      <c r="C6860" s="1">
        <v>2</v>
      </c>
    </row>
    <row r="6861" spans="1:3" x14ac:dyDescent="0.3">
      <c r="A6861" t="s">
        <v>6860</v>
      </c>
      <c r="B6861">
        <f>0*(1-0.8198)</f>
        <v>0</v>
      </c>
      <c r="C6861" s="1">
        <v>2</v>
      </c>
    </row>
    <row r="6862" spans="1:3" x14ac:dyDescent="0.3">
      <c r="A6862" t="s">
        <v>6861</v>
      </c>
      <c r="B6862">
        <f>0*(1-0.8198)</f>
        <v>0</v>
      </c>
      <c r="C6862" s="1">
        <v>2</v>
      </c>
    </row>
    <row r="6863" spans="1:3" x14ac:dyDescent="0.3">
      <c r="A6863" t="s">
        <v>6862</v>
      </c>
      <c r="B6863">
        <f>0*(1-0.8198)</f>
        <v>0</v>
      </c>
      <c r="C6863" s="1">
        <v>3</v>
      </c>
    </row>
    <row r="6864" spans="1:3" x14ac:dyDescent="0.3">
      <c r="A6864" t="s">
        <v>6863</v>
      </c>
      <c r="B6864">
        <f>0*(1-0.8198)</f>
        <v>0</v>
      </c>
      <c r="C6864" s="1">
        <v>2</v>
      </c>
    </row>
    <row r="6865" spans="1:3" x14ac:dyDescent="0.3">
      <c r="A6865" t="s">
        <v>6864</v>
      </c>
      <c r="B6865">
        <f>0*(1-0.8198)</f>
        <v>0</v>
      </c>
      <c r="C6865" s="1">
        <v>2</v>
      </c>
    </row>
    <row r="6866" spans="1:3" x14ac:dyDescent="0.3">
      <c r="A6866" t="s">
        <v>6865</v>
      </c>
      <c r="B6866">
        <f>0*(1-0.8198)</f>
        <v>0</v>
      </c>
      <c r="C6866" s="1">
        <v>2</v>
      </c>
    </row>
    <row r="6867" spans="1:3" x14ac:dyDescent="0.3">
      <c r="A6867" t="s">
        <v>6866</v>
      </c>
      <c r="B6867">
        <f>0*(1-0.8198)</f>
        <v>0</v>
      </c>
      <c r="C6867" s="1">
        <v>3</v>
      </c>
    </row>
    <row r="6868" spans="1:3" x14ac:dyDescent="0.3">
      <c r="A6868" t="s">
        <v>6867</v>
      </c>
      <c r="B6868">
        <f>0*(1-0.8198)</f>
        <v>0</v>
      </c>
      <c r="C6868" s="1">
        <v>2</v>
      </c>
    </row>
    <row r="6869" spans="1:3" x14ac:dyDescent="0.3">
      <c r="A6869" t="s">
        <v>6868</v>
      </c>
      <c r="B6869">
        <f>0*(1-0.8198)</f>
        <v>0</v>
      </c>
      <c r="C6869" s="1">
        <v>3</v>
      </c>
    </row>
    <row r="6870" spans="1:3" x14ac:dyDescent="0.3">
      <c r="A6870" t="s">
        <v>6869</v>
      </c>
      <c r="B6870">
        <f>0*(1-0.8198)</f>
        <v>0</v>
      </c>
      <c r="C6870" s="1">
        <v>2</v>
      </c>
    </row>
    <row r="6871" spans="1:3" x14ac:dyDescent="0.3">
      <c r="A6871" t="s">
        <v>6870</v>
      </c>
      <c r="B6871">
        <f>0*(1-0.8198)</f>
        <v>0</v>
      </c>
      <c r="C6871" s="1">
        <v>2</v>
      </c>
    </row>
    <row r="6872" spans="1:3" x14ac:dyDescent="0.3">
      <c r="A6872" t="s">
        <v>6871</v>
      </c>
      <c r="B6872">
        <f>0*(1-0.8198)</f>
        <v>0</v>
      </c>
      <c r="C6872" s="1">
        <v>9</v>
      </c>
    </row>
    <row r="6873" spans="1:3" x14ac:dyDescent="0.3">
      <c r="A6873" t="s">
        <v>6872</v>
      </c>
      <c r="B6873">
        <f>3.57448293*(1-0.8198)</f>
        <v>0.64412182398600015</v>
      </c>
      <c r="C6873" s="1">
        <v>13</v>
      </c>
    </row>
    <row r="6874" spans="1:3" x14ac:dyDescent="0.3">
      <c r="A6874" t="s">
        <v>6873</v>
      </c>
      <c r="B6874">
        <f>10.8726395014286*(1-0.8198)</f>
        <v>1.9592496381574291</v>
      </c>
      <c r="C6874" s="1">
        <v>14</v>
      </c>
    </row>
    <row r="6875" spans="1:3" x14ac:dyDescent="0.3">
      <c r="A6875" t="s">
        <v>6874</v>
      </c>
      <c r="B6875">
        <f>11.44866744*(1-0.8198)</f>
        <v>2.0630498726880009</v>
      </c>
      <c r="C6875" s="1">
        <v>18</v>
      </c>
    </row>
    <row r="6876" spans="1:3" x14ac:dyDescent="0.3">
      <c r="A6876" t="s">
        <v>6875</v>
      </c>
      <c r="B6876">
        <f>32.1258045742857*(1-0.8198)</f>
        <v>5.7890699842862885</v>
      </c>
      <c r="C6876" s="1">
        <v>19</v>
      </c>
    </row>
    <row r="6877" spans="1:3" x14ac:dyDescent="0.3">
      <c r="A6877" t="s">
        <v>6876</v>
      </c>
      <c r="B6877">
        <f>33.4347494528571*(1-0.8198)</f>
        <v>6.0249418514048587</v>
      </c>
      <c r="C6877" s="1">
        <v>14</v>
      </c>
    </row>
    <row r="6878" spans="1:3" x14ac:dyDescent="0.3">
      <c r="A6878" t="s">
        <v>6877</v>
      </c>
      <c r="B6878">
        <f>41.8790979914286*(1-0.8198)</f>
        <v>7.5466134580554298</v>
      </c>
      <c r="C6878" s="1">
        <v>14</v>
      </c>
    </row>
    <row r="6879" spans="1:3" x14ac:dyDescent="0.3">
      <c r="A6879" t="s">
        <v>6878</v>
      </c>
      <c r="B6879">
        <f>36.8349336642857*(1-0.8198)</f>
        <v>6.6376550463042863</v>
      </c>
      <c r="C6879" s="1">
        <v>13</v>
      </c>
    </row>
    <row r="6880" spans="1:3" x14ac:dyDescent="0.3">
      <c r="A6880" t="s">
        <v>6879</v>
      </c>
      <c r="B6880">
        <f>29.38353185*(1-0.8198)</f>
        <v>5.2949124393700018</v>
      </c>
      <c r="C6880" s="1">
        <v>11</v>
      </c>
    </row>
    <row r="6881" spans="1:3" x14ac:dyDescent="0.3">
      <c r="A6881" t="s">
        <v>6880</v>
      </c>
      <c r="B6881">
        <f>16.4847642914286*(1-0.8198)</f>
        <v>2.9705545253154293</v>
      </c>
      <c r="C6881" s="1">
        <v>10</v>
      </c>
    </row>
    <row r="6882" spans="1:3" x14ac:dyDescent="0.3">
      <c r="A6882" t="s">
        <v>6881</v>
      </c>
      <c r="B6882">
        <f>6.74136357714286*(1-0.8198)</f>
        <v>1.2147937166011433</v>
      </c>
      <c r="C6882" s="1">
        <v>8</v>
      </c>
    </row>
    <row r="6883" spans="1:3" x14ac:dyDescent="0.3">
      <c r="A6883" t="s">
        <v>6882</v>
      </c>
      <c r="B6883">
        <f>0*(1-0.8198)</f>
        <v>0</v>
      </c>
      <c r="C6883" s="1">
        <v>7</v>
      </c>
    </row>
    <row r="6884" spans="1:3" x14ac:dyDescent="0.3">
      <c r="A6884" t="s">
        <v>6883</v>
      </c>
      <c r="B6884">
        <f>0*(1-0.8198)</f>
        <v>0</v>
      </c>
      <c r="C6884" s="1">
        <v>7</v>
      </c>
    </row>
    <row r="6885" spans="1:3" x14ac:dyDescent="0.3">
      <c r="A6885" t="s">
        <v>6884</v>
      </c>
      <c r="B6885">
        <f>0*(1-0.8198)</f>
        <v>0</v>
      </c>
      <c r="C6885" s="1">
        <v>6</v>
      </c>
    </row>
    <row r="6886" spans="1:3" x14ac:dyDescent="0.3">
      <c r="A6886" t="s">
        <v>6885</v>
      </c>
      <c r="B6886">
        <f>0*(1-0.8198)</f>
        <v>0</v>
      </c>
      <c r="C6886" s="1">
        <v>6</v>
      </c>
    </row>
    <row r="6887" spans="1:3" x14ac:dyDescent="0.3">
      <c r="A6887" t="s">
        <v>6886</v>
      </c>
      <c r="B6887">
        <f>0*(1-0.8198)</f>
        <v>0</v>
      </c>
      <c r="C6887" s="1">
        <v>5</v>
      </c>
    </row>
    <row r="6888" spans="1:3" x14ac:dyDescent="0.3">
      <c r="A6888" t="s">
        <v>6887</v>
      </c>
      <c r="B6888">
        <f>0*(1-0.8198)</f>
        <v>0</v>
      </c>
      <c r="C6888" s="1">
        <v>4</v>
      </c>
    </row>
    <row r="6889" spans="1:3" x14ac:dyDescent="0.3">
      <c r="A6889" t="s">
        <v>6888</v>
      </c>
      <c r="B6889">
        <f>0*(1-0.8198)</f>
        <v>0</v>
      </c>
      <c r="C6889" s="1">
        <v>3</v>
      </c>
    </row>
    <row r="6890" spans="1:3" x14ac:dyDescent="0.3">
      <c r="A6890" t="s">
        <v>6889</v>
      </c>
      <c r="B6890">
        <f>0*(1-0.8198)</f>
        <v>0</v>
      </c>
      <c r="C6890" s="1">
        <v>2</v>
      </c>
    </row>
    <row r="6891" spans="1:3" x14ac:dyDescent="0.3">
      <c r="A6891" t="s">
        <v>6890</v>
      </c>
      <c r="B6891">
        <f>0*(1-0.8198)</f>
        <v>0</v>
      </c>
      <c r="C6891" s="1">
        <v>2</v>
      </c>
    </row>
    <row r="6892" spans="1:3" x14ac:dyDescent="0.3">
      <c r="A6892" t="s">
        <v>6891</v>
      </c>
      <c r="B6892">
        <f>0*(1-0.8198)</f>
        <v>0</v>
      </c>
      <c r="C6892" s="1">
        <v>3</v>
      </c>
    </row>
    <row r="6893" spans="1:3" x14ac:dyDescent="0.3">
      <c r="A6893" t="s">
        <v>6892</v>
      </c>
      <c r="B6893">
        <f>0*(1-0.8198)</f>
        <v>0</v>
      </c>
      <c r="C6893" s="1">
        <v>2</v>
      </c>
    </row>
    <row r="6894" spans="1:3" x14ac:dyDescent="0.3">
      <c r="A6894" t="s">
        <v>6893</v>
      </c>
      <c r="B6894">
        <f>0*(1-0.8198)</f>
        <v>0</v>
      </c>
      <c r="C6894" s="1">
        <v>3</v>
      </c>
    </row>
    <row r="6895" spans="1:3" x14ac:dyDescent="0.3">
      <c r="A6895" t="s">
        <v>6894</v>
      </c>
      <c r="B6895">
        <f>0*(1-0.8198)</f>
        <v>0</v>
      </c>
      <c r="C6895" s="1">
        <v>3</v>
      </c>
    </row>
    <row r="6896" spans="1:3" x14ac:dyDescent="0.3">
      <c r="A6896" t="s">
        <v>6895</v>
      </c>
      <c r="B6896">
        <f>0*(1-0.8198)</f>
        <v>0</v>
      </c>
      <c r="C6896" s="1">
        <v>4</v>
      </c>
    </row>
    <row r="6897" spans="1:3" x14ac:dyDescent="0.3">
      <c r="A6897" t="s">
        <v>6896</v>
      </c>
      <c r="B6897">
        <f>4.43401539714286*(1-0.8198)</f>
        <v>0.7990095745651431</v>
      </c>
      <c r="C6897" s="1">
        <v>11</v>
      </c>
    </row>
    <row r="6898" spans="1:3" x14ac:dyDescent="0.3">
      <c r="A6898" t="s">
        <v>6897</v>
      </c>
      <c r="B6898">
        <f>11.4246316685714*(1-0.8198)</f>
        <v>2.0587186266765722</v>
      </c>
      <c r="C6898" s="1">
        <v>16</v>
      </c>
    </row>
    <row r="6899" spans="1:3" x14ac:dyDescent="0.3">
      <c r="A6899" t="s">
        <v>6898</v>
      </c>
      <c r="B6899">
        <f>18.8264055857143*(1-0.8198)</f>
        <v>3.3925182865457151</v>
      </c>
      <c r="C6899" s="1">
        <v>15</v>
      </c>
    </row>
    <row r="6900" spans="1:3" x14ac:dyDescent="0.3">
      <c r="A6900" t="s">
        <v>6899</v>
      </c>
      <c r="B6900">
        <f>15.4156079914286*(1-0.8198)</f>
        <v>2.7778925600554296</v>
      </c>
      <c r="C6900" s="1">
        <v>13</v>
      </c>
    </row>
    <row r="6901" spans="1:3" x14ac:dyDescent="0.3">
      <c r="A6901" t="s">
        <v>6900</v>
      </c>
      <c r="B6901">
        <f>31.6040643814286*(1-0.8198)</f>
        <v>5.6950524015334301</v>
      </c>
      <c r="C6901" s="1">
        <v>15</v>
      </c>
    </row>
    <row r="6902" spans="1:3" x14ac:dyDescent="0.3">
      <c r="A6902" t="s">
        <v>6901</v>
      </c>
      <c r="B6902">
        <f>4.18476*(1-0.8198)</f>
        <v>0.75409375200000006</v>
      </c>
      <c r="C6902" s="1">
        <v>16</v>
      </c>
    </row>
    <row r="6903" spans="1:3" x14ac:dyDescent="0.3">
      <c r="A6903" t="s">
        <v>6902</v>
      </c>
      <c r="B6903">
        <f>15.8460787185714*(1-0.8198)</f>
        <v>2.8554633850865723</v>
      </c>
      <c r="C6903" s="1">
        <v>12</v>
      </c>
    </row>
    <row r="6904" spans="1:3" x14ac:dyDescent="0.3">
      <c r="A6904" t="s">
        <v>6903</v>
      </c>
      <c r="B6904">
        <f>5.93228*(1-0.8198)</f>
        <v>1.0689968560000005</v>
      </c>
      <c r="C6904" s="1">
        <v>11</v>
      </c>
    </row>
    <row r="6905" spans="1:3" x14ac:dyDescent="0.3">
      <c r="A6905" t="s">
        <v>6904</v>
      </c>
      <c r="B6905">
        <f>2.91196*(1-0.8198)</f>
        <v>0.52473519200000018</v>
      </c>
      <c r="C6905" s="1">
        <v>9</v>
      </c>
    </row>
    <row r="6906" spans="1:3" x14ac:dyDescent="0.3">
      <c r="A6906" t="s">
        <v>6905</v>
      </c>
      <c r="B6906">
        <f>3.00194616142857*(1-0.8198)</f>
        <v>0.54095069828942866</v>
      </c>
      <c r="C6906" s="1">
        <v>8</v>
      </c>
    </row>
    <row r="6907" spans="1:3" x14ac:dyDescent="0.3">
      <c r="A6907" t="s">
        <v>6906</v>
      </c>
      <c r="B6907">
        <f>0*(1-0.8198)</f>
        <v>0</v>
      </c>
      <c r="C6907" s="1">
        <v>7</v>
      </c>
    </row>
    <row r="6908" spans="1:3" x14ac:dyDescent="0.3">
      <c r="A6908" t="s">
        <v>6907</v>
      </c>
      <c r="B6908">
        <f>0*(1-0.8198)</f>
        <v>0</v>
      </c>
      <c r="C6908" s="1">
        <v>7</v>
      </c>
    </row>
    <row r="6909" spans="1:3" x14ac:dyDescent="0.3">
      <c r="A6909" t="s">
        <v>6908</v>
      </c>
      <c r="B6909">
        <f>0*(1-0.8198)</f>
        <v>0</v>
      </c>
      <c r="C6909" s="1">
        <v>7</v>
      </c>
    </row>
    <row r="6910" spans="1:3" x14ac:dyDescent="0.3">
      <c r="A6910" t="s">
        <v>6909</v>
      </c>
      <c r="B6910">
        <f>0*(1-0.8198)</f>
        <v>0</v>
      </c>
      <c r="C6910" s="1">
        <v>5</v>
      </c>
    </row>
    <row r="6911" spans="1:3" x14ac:dyDescent="0.3">
      <c r="A6911" t="s">
        <v>6910</v>
      </c>
      <c r="B6911">
        <f>0*(1-0.8198)</f>
        <v>0</v>
      </c>
      <c r="C6911" s="1">
        <v>5</v>
      </c>
    </row>
    <row r="6912" spans="1:3" x14ac:dyDescent="0.3">
      <c r="A6912" t="s">
        <v>6911</v>
      </c>
      <c r="B6912">
        <f>0*(1-0.8198)</f>
        <v>0</v>
      </c>
      <c r="C6912" s="1">
        <v>5</v>
      </c>
    </row>
    <row r="6913" spans="1:3" x14ac:dyDescent="0.3">
      <c r="A6913" t="s">
        <v>6912</v>
      </c>
      <c r="B6913">
        <f>0*(1-0.8198)</f>
        <v>0</v>
      </c>
      <c r="C6913" s="1">
        <v>2</v>
      </c>
    </row>
    <row r="6914" spans="1:3" x14ac:dyDescent="0.3">
      <c r="A6914" t="s">
        <v>6913</v>
      </c>
      <c r="B6914">
        <f>0*(1-0.8198)</f>
        <v>0</v>
      </c>
      <c r="C6914" s="1">
        <v>4</v>
      </c>
    </row>
    <row r="6915" spans="1:3" x14ac:dyDescent="0.3">
      <c r="A6915" t="s">
        <v>6914</v>
      </c>
      <c r="B6915">
        <f>0*(1-0.8198)</f>
        <v>0</v>
      </c>
      <c r="C6915" s="1">
        <v>2</v>
      </c>
    </row>
    <row r="6916" spans="1:3" x14ac:dyDescent="0.3">
      <c r="A6916" t="s">
        <v>6915</v>
      </c>
      <c r="B6916">
        <f>0*(1-0.8198)</f>
        <v>0</v>
      </c>
      <c r="C6916" s="1">
        <v>3</v>
      </c>
    </row>
    <row r="6917" spans="1:3" x14ac:dyDescent="0.3">
      <c r="A6917" t="s">
        <v>6916</v>
      </c>
      <c r="B6917">
        <f>0*(1-0.8198)</f>
        <v>0</v>
      </c>
      <c r="C6917" s="1">
        <v>3</v>
      </c>
    </row>
    <row r="6918" spans="1:3" x14ac:dyDescent="0.3">
      <c r="A6918" t="s">
        <v>6917</v>
      </c>
      <c r="B6918">
        <f>0*(1-0.8198)</f>
        <v>0</v>
      </c>
      <c r="C6918" s="1">
        <v>3</v>
      </c>
    </row>
    <row r="6919" spans="1:3" x14ac:dyDescent="0.3">
      <c r="A6919" t="s">
        <v>6918</v>
      </c>
      <c r="B6919">
        <f>0*(1-0.8198)</f>
        <v>0</v>
      </c>
      <c r="C6919" s="1">
        <v>3</v>
      </c>
    </row>
    <row r="6920" spans="1:3" x14ac:dyDescent="0.3">
      <c r="A6920" t="s">
        <v>6919</v>
      </c>
      <c r="B6920">
        <f>0*(1-0.8198)</f>
        <v>0</v>
      </c>
      <c r="C6920" s="1">
        <v>10</v>
      </c>
    </row>
    <row r="6921" spans="1:3" x14ac:dyDescent="0.3">
      <c r="A6921" t="s">
        <v>6920</v>
      </c>
      <c r="B6921">
        <f>2.3177*(1-0.8198)</f>
        <v>0.4176495400000001</v>
      </c>
      <c r="C6921" s="1">
        <v>14</v>
      </c>
    </row>
    <row r="6922" spans="1:3" x14ac:dyDescent="0.3">
      <c r="A6922" t="s">
        <v>6921</v>
      </c>
      <c r="B6922">
        <f>2.12764*(1-0.8198)</f>
        <v>0.38340072800000008</v>
      </c>
      <c r="C6922" s="1">
        <v>18</v>
      </c>
    </row>
    <row r="6923" spans="1:3" x14ac:dyDescent="0.3">
      <c r="A6923" t="s">
        <v>6922</v>
      </c>
      <c r="B6923">
        <f>2.64794*(1-0.8198)</f>
        <v>0.47715878800000011</v>
      </c>
      <c r="C6923" s="1">
        <v>18</v>
      </c>
    </row>
    <row r="6924" spans="1:3" x14ac:dyDescent="0.3">
      <c r="A6924" t="s">
        <v>6923</v>
      </c>
      <c r="B6924">
        <f>5.44208*(1-0.8198)</f>
        <v>0.98066281600000027</v>
      </c>
      <c r="C6924" s="1">
        <v>19</v>
      </c>
    </row>
    <row r="6925" spans="1:3" x14ac:dyDescent="0.3">
      <c r="A6925" t="s">
        <v>6924</v>
      </c>
      <c r="B6925">
        <f>16.3700917071429*(1-0.8198)</f>
        <v>2.9498905256271435</v>
      </c>
      <c r="C6925" s="1">
        <v>15</v>
      </c>
    </row>
    <row r="6926" spans="1:3" x14ac:dyDescent="0.3">
      <c r="A6926" t="s">
        <v>6925</v>
      </c>
      <c r="B6926">
        <f>8.36092*(1-0.8198)</f>
        <v>1.5066377840000005</v>
      </c>
      <c r="C6926" s="1">
        <v>16</v>
      </c>
    </row>
    <row r="6927" spans="1:3" x14ac:dyDescent="0.3">
      <c r="A6927" t="s">
        <v>6926</v>
      </c>
      <c r="B6927">
        <f>22.0069374428571*(1-0.8198)</f>
        <v>3.9656501272028573</v>
      </c>
      <c r="C6927" s="1">
        <v>14</v>
      </c>
    </row>
    <row r="6928" spans="1:3" x14ac:dyDescent="0.3">
      <c r="A6928" t="s">
        <v>6927</v>
      </c>
      <c r="B6928">
        <f>16.9856790928571*(1-0.8198)</f>
        <v>3.0608193725328579</v>
      </c>
      <c r="C6928" s="1">
        <v>10</v>
      </c>
    </row>
    <row r="6929" spans="1:3" x14ac:dyDescent="0.3">
      <c r="A6929" t="s">
        <v>6928</v>
      </c>
      <c r="B6929">
        <f>7.65061467142857*(1-0.8198)</f>
        <v>1.3786407637914289</v>
      </c>
      <c r="C6929" s="1">
        <v>9</v>
      </c>
    </row>
    <row r="6930" spans="1:3" x14ac:dyDescent="0.3">
      <c r="A6930" t="s">
        <v>6929</v>
      </c>
      <c r="B6930">
        <f>2.78558502714286*(1-0.8198)</f>
        <v>0.50196242189114304</v>
      </c>
      <c r="C6930" s="1">
        <v>8</v>
      </c>
    </row>
    <row r="6931" spans="1:3" x14ac:dyDescent="0.3">
      <c r="A6931" t="s">
        <v>6930</v>
      </c>
      <c r="B6931">
        <f>0*(1-0.8198)</f>
        <v>0</v>
      </c>
      <c r="C6931" s="1">
        <v>6</v>
      </c>
    </row>
    <row r="6932" spans="1:3" x14ac:dyDescent="0.3">
      <c r="A6932" t="s">
        <v>6931</v>
      </c>
      <c r="B6932">
        <f>0*(1-0.8198)</f>
        <v>0</v>
      </c>
      <c r="C6932" s="1">
        <v>7</v>
      </c>
    </row>
    <row r="6933" spans="1:3" x14ac:dyDescent="0.3">
      <c r="A6933" t="s">
        <v>6932</v>
      </c>
      <c r="B6933">
        <f>0*(1-0.8198)</f>
        <v>0</v>
      </c>
      <c r="C6933" s="1">
        <v>6</v>
      </c>
    </row>
    <row r="6934" spans="1:3" x14ac:dyDescent="0.3">
      <c r="A6934" t="s">
        <v>6933</v>
      </c>
      <c r="B6934">
        <f>0*(1-0.8198)</f>
        <v>0</v>
      </c>
      <c r="C6934" s="1">
        <v>4</v>
      </c>
    </row>
    <row r="6935" spans="1:3" x14ac:dyDescent="0.3">
      <c r="A6935" t="s">
        <v>6934</v>
      </c>
      <c r="B6935">
        <f>0*(1-0.8198)</f>
        <v>0</v>
      </c>
      <c r="C6935" s="1">
        <v>5</v>
      </c>
    </row>
    <row r="6936" spans="1:3" x14ac:dyDescent="0.3">
      <c r="A6936" t="s">
        <v>6935</v>
      </c>
      <c r="B6936">
        <f>0*(1-0.8198)</f>
        <v>0</v>
      </c>
      <c r="C6936" s="1">
        <v>5</v>
      </c>
    </row>
    <row r="6937" spans="1:3" x14ac:dyDescent="0.3">
      <c r="A6937" t="s">
        <v>6936</v>
      </c>
      <c r="B6937">
        <f>0*(1-0.8198)</f>
        <v>0</v>
      </c>
      <c r="C6937" s="1">
        <v>2</v>
      </c>
    </row>
    <row r="6938" spans="1:3" x14ac:dyDescent="0.3">
      <c r="A6938" t="s">
        <v>6937</v>
      </c>
      <c r="B6938">
        <f>0*(1-0.8198)</f>
        <v>0</v>
      </c>
      <c r="C6938" s="1">
        <v>3</v>
      </c>
    </row>
    <row r="6939" spans="1:3" x14ac:dyDescent="0.3">
      <c r="A6939" t="s">
        <v>6938</v>
      </c>
      <c r="B6939">
        <f>0*(1-0.8198)</f>
        <v>0</v>
      </c>
      <c r="C6939" s="1">
        <v>2</v>
      </c>
    </row>
    <row r="6940" spans="1:3" x14ac:dyDescent="0.3">
      <c r="A6940" t="s">
        <v>6939</v>
      </c>
      <c r="B6940">
        <f>0*(1-0.8198)</f>
        <v>0</v>
      </c>
      <c r="C6940" s="1">
        <v>3</v>
      </c>
    </row>
    <row r="6941" spans="1:3" x14ac:dyDescent="0.3">
      <c r="A6941" t="s">
        <v>6940</v>
      </c>
      <c r="B6941">
        <f>0*(1-0.8198)</f>
        <v>0</v>
      </c>
      <c r="C6941" s="1">
        <v>2</v>
      </c>
    </row>
    <row r="6942" spans="1:3" x14ac:dyDescent="0.3">
      <c r="A6942" t="s">
        <v>6941</v>
      </c>
      <c r="B6942">
        <f>0*(1-0.8198)</f>
        <v>0</v>
      </c>
      <c r="C6942" s="1">
        <v>3</v>
      </c>
    </row>
    <row r="6943" spans="1:3" x14ac:dyDescent="0.3">
      <c r="A6943" t="s">
        <v>6942</v>
      </c>
      <c r="B6943">
        <f>0*(1-0.8198)</f>
        <v>0</v>
      </c>
      <c r="C6943" s="1">
        <v>3</v>
      </c>
    </row>
    <row r="6944" spans="1:3" x14ac:dyDescent="0.3">
      <c r="A6944" t="s">
        <v>6943</v>
      </c>
      <c r="B6944">
        <f>0*(1-0.8198)</f>
        <v>0</v>
      </c>
      <c r="C6944" s="1">
        <v>9</v>
      </c>
    </row>
    <row r="6945" spans="1:3" x14ac:dyDescent="0.3">
      <c r="A6945" t="s">
        <v>6944</v>
      </c>
      <c r="B6945">
        <f>7.35297905285714*(1-0.8198)</f>
        <v>1.3250068253248575</v>
      </c>
      <c r="C6945" s="1">
        <v>14</v>
      </c>
    </row>
    <row r="6946" spans="1:3" x14ac:dyDescent="0.3">
      <c r="A6946" t="s">
        <v>6945</v>
      </c>
      <c r="B6946">
        <f>18.09912785*(1-0.8198)</f>
        <v>3.2614628385700009</v>
      </c>
      <c r="C6946" s="1">
        <v>19</v>
      </c>
    </row>
    <row r="6947" spans="1:3" x14ac:dyDescent="0.3">
      <c r="A6947" t="s">
        <v>6946</v>
      </c>
      <c r="B6947">
        <f>27.6136641971429*(1-0.8198)</f>
        <v>4.9759822883251434</v>
      </c>
      <c r="C6947" s="1">
        <v>17</v>
      </c>
    </row>
    <row r="6948" spans="1:3" x14ac:dyDescent="0.3">
      <c r="A6948" t="s">
        <v>6947</v>
      </c>
      <c r="B6948">
        <f>33.61170508*(1-0.8198)</f>
        <v>6.0568292554160008</v>
      </c>
      <c r="C6948" s="1">
        <v>14</v>
      </c>
    </row>
    <row r="6949" spans="1:3" x14ac:dyDescent="0.3">
      <c r="A6949" t="s">
        <v>6948</v>
      </c>
      <c r="B6949">
        <f>29.0667896114286*(1-0.8198)</f>
        <v>5.2378354879794298</v>
      </c>
      <c r="C6949" s="1">
        <v>13</v>
      </c>
    </row>
    <row r="6950" spans="1:3" x14ac:dyDescent="0.3">
      <c r="A6950" t="s">
        <v>6949</v>
      </c>
      <c r="B6950">
        <f>34.00757469*(1-0.8198)</f>
        <v>6.128164959138001</v>
      </c>
      <c r="C6950" s="1">
        <v>15</v>
      </c>
    </row>
    <row r="6951" spans="1:3" x14ac:dyDescent="0.3">
      <c r="A6951" t="s">
        <v>6950</v>
      </c>
      <c r="B6951">
        <f>24.6460655757143*(1-0.8198)</f>
        <v>4.4412210167437145</v>
      </c>
      <c r="C6951" s="1">
        <v>12</v>
      </c>
    </row>
    <row r="6952" spans="1:3" x14ac:dyDescent="0.3">
      <c r="A6952" t="s">
        <v>6951</v>
      </c>
      <c r="B6952">
        <f>24.4532433171429*(1-0.8198)</f>
        <v>4.4064744457491445</v>
      </c>
      <c r="C6952" s="1">
        <v>11</v>
      </c>
    </row>
    <row r="6953" spans="1:3" x14ac:dyDescent="0.3">
      <c r="A6953" t="s">
        <v>6952</v>
      </c>
      <c r="B6953">
        <f>9.82206460714286*(1-0.8198)</f>
        <v>1.7699360422071433</v>
      </c>
      <c r="C6953" s="1">
        <v>10</v>
      </c>
    </row>
    <row r="6954" spans="1:3" x14ac:dyDescent="0.3">
      <c r="A6954" t="s">
        <v>6953</v>
      </c>
      <c r="B6954">
        <f>0.23048*(1-0.8198)</f>
        <v>4.1532496000000009E-2</v>
      </c>
      <c r="C6954" s="1">
        <v>8</v>
      </c>
    </row>
    <row r="6955" spans="1:3" x14ac:dyDescent="0.3">
      <c r="A6955" t="s">
        <v>6954</v>
      </c>
      <c r="B6955">
        <f>0*(1-0.8198)</f>
        <v>0</v>
      </c>
      <c r="C6955" s="1">
        <v>7</v>
      </c>
    </row>
    <row r="6956" spans="1:3" x14ac:dyDescent="0.3">
      <c r="A6956" t="s">
        <v>6955</v>
      </c>
      <c r="B6956">
        <f>0*(1-0.8198)</f>
        <v>0</v>
      </c>
      <c r="C6956" s="1">
        <v>8</v>
      </c>
    </row>
    <row r="6957" spans="1:3" x14ac:dyDescent="0.3">
      <c r="A6957" t="s">
        <v>6956</v>
      </c>
      <c r="B6957">
        <f>0*(1-0.8198)</f>
        <v>0</v>
      </c>
      <c r="C6957" s="1">
        <v>6</v>
      </c>
    </row>
    <row r="6958" spans="1:3" x14ac:dyDescent="0.3">
      <c r="A6958" t="s">
        <v>6957</v>
      </c>
      <c r="B6958">
        <f>0*(1-0.8198)</f>
        <v>0</v>
      </c>
      <c r="C6958" s="1">
        <v>5</v>
      </c>
    </row>
    <row r="6959" spans="1:3" x14ac:dyDescent="0.3">
      <c r="A6959" t="s">
        <v>6958</v>
      </c>
      <c r="B6959">
        <f>0*(1-0.8198)</f>
        <v>0</v>
      </c>
      <c r="C6959" s="1">
        <v>5</v>
      </c>
    </row>
    <row r="6960" spans="1:3" x14ac:dyDescent="0.3">
      <c r="A6960" t="s">
        <v>6959</v>
      </c>
      <c r="B6960">
        <f>0*(1-0.8198)</f>
        <v>0</v>
      </c>
      <c r="C6960" s="1">
        <v>5</v>
      </c>
    </row>
    <row r="6961" spans="1:3" x14ac:dyDescent="0.3">
      <c r="A6961" t="s">
        <v>6960</v>
      </c>
      <c r="B6961">
        <f>0*(1-0.8198)</f>
        <v>0</v>
      </c>
      <c r="C6961" s="1">
        <v>3</v>
      </c>
    </row>
    <row r="6962" spans="1:3" x14ac:dyDescent="0.3">
      <c r="A6962" t="s">
        <v>6961</v>
      </c>
      <c r="B6962">
        <f>0*(1-0.8198)</f>
        <v>0</v>
      </c>
      <c r="C6962" s="1">
        <v>2</v>
      </c>
    </row>
    <row r="6963" spans="1:3" x14ac:dyDescent="0.3">
      <c r="A6963" t="s">
        <v>6962</v>
      </c>
      <c r="B6963">
        <f>0*(1-0.8198)</f>
        <v>0</v>
      </c>
      <c r="C6963" s="1">
        <v>3</v>
      </c>
    </row>
    <row r="6964" spans="1:3" x14ac:dyDescent="0.3">
      <c r="A6964" t="s">
        <v>6963</v>
      </c>
      <c r="B6964">
        <f>0*(1-0.8198)</f>
        <v>0</v>
      </c>
      <c r="C6964" s="1">
        <v>3</v>
      </c>
    </row>
    <row r="6965" spans="1:3" x14ac:dyDescent="0.3">
      <c r="A6965" t="s">
        <v>6964</v>
      </c>
      <c r="B6965">
        <f>0*(1-0.8198)</f>
        <v>0</v>
      </c>
      <c r="C6965" s="1">
        <v>2</v>
      </c>
    </row>
    <row r="6966" spans="1:3" x14ac:dyDescent="0.3">
      <c r="A6966" t="s">
        <v>6965</v>
      </c>
      <c r="B6966">
        <f>0*(1-0.8198)</f>
        <v>0</v>
      </c>
      <c r="C6966" s="1">
        <v>3</v>
      </c>
    </row>
    <row r="6967" spans="1:3" x14ac:dyDescent="0.3">
      <c r="A6967" t="s">
        <v>6966</v>
      </c>
      <c r="B6967">
        <f>0*(1-0.8198)</f>
        <v>0</v>
      </c>
      <c r="C6967" s="1">
        <v>3</v>
      </c>
    </row>
    <row r="6968" spans="1:3" x14ac:dyDescent="0.3">
      <c r="A6968" t="s">
        <v>6967</v>
      </c>
      <c r="B6968">
        <f>0*(1-0.8198)</f>
        <v>0</v>
      </c>
      <c r="C6968" s="1">
        <v>9</v>
      </c>
    </row>
    <row r="6969" spans="1:3" x14ac:dyDescent="0.3">
      <c r="A6969" t="s">
        <v>6968</v>
      </c>
      <c r="B6969">
        <f>8.69387403714286*(1-0.8198)</f>
        <v>1.5666361014931434</v>
      </c>
      <c r="C6969" s="1">
        <v>14</v>
      </c>
    </row>
    <row r="6970" spans="1:3" x14ac:dyDescent="0.3">
      <c r="A6970" t="s">
        <v>6969</v>
      </c>
      <c r="B6970">
        <f>20.4414362585714*(1-0.8198)</f>
        <v>3.6835468137945728</v>
      </c>
      <c r="C6970" s="1">
        <v>19</v>
      </c>
    </row>
    <row r="6971" spans="1:3" x14ac:dyDescent="0.3">
      <c r="A6971" t="s">
        <v>6970</v>
      </c>
      <c r="B6971">
        <f>29.3373105971429*(1-0.8198)</f>
        <v>5.2865833696051441</v>
      </c>
      <c r="C6971" s="1">
        <v>19</v>
      </c>
    </row>
    <row r="6972" spans="1:3" x14ac:dyDescent="0.3">
      <c r="A6972" t="s">
        <v>6971</v>
      </c>
      <c r="B6972">
        <f>33.4550850742857*(1-0.8198)</f>
        <v>6.0286063303862871</v>
      </c>
      <c r="C6972" s="1">
        <v>16</v>
      </c>
    </row>
    <row r="6973" spans="1:3" x14ac:dyDescent="0.3">
      <c r="A6973" t="s">
        <v>6972</v>
      </c>
      <c r="B6973">
        <f>39.49658919*(1-0.8198)</f>
        <v>7.1172853720380029</v>
      </c>
      <c r="C6973" s="1">
        <v>13</v>
      </c>
    </row>
    <row r="6974" spans="1:3" x14ac:dyDescent="0.3">
      <c r="A6974" t="s">
        <v>6973</v>
      </c>
      <c r="B6974">
        <f>33.0044847571429*(1-0.8198)</f>
        <v>5.9474081532371432</v>
      </c>
      <c r="C6974" s="1">
        <v>14</v>
      </c>
    </row>
    <row r="6975" spans="1:3" x14ac:dyDescent="0.3">
      <c r="A6975" t="s">
        <v>6974</v>
      </c>
      <c r="B6975">
        <f>10.21078*(1-0.8198)</f>
        <v>1.8399825560000005</v>
      </c>
      <c r="C6975" s="1">
        <v>12</v>
      </c>
    </row>
    <row r="6976" spans="1:3" x14ac:dyDescent="0.3">
      <c r="A6976" t="s">
        <v>6975</v>
      </c>
      <c r="B6976">
        <f>13.7289165285714*(1-0.8198)</f>
        <v>2.4739507584485714</v>
      </c>
      <c r="C6976" s="1">
        <v>11</v>
      </c>
    </row>
    <row r="6977" spans="1:3" x14ac:dyDescent="0.3">
      <c r="A6977" t="s">
        <v>6976</v>
      </c>
      <c r="B6977">
        <f>16.74767612*(1-0.8198)</f>
        <v>3.0179312368240008</v>
      </c>
      <c r="C6977" s="1">
        <v>9</v>
      </c>
    </row>
    <row r="6978" spans="1:3" x14ac:dyDescent="0.3">
      <c r="A6978" t="s">
        <v>6977</v>
      </c>
      <c r="B6978">
        <f>4.89902876142857*(1-0.8198)</f>
        <v>0.88280498280942865</v>
      </c>
      <c r="C6978" s="1">
        <v>8</v>
      </c>
    </row>
    <row r="6979" spans="1:3" x14ac:dyDescent="0.3">
      <c r="A6979" t="s">
        <v>6978</v>
      </c>
      <c r="B6979">
        <f>0*(1-0.8198)</f>
        <v>0</v>
      </c>
      <c r="C6979" s="1">
        <v>6</v>
      </c>
    </row>
    <row r="6980" spans="1:3" x14ac:dyDescent="0.3">
      <c r="A6980" t="s">
        <v>6979</v>
      </c>
      <c r="B6980">
        <f>0*(1-0.8198)</f>
        <v>0</v>
      </c>
      <c r="C6980" s="1">
        <v>7</v>
      </c>
    </row>
    <row r="6981" spans="1:3" x14ac:dyDescent="0.3">
      <c r="A6981" t="s">
        <v>6980</v>
      </c>
      <c r="B6981">
        <f>0*(1-0.8198)</f>
        <v>0</v>
      </c>
      <c r="C6981" s="1">
        <v>6</v>
      </c>
    </row>
    <row r="6982" spans="1:3" x14ac:dyDescent="0.3">
      <c r="A6982" t="s">
        <v>6981</v>
      </c>
      <c r="B6982">
        <f>0*(1-0.8198)</f>
        <v>0</v>
      </c>
      <c r="C6982" s="1">
        <v>5</v>
      </c>
    </row>
    <row r="6983" spans="1:3" x14ac:dyDescent="0.3">
      <c r="A6983" t="s">
        <v>6982</v>
      </c>
      <c r="B6983">
        <f>0*(1-0.8198)</f>
        <v>0</v>
      </c>
      <c r="C6983" s="1">
        <v>5</v>
      </c>
    </row>
    <row r="6984" spans="1:3" x14ac:dyDescent="0.3">
      <c r="A6984" t="s">
        <v>6983</v>
      </c>
      <c r="B6984">
        <f>0*(1-0.8198)</f>
        <v>0</v>
      </c>
      <c r="C6984" s="1">
        <v>4</v>
      </c>
    </row>
    <row r="6985" spans="1:3" x14ac:dyDescent="0.3">
      <c r="A6985" t="s">
        <v>6984</v>
      </c>
      <c r="B6985">
        <f>0*(1-0.8198)</f>
        <v>0</v>
      </c>
      <c r="C6985" s="1">
        <v>2</v>
      </c>
    </row>
    <row r="6986" spans="1:3" x14ac:dyDescent="0.3">
      <c r="A6986" t="s">
        <v>6985</v>
      </c>
      <c r="B6986">
        <f>0*(1-0.8198)</f>
        <v>0</v>
      </c>
      <c r="C6986" s="1">
        <v>3</v>
      </c>
    </row>
    <row r="6987" spans="1:3" x14ac:dyDescent="0.3">
      <c r="A6987" t="s">
        <v>6986</v>
      </c>
      <c r="B6987">
        <f>0*(1-0.8198)</f>
        <v>0</v>
      </c>
      <c r="C6987" s="1">
        <v>2</v>
      </c>
    </row>
    <row r="6988" spans="1:3" x14ac:dyDescent="0.3">
      <c r="A6988" t="s">
        <v>6987</v>
      </c>
      <c r="B6988">
        <f>0*(1-0.8198)</f>
        <v>0</v>
      </c>
      <c r="C6988" s="1">
        <v>3</v>
      </c>
    </row>
    <row r="6989" spans="1:3" x14ac:dyDescent="0.3">
      <c r="A6989" t="s">
        <v>6988</v>
      </c>
      <c r="B6989">
        <f>0*(1-0.8198)</f>
        <v>0</v>
      </c>
      <c r="C6989" s="1">
        <v>2</v>
      </c>
    </row>
    <row r="6990" spans="1:3" x14ac:dyDescent="0.3">
      <c r="A6990" t="s">
        <v>6989</v>
      </c>
      <c r="B6990">
        <f>0*(1-0.8198)</f>
        <v>0</v>
      </c>
      <c r="C6990" s="1">
        <v>3</v>
      </c>
    </row>
    <row r="6991" spans="1:3" x14ac:dyDescent="0.3">
      <c r="A6991" t="s">
        <v>6990</v>
      </c>
      <c r="B6991">
        <f>0*(1-0.8198)</f>
        <v>0</v>
      </c>
      <c r="C6991" s="1">
        <v>2</v>
      </c>
    </row>
    <row r="6992" spans="1:3" x14ac:dyDescent="0.3">
      <c r="A6992" t="s">
        <v>6991</v>
      </c>
      <c r="B6992">
        <f>0*(1-0.8198)</f>
        <v>0</v>
      </c>
      <c r="C6992" s="1">
        <v>2</v>
      </c>
    </row>
    <row r="6993" spans="1:3" x14ac:dyDescent="0.3">
      <c r="A6993" t="s">
        <v>6992</v>
      </c>
      <c r="B6993">
        <f>3.59659469714286*(1-0.8198)</f>
        <v>0.6481063644251428</v>
      </c>
      <c r="C6993" s="1">
        <v>3</v>
      </c>
    </row>
    <row r="6994" spans="1:3" x14ac:dyDescent="0.3">
      <c r="A6994" t="s">
        <v>6993</v>
      </c>
      <c r="B6994">
        <f>20.6684196828571*(1-0.8198)</f>
        <v>3.7244492268508589</v>
      </c>
      <c r="C6994" s="1">
        <v>2</v>
      </c>
    </row>
    <row r="6995" spans="1:3" x14ac:dyDescent="0.3">
      <c r="A6995" t="s">
        <v>6994</v>
      </c>
      <c r="B6995">
        <f>13.8768579671429*(1-0.8198)</f>
        <v>2.5006098056791441</v>
      </c>
      <c r="C6995" s="1">
        <v>2</v>
      </c>
    </row>
    <row r="6996" spans="1:3" x14ac:dyDescent="0.3">
      <c r="A6996" t="s">
        <v>6995</v>
      </c>
      <c r="B6996">
        <f>7.23518*(1-0.8198)</f>
        <v>1.3037794360000001</v>
      </c>
      <c r="C6996" s="1">
        <v>3</v>
      </c>
    </row>
    <row r="6997" spans="1:3" x14ac:dyDescent="0.3">
      <c r="A6997" t="s">
        <v>6996</v>
      </c>
      <c r="B6997">
        <f>38.2164264842857*(1-0.8198)</f>
        <v>6.886600052468288</v>
      </c>
      <c r="C6997" s="1">
        <v>2</v>
      </c>
    </row>
    <row r="6998" spans="1:3" x14ac:dyDescent="0.3">
      <c r="A6998" t="s">
        <v>6997</v>
      </c>
      <c r="B6998">
        <f>21.8596019357143*(1-0.8198)</f>
        <v>3.9391002688157153</v>
      </c>
      <c r="C6998" s="1">
        <v>2</v>
      </c>
    </row>
    <row r="6999" spans="1:3" x14ac:dyDescent="0.3">
      <c r="A6999" t="s">
        <v>6998</v>
      </c>
      <c r="B6999">
        <f>21.38698396*(1-0.8198)</f>
        <v>3.8539345095920008</v>
      </c>
      <c r="C6999" s="1">
        <v>2</v>
      </c>
    </row>
    <row r="7000" spans="1:3" x14ac:dyDescent="0.3">
      <c r="A7000" t="s">
        <v>6999</v>
      </c>
      <c r="B7000">
        <f>11.1038907985714*(1-0.8198)</f>
        <v>2.000921121902572</v>
      </c>
      <c r="C7000" s="1">
        <v>3</v>
      </c>
    </row>
    <row r="7001" spans="1:3" x14ac:dyDescent="0.3">
      <c r="A7001" t="s">
        <v>7000</v>
      </c>
      <c r="B7001">
        <f>8.59664237571429*(1-0.8198)</f>
        <v>1.5491149561037145</v>
      </c>
      <c r="C7001" s="1">
        <v>2</v>
      </c>
    </row>
    <row r="7002" spans="1:3" x14ac:dyDescent="0.3">
      <c r="A7002" t="s">
        <v>7001</v>
      </c>
      <c r="B7002">
        <f>5.02179523571429*(1-0.8198)</f>
        <v>0.90492750147571455</v>
      </c>
      <c r="C7002" s="1">
        <v>3</v>
      </c>
    </row>
    <row r="7003" spans="1:3" x14ac:dyDescent="0.3">
      <c r="A7003" t="s">
        <v>7002</v>
      </c>
      <c r="B7003">
        <f>0*(1-0.8198)</f>
        <v>0</v>
      </c>
      <c r="C7003" s="1">
        <v>2</v>
      </c>
    </row>
    <row r="7004" spans="1:3" x14ac:dyDescent="0.3">
      <c r="A7004" t="s">
        <v>7003</v>
      </c>
      <c r="B7004">
        <f>0*(1-0.8198)</f>
        <v>0</v>
      </c>
      <c r="C7004" s="1">
        <v>3</v>
      </c>
    </row>
    <row r="7005" spans="1:3" x14ac:dyDescent="0.3">
      <c r="A7005" t="s">
        <v>7004</v>
      </c>
      <c r="B7005">
        <f>0*(1-0.8198)</f>
        <v>0</v>
      </c>
      <c r="C7005" s="1">
        <v>2</v>
      </c>
    </row>
    <row r="7006" spans="1:3" x14ac:dyDescent="0.3">
      <c r="A7006" t="s">
        <v>7005</v>
      </c>
      <c r="B7006">
        <f>0*(1-0.8198)</f>
        <v>0</v>
      </c>
      <c r="C7006" s="1">
        <v>2</v>
      </c>
    </row>
    <row r="7007" spans="1:3" x14ac:dyDescent="0.3">
      <c r="A7007" t="s">
        <v>7006</v>
      </c>
      <c r="B7007">
        <f>0*(1-0.8198)</f>
        <v>0</v>
      </c>
      <c r="C7007" s="1">
        <v>3</v>
      </c>
    </row>
    <row r="7008" spans="1:3" x14ac:dyDescent="0.3">
      <c r="A7008" t="s">
        <v>7007</v>
      </c>
      <c r="B7008">
        <f>0*(1-0.8198)</f>
        <v>0</v>
      </c>
      <c r="C7008" s="1">
        <v>2</v>
      </c>
    </row>
    <row r="7009" spans="1:3" x14ac:dyDescent="0.3">
      <c r="A7009" t="s">
        <v>7008</v>
      </c>
      <c r="B7009">
        <f>0*(1-0.8198)</f>
        <v>0</v>
      </c>
      <c r="C7009" s="1">
        <v>3</v>
      </c>
    </row>
    <row r="7010" spans="1:3" x14ac:dyDescent="0.3">
      <c r="A7010" t="s">
        <v>7009</v>
      </c>
      <c r="B7010">
        <f>0*(1-0.8198)</f>
        <v>0</v>
      </c>
      <c r="C7010" s="1">
        <v>2</v>
      </c>
    </row>
    <row r="7011" spans="1:3" x14ac:dyDescent="0.3">
      <c r="A7011" t="s">
        <v>7010</v>
      </c>
      <c r="B7011">
        <f>0*(1-0.8198)</f>
        <v>0</v>
      </c>
      <c r="C7011" s="1">
        <v>2</v>
      </c>
    </row>
    <row r="7012" spans="1:3" x14ac:dyDescent="0.3">
      <c r="A7012" t="s">
        <v>7011</v>
      </c>
      <c r="B7012">
        <f>0*(1-0.8198)</f>
        <v>0</v>
      </c>
      <c r="C7012" s="1">
        <v>3</v>
      </c>
    </row>
    <row r="7013" spans="1:3" x14ac:dyDescent="0.3">
      <c r="A7013" t="s">
        <v>7012</v>
      </c>
      <c r="B7013">
        <f>0*(1-0.8198)</f>
        <v>0</v>
      </c>
      <c r="C7013" s="1">
        <v>2</v>
      </c>
    </row>
    <row r="7014" spans="1:3" x14ac:dyDescent="0.3">
      <c r="A7014" t="s">
        <v>7013</v>
      </c>
      <c r="B7014">
        <f>0*(1-0.8198)</f>
        <v>0</v>
      </c>
      <c r="C7014" s="1">
        <v>2</v>
      </c>
    </row>
    <row r="7015" spans="1:3" x14ac:dyDescent="0.3">
      <c r="A7015" t="s">
        <v>7014</v>
      </c>
      <c r="B7015">
        <f>0*(1-0.8198)</f>
        <v>0</v>
      </c>
      <c r="C7015" s="1">
        <v>2</v>
      </c>
    </row>
    <row r="7016" spans="1:3" x14ac:dyDescent="0.3">
      <c r="A7016" t="s">
        <v>7015</v>
      </c>
      <c r="B7016">
        <f>0*(1-0.8198)</f>
        <v>0</v>
      </c>
      <c r="C7016" s="1">
        <v>3</v>
      </c>
    </row>
    <row r="7017" spans="1:3" x14ac:dyDescent="0.3">
      <c r="A7017" t="s">
        <v>7016</v>
      </c>
      <c r="B7017">
        <f>9.02872025857143*(1-0.8198)</f>
        <v>1.6269753905945719</v>
      </c>
      <c r="C7017" s="1">
        <v>2</v>
      </c>
    </row>
    <row r="7018" spans="1:3" x14ac:dyDescent="0.3">
      <c r="A7018" t="s">
        <v>7017</v>
      </c>
      <c r="B7018">
        <f>22.4677500757143*(1-0.8198)</f>
        <v>4.0486885636437151</v>
      </c>
      <c r="C7018" s="1">
        <v>3</v>
      </c>
    </row>
    <row r="7019" spans="1:3" x14ac:dyDescent="0.3">
      <c r="A7019" t="s">
        <v>7018</v>
      </c>
      <c r="B7019">
        <f>33.7315848414286*(1-0.8198)</f>
        <v>6.0784315884254294</v>
      </c>
      <c r="C7019" s="1">
        <v>2</v>
      </c>
    </row>
    <row r="7020" spans="1:3" x14ac:dyDescent="0.3">
      <c r="A7020" t="s">
        <v>7019</v>
      </c>
      <c r="B7020">
        <f>39.9206140328571*(1-0.8198)</f>
        <v>7.1936946487208582</v>
      </c>
      <c r="C7020" s="1">
        <v>2</v>
      </c>
    </row>
    <row r="7021" spans="1:3" x14ac:dyDescent="0.3">
      <c r="A7021" t="s">
        <v>7020</v>
      </c>
      <c r="B7021">
        <f>40.4506099185714*(1-0.8198)</f>
        <v>7.289199907326573</v>
      </c>
      <c r="C7021" s="1">
        <v>2</v>
      </c>
    </row>
    <row r="7022" spans="1:3" x14ac:dyDescent="0.3">
      <c r="A7022" t="s">
        <v>7021</v>
      </c>
      <c r="B7022">
        <f>34.5694196928571*(1-0.8198)</f>
        <v>6.2294094286528585</v>
      </c>
      <c r="C7022" s="1">
        <v>3</v>
      </c>
    </row>
    <row r="7023" spans="1:3" x14ac:dyDescent="0.3">
      <c r="A7023" t="s">
        <v>7022</v>
      </c>
      <c r="B7023">
        <f>25.8642645442857*(1-0.8198)</f>
        <v>4.6607404708802864</v>
      </c>
      <c r="C7023" s="1">
        <v>2</v>
      </c>
    </row>
    <row r="7024" spans="1:3" x14ac:dyDescent="0.3">
      <c r="A7024" t="s">
        <v>7023</v>
      </c>
      <c r="B7024">
        <f>28.5600809285714*(1-0.8198)</f>
        <v>5.1465265833285736</v>
      </c>
      <c r="C7024" s="1">
        <v>3</v>
      </c>
    </row>
    <row r="7025" spans="1:3" x14ac:dyDescent="0.3">
      <c r="A7025" t="s">
        <v>7024</v>
      </c>
      <c r="B7025">
        <f>16.8630880585714*(1-0.8198)</f>
        <v>3.0387284681545723</v>
      </c>
      <c r="C7025" s="1">
        <v>2</v>
      </c>
    </row>
    <row r="7026" spans="1:3" x14ac:dyDescent="0.3">
      <c r="A7026" t="s">
        <v>7025</v>
      </c>
      <c r="B7026">
        <f>5.39290599857143*(1-0.8198)</f>
        <v>0.97180166094257159</v>
      </c>
      <c r="C7026" s="1">
        <v>3</v>
      </c>
    </row>
    <row r="7027" spans="1:3" x14ac:dyDescent="0.3">
      <c r="A7027" t="s">
        <v>7026</v>
      </c>
      <c r="B7027">
        <f>0*(1-0.8198)</f>
        <v>0</v>
      </c>
      <c r="C7027" s="1">
        <v>2</v>
      </c>
    </row>
    <row r="7028" spans="1:3" x14ac:dyDescent="0.3">
      <c r="A7028" t="s">
        <v>7027</v>
      </c>
      <c r="B7028">
        <f>0*(1-0.8198)</f>
        <v>0</v>
      </c>
      <c r="C7028" s="1">
        <v>2</v>
      </c>
    </row>
    <row r="7029" spans="1:3" x14ac:dyDescent="0.3">
      <c r="A7029" t="s">
        <v>7028</v>
      </c>
      <c r="B7029">
        <f>0*(1-0.8198)</f>
        <v>0</v>
      </c>
      <c r="C7029" s="1">
        <v>3</v>
      </c>
    </row>
    <row r="7030" spans="1:3" x14ac:dyDescent="0.3">
      <c r="A7030" t="s">
        <v>7029</v>
      </c>
      <c r="B7030">
        <f>0*(1-0.8198)</f>
        <v>0</v>
      </c>
      <c r="C7030" s="1">
        <v>2</v>
      </c>
    </row>
    <row r="7031" spans="1:3" x14ac:dyDescent="0.3">
      <c r="A7031" t="s">
        <v>7030</v>
      </c>
      <c r="B7031">
        <f>0*(1-0.8198)</f>
        <v>0</v>
      </c>
      <c r="C7031" s="1">
        <v>2</v>
      </c>
    </row>
    <row r="7032" spans="1:3" x14ac:dyDescent="0.3">
      <c r="A7032" t="s">
        <v>7031</v>
      </c>
      <c r="B7032">
        <f>0*(1-0.8198)</f>
        <v>0</v>
      </c>
      <c r="C7032" s="1">
        <v>3</v>
      </c>
    </row>
    <row r="7033" spans="1:3" x14ac:dyDescent="0.3">
      <c r="A7033" t="s">
        <v>7032</v>
      </c>
      <c r="B7033">
        <f>0*(1-0.8198)</f>
        <v>0</v>
      </c>
      <c r="C7033" s="1">
        <v>2</v>
      </c>
    </row>
    <row r="7034" spans="1:3" x14ac:dyDescent="0.3">
      <c r="A7034" t="s">
        <v>7033</v>
      </c>
      <c r="B7034">
        <f>0*(1-0.8198)</f>
        <v>0</v>
      </c>
      <c r="C7034" s="1">
        <v>2</v>
      </c>
    </row>
    <row r="7035" spans="1:3" x14ac:dyDescent="0.3">
      <c r="A7035" t="s">
        <v>7034</v>
      </c>
      <c r="B7035">
        <f>0*(1-0.8198)</f>
        <v>0</v>
      </c>
      <c r="C7035" s="1">
        <v>3</v>
      </c>
    </row>
    <row r="7036" spans="1:3" x14ac:dyDescent="0.3">
      <c r="A7036" t="s">
        <v>7035</v>
      </c>
      <c r="B7036">
        <f>0*(1-0.8198)</f>
        <v>0</v>
      </c>
      <c r="C7036" s="1">
        <v>2</v>
      </c>
    </row>
    <row r="7037" spans="1:3" x14ac:dyDescent="0.3">
      <c r="A7037" t="s">
        <v>7036</v>
      </c>
      <c r="B7037">
        <f>0*(1-0.8198)</f>
        <v>0</v>
      </c>
      <c r="C7037" s="1">
        <v>2</v>
      </c>
    </row>
    <row r="7038" spans="1:3" x14ac:dyDescent="0.3">
      <c r="A7038" t="s">
        <v>7037</v>
      </c>
      <c r="B7038">
        <f>0*(1-0.8198)</f>
        <v>0</v>
      </c>
      <c r="C7038" s="1">
        <v>3</v>
      </c>
    </row>
    <row r="7039" spans="1:3" x14ac:dyDescent="0.3">
      <c r="A7039" t="s">
        <v>7038</v>
      </c>
      <c r="B7039">
        <f>0*(1-0.8198)</f>
        <v>0</v>
      </c>
      <c r="C7039" s="1">
        <v>2</v>
      </c>
    </row>
    <row r="7040" spans="1:3" x14ac:dyDescent="0.3">
      <c r="A7040" t="s">
        <v>7039</v>
      </c>
      <c r="B7040">
        <f>0*(1-0.8198)</f>
        <v>0</v>
      </c>
      <c r="C7040" s="1">
        <v>9</v>
      </c>
    </row>
    <row r="7041" spans="1:3" x14ac:dyDescent="0.3">
      <c r="A7041" t="s">
        <v>7040</v>
      </c>
      <c r="B7041">
        <f>9.22886388142857*(1-0.8198)</f>
        <v>1.6630412714334288</v>
      </c>
      <c r="C7041" s="1">
        <v>14</v>
      </c>
    </row>
    <row r="7042" spans="1:3" x14ac:dyDescent="0.3">
      <c r="A7042" t="s">
        <v>7041</v>
      </c>
      <c r="B7042">
        <f>22.4155831514286*(1-0.8198)</f>
        <v>4.0392880838874294</v>
      </c>
      <c r="C7042" s="1">
        <v>18</v>
      </c>
    </row>
    <row r="7043" spans="1:3" x14ac:dyDescent="0.3">
      <c r="A7043" t="s">
        <v>7042</v>
      </c>
      <c r="B7043">
        <f>33.7237107428572*(1-0.8198)</f>
        <v>6.0770126758628598</v>
      </c>
      <c r="C7043" s="1">
        <v>16</v>
      </c>
    </row>
    <row r="7044" spans="1:3" x14ac:dyDescent="0.3">
      <c r="A7044" t="s">
        <v>7043</v>
      </c>
      <c r="B7044">
        <f>40.7645037142857*(1-0.8198)</f>
        <v>7.3457635693142862</v>
      </c>
      <c r="C7044" s="1">
        <v>15</v>
      </c>
    </row>
    <row r="7045" spans="1:3" x14ac:dyDescent="0.3">
      <c r="A7045" t="s">
        <v>7044</v>
      </c>
      <c r="B7045">
        <f>40.4672168257143*(1-0.8198)</f>
        <v>7.292192471993717</v>
      </c>
      <c r="C7045" s="1">
        <v>14</v>
      </c>
    </row>
    <row r="7046" spans="1:3" x14ac:dyDescent="0.3">
      <c r="A7046" t="s">
        <v>7045</v>
      </c>
      <c r="B7046">
        <f>35.8067018771429*(1-0.8198)</f>
        <v>6.4523676782611439</v>
      </c>
      <c r="C7046" s="1">
        <v>13</v>
      </c>
    </row>
    <row r="7047" spans="1:3" x14ac:dyDescent="0.3">
      <c r="A7047" t="s">
        <v>7046</v>
      </c>
      <c r="B7047">
        <f>37.6888867585714*(1-0.8198)</f>
        <v>6.791537393894572</v>
      </c>
      <c r="C7047" s="1">
        <v>13</v>
      </c>
    </row>
    <row r="7048" spans="1:3" x14ac:dyDescent="0.3">
      <c r="A7048" t="s">
        <v>7047</v>
      </c>
      <c r="B7048">
        <f>30.6766017428571*(1-0.8198)</f>
        <v>5.5279236340628586</v>
      </c>
      <c r="C7048" s="1">
        <v>10</v>
      </c>
    </row>
    <row r="7049" spans="1:3" x14ac:dyDescent="0.3">
      <c r="A7049" t="s">
        <v>7048</v>
      </c>
      <c r="B7049">
        <f>17.7033961471429*(1-0.8198)</f>
        <v>3.1901519857151435</v>
      </c>
      <c r="C7049" s="1">
        <v>9</v>
      </c>
    </row>
    <row r="7050" spans="1:3" x14ac:dyDescent="0.3">
      <c r="A7050" t="s">
        <v>7049</v>
      </c>
      <c r="B7050">
        <f>3.58120622571429*(1-0.8198)</f>
        <v>0.64533336187371448</v>
      </c>
      <c r="C7050" s="1">
        <v>9</v>
      </c>
    </row>
    <row r="7051" spans="1:3" x14ac:dyDescent="0.3">
      <c r="A7051" t="s">
        <v>7050</v>
      </c>
      <c r="B7051">
        <f>0*(1-0.8198)</f>
        <v>0</v>
      </c>
      <c r="C7051" s="1">
        <v>7</v>
      </c>
    </row>
    <row r="7052" spans="1:3" x14ac:dyDescent="0.3">
      <c r="A7052" t="s">
        <v>7051</v>
      </c>
      <c r="B7052">
        <f>0*(1-0.8198)</f>
        <v>0</v>
      </c>
      <c r="C7052" s="1">
        <v>6</v>
      </c>
    </row>
    <row r="7053" spans="1:3" x14ac:dyDescent="0.3">
      <c r="A7053" t="s">
        <v>7052</v>
      </c>
      <c r="B7053">
        <f>0*(1-0.8198)</f>
        <v>0</v>
      </c>
      <c r="C7053" s="1">
        <v>7</v>
      </c>
    </row>
    <row r="7054" spans="1:3" x14ac:dyDescent="0.3">
      <c r="A7054" t="s">
        <v>7053</v>
      </c>
      <c r="B7054">
        <f>0*(1-0.8198)</f>
        <v>0</v>
      </c>
      <c r="C7054" s="1">
        <v>5</v>
      </c>
    </row>
    <row r="7055" spans="1:3" x14ac:dyDescent="0.3">
      <c r="A7055" t="s">
        <v>7054</v>
      </c>
      <c r="B7055">
        <f>0*(1-0.8198)</f>
        <v>0</v>
      </c>
      <c r="C7055" s="1">
        <v>5</v>
      </c>
    </row>
    <row r="7056" spans="1:3" x14ac:dyDescent="0.3">
      <c r="A7056" t="s">
        <v>7055</v>
      </c>
      <c r="B7056">
        <f>0*(1-0.8198)</f>
        <v>0</v>
      </c>
      <c r="C7056" s="1">
        <v>3</v>
      </c>
    </row>
    <row r="7057" spans="1:3" x14ac:dyDescent="0.3">
      <c r="A7057" t="s">
        <v>7056</v>
      </c>
      <c r="B7057">
        <f>0*(1-0.8198)</f>
        <v>0</v>
      </c>
      <c r="C7057" s="1">
        <v>3</v>
      </c>
    </row>
    <row r="7058" spans="1:3" x14ac:dyDescent="0.3">
      <c r="A7058" t="s">
        <v>7057</v>
      </c>
      <c r="B7058">
        <f>0*(1-0.8198)</f>
        <v>0</v>
      </c>
      <c r="C7058" s="1">
        <v>3</v>
      </c>
    </row>
    <row r="7059" spans="1:3" x14ac:dyDescent="0.3">
      <c r="A7059" t="s">
        <v>7058</v>
      </c>
      <c r="B7059">
        <f>0*(1-0.8198)</f>
        <v>0</v>
      </c>
      <c r="C7059" s="1">
        <v>2</v>
      </c>
    </row>
    <row r="7060" spans="1:3" x14ac:dyDescent="0.3">
      <c r="A7060" t="s">
        <v>7059</v>
      </c>
      <c r="B7060">
        <f>0*(1-0.8198)</f>
        <v>0</v>
      </c>
      <c r="C7060" s="1">
        <v>2</v>
      </c>
    </row>
    <row r="7061" spans="1:3" x14ac:dyDescent="0.3">
      <c r="A7061" t="s">
        <v>7060</v>
      </c>
      <c r="B7061">
        <f>0*(1-0.8198)</f>
        <v>0</v>
      </c>
      <c r="C7061" s="1">
        <v>2</v>
      </c>
    </row>
    <row r="7062" spans="1:3" x14ac:dyDescent="0.3">
      <c r="A7062" t="s">
        <v>7061</v>
      </c>
      <c r="B7062">
        <f>0*(1-0.8198)</f>
        <v>0</v>
      </c>
      <c r="C7062" s="1">
        <v>3</v>
      </c>
    </row>
    <row r="7063" spans="1:3" x14ac:dyDescent="0.3">
      <c r="A7063" t="s">
        <v>7062</v>
      </c>
      <c r="B7063">
        <f>0*(1-0.8198)</f>
        <v>0</v>
      </c>
      <c r="C7063" s="1">
        <v>2</v>
      </c>
    </row>
    <row r="7064" spans="1:3" x14ac:dyDescent="0.3">
      <c r="A7064" t="s">
        <v>7063</v>
      </c>
      <c r="B7064">
        <f>0*(1-0.8198)</f>
        <v>0</v>
      </c>
      <c r="C7064" s="1">
        <v>6</v>
      </c>
    </row>
    <row r="7065" spans="1:3" x14ac:dyDescent="0.3">
      <c r="A7065" t="s">
        <v>7064</v>
      </c>
      <c r="B7065">
        <f>5.06858531714286*(1-0.8198)</f>
        <v>0.91335907414914286</v>
      </c>
      <c r="C7065" s="1">
        <v>11</v>
      </c>
    </row>
    <row r="7066" spans="1:3" x14ac:dyDescent="0.3">
      <c r="A7066" t="s">
        <v>7065</v>
      </c>
      <c r="B7066">
        <f>8.15708292285714*(1-0.8198)</f>
        <v>1.4699063426988572</v>
      </c>
      <c r="C7066" s="1">
        <v>14</v>
      </c>
    </row>
    <row r="7067" spans="1:3" x14ac:dyDescent="0.3">
      <c r="A7067" t="s">
        <v>7066</v>
      </c>
      <c r="B7067">
        <f>21.2858794728571*(1-0.8198)</f>
        <v>3.8357154810088585</v>
      </c>
      <c r="C7067" s="1">
        <v>19</v>
      </c>
    </row>
    <row r="7068" spans="1:3" x14ac:dyDescent="0.3">
      <c r="A7068" t="s">
        <v>7067</v>
      </c>
      <c r="B7068">
        <f>28.7537329028572*(1-0.8198)</f>
        <v>5.1814226690948599</v>
      </c>
      <c r="C7068" s="1">
        <v>23</v>
      </c>
    </row>
    <row r="7069" spans="1:3" x14ac:dyDescent="0.3">
      <c r="A7069" t="s">
        <v>7068</v>
      </c>
      <c r="B7069">
        <f>41.4511785771429*(1-0.8198)</f>
        <v>7.4695023796011437</v>
      </c>
      <c r="C7069" s="1">
        <v>14</v>
      </c>
    </row>
    <row r="7070" spans="1:3" x14ac:dyDescent="0.3">
      <c r="A7070" t="s">
        <v>7069</v>
      </c>
      <c r="B7070">
        <f>37.84868772*(1-0.8198)</f>
        <v>6.8203335271440011</v>
      </c>
      <c r="C7070" s="1">
        <v>14</v>
      </c>
    </row>
    <row r="7071" spans="1:3" x14ac:dyDescent="0.3">
      <c r="A7071" t="s">
        <v>7070</v>
      </c>
      <c r="B7071">
        <f>28.7842683085714*(1-0.8198)</f>
        <v>5.1869251492045727</v>
      </c>
      <c r="C7071" s="1">
        <v>12</v>
      </c>
    </row>
    <row r="7072" spans="1:3" x14ac:dyDescent="0.3">
      <c r="A7072" t="s">
        <v>7071</v>
      </c>
      <c r="B7072">
        <f>26.2109328785714*(1-0.8198)</f>
        <v>4.7232101047185724</v>
      </c>
      <c r="C7072" s="1">
        <v>11</v>
      </c>
    </row>
    <row r="7073" spans="1:3" x14ac:dyDescent="0.3">
      <c r="A7073" t="s">
        <v>7072</v>
      </c>
      <c r="B7073">
        <f>14.0192638314286*(1-0.8198)</f>
        <v>2.5262713424234291</v>
      </c>
      <c r="C7073" s="1">
        <v>10</v>
      </c>
    </row>
    <row r="7074" spans="1:3" x14ac:dyDescent="0.3">
      <c r="A7074" t="s">
        <v>7073</v>
      </c>
      <c r="B7074">
        <f>3.99359121428571*(1-0.8198)</f>
        <v>0.71964513681428577</v>
      </c>
      <c r="C7074" s="1">
        <v>8</v>
      </c>
    </row>
    <row r="7075" spans="1:3" x14ac:dyDescent="0.3">
      <c r="A7075" t="s">
        <v>7074</v>
      </c>
      <c r="B7075">
        <f>0*(1-0.8198)</f>
        <v>0</v>
      </c>
      <c r="C7075" s="1">
        <v>6</v>
      </c>
    </row>
    <row r="7076" spans="1:3" x14ac:dyDescent="0.3">
      <c r="A7076" t="s">
        <v>7075</v>
      </c>
      <c r="B7076">
        <f>0*(1-0.8198)</f>
        <v>0</v>
      </c>
      <c r="C7076" s="1">
        <v>6</v>
      </c>
    </row>
    <row r="7077" spans="1:3" x14ac:dyDescent="0.3">
      <c r="A7077" t="s">
        <v>7076</v>
      </c>
      <c r="B7077">
        <f>0*(1-0.8198)</f>
        <v>0</v>
      </c>
      <c r="C7077" s="1">
        <v>6</v>
      </c>
    </row>
    <row r="7078" spans="1:3" x14ac:dyDescent="0.3">
      <c r="A7078" t="s">
        <v>7077</v>
      </c>
      <c r="B7078">
        <f>0*(1-0.8198)</f>
        <v>0</v>
      </c>
      <c r="C7078" s="1">
        <v>4</v>
      </c>
    </row>
    <row r="7079" spans="1:3" x14ac:dyDescent="0.3">
      <c r="A7079" t="s">
        <v>7078</v>
      </c>
      <c r="B7079">
        <f>0*(1-0.8198)</f>
        <v>0</v>
      </c>
      <c r="C7079" s="1">
        <v>5</v>
      </c>
    </row>
    <row r="7080" spans="1:3" x14ac:dyDescent="0.3">
      <c r="A7080" t="s">
        <v>7079</v>
      </c>
      <c r="B7080">
        <f>0*(1-0.8198)</f>
        <v>0</v>
      </c>
      <c r="C7080" s="1">
        <v>4</v>
      </c>
    </row>
    <row r="7081" spans="1:3" x14ac:dyDescent="0.3">
      <c r="A7081" t="s">
        <v>7080</v>
      </c>
      <c r="B7081">
        <f>0*(1-0.8198)</f>
        <v>0</v>
      </c>
      <c r="C7081" s="1">
        <v>2</v>
      </c>
    </row>
    <row r="7082" spans="1:3" x14ac:dyDescent="0.3">
      <c r="A7082" t="s">
        <v>7081</v>
      </c>
      <c r="B7082">
        <f>0*(1-0.8198)</f>
        <v>0</v>
      </c>
      <c r="C7082" s="1">
        <v>3</v>
      </c>
    </row>
    <row r="7083" spans="1:3" x14ac:dyDescent="0.3">
      <c r="A7083" t="s">
        <v>7082</v>
      </c>
      <c r="B7083">
        <f>0*(1-0.8198)</f>
        <v>0</v>
      </c>
      <c r="C7083" s="1">
        <v>2</v>
      </c>
    </row>
    <row r="7084" spans="1:3" x14ac:dyDescent="0.3">
      <c r="A7084" t="s">
        <v>7083</v>
      </c>
      <c r="B7084">
        <f>0*(1-0.8198)</f>
        <v>0</v>
      </c>
      <c r="C7084" s="1">
        <v>3</v>
      </c>
    </row>
    <row r="7085" spans="1:3" x14ac:dyDescent="0.3">
      <c r="A7085" t="s">
        <v>7084</v>
      </c>
      <c r="B7085">
        <f>0*(1-0.8198)</f>
        <v>0</v>
      </c>
      <c r="C7085" s="1">
        <v>2</v>
      </c>
    </row>
    <row r="7086" spans="1:3" x14ac:dyDescent="0.3">
      <c r="A7086" t="s">
        <v>7085</v>
      </c>
      <c r="B7086">
        <f>0*(1-0.8198)</f>
        <v>0</v>
      </c>
      <c r="C7086" s="1">
        <v>2</v>
      </c>
    </row>
    <row r="7087" spans="1:3" x14ac:dyDescent="0.3">
      <c r="A7087" t="s">
        <v>7086</v>
      </c>
      <c r="B7087">
        <f>0*(1-0.8198)</f>
        <v>0</v>
      </c>
      <c r="C7087" s="1">
        <v>3</v>
      </c>
    </row>
    <row r="7088" spans="1:3" x14ac:dyDescent="0.3">
      <c r="A7088" t="s">
        <v>7087</v>
      </c>
      <c r="B7088">
        <f>0*(1-0.8198)</f>
        <v>0</v>
      </c>
      <c r="C7088" s="1">
        <v>7</v>
      </c>
    </row>
    <row r="7089" spans="1:3" x14ac:dyDescent="0.3">
      <c r="A7089" t="s">
        <v>7088</v>
      </c>
      <c r="B7089">
        <f>3.55979830714286*(1-0.8198)</f>
        <v>0.64147565494714298</v>
      </c>
      <c r="C7089" s="1">
        <v>14</v>
      </c>
    </row>
    <row r="7090" spans="1:3" x14ac:dyDescent="0.3">
      <c r="A7090" t="s">
        <v>7089</v>
      </c>
      <c r="B7090">
        <f>12.5858345057143*(1-0.8198)</f>
        <v>2.2679673779297151</v>
      </c>
      <c r="C7090" s="1">
        <v>14</v>
      </c>
    </row>
    <row r="7091" spans="1:3" x14ac:dyDescent="0.3">
      <c r="A7091" t="s">
        <v>7090</v>
      </c>
      <c r="B7091">
        <f>21.9138630214286*(1-0.8198)</f>
        <v>3.9488781164614299</v>
      </c>
      <c r="C7091" s="1">
        <v>17</v>
      </c>
    </row>
    <row r="7092" spans="1:3" x14ac:dyDescent="0.3">
      <c r="A7092" t="s">
        <v>7091</v>
      </c>
      <c r="B7092">
        <f>26.9838555442857*(1-0.8198)</f>
        <v>4.8624907690802859</v>
      </c>
      <c r="C7092" s="1">
        <v>12</v>
      </c>
    </row>
    <row r="7093" spans="1:3" x14ac:dyDescent="0.3">
      <c r="A7093" t="s">
        <v>7092</v>
      </c>
      <c r="B7093">
        <f>31.2330110542857*(1-0.8198)</f>
        <v>5.6281885919822878</v>
      </c>
      <c r="C7093" s="1">
        <v>13</v>
      </c>
    </row>
    <row r="7094" spans="1:3" x14ac:dyDescent="0.3">
      <c r="A7094" t="s">
        <v>7093</v>
      </c>
      <c r="B7094">
        <f>31.1756297657143*(1-0.8198)</f>
        <v>5.6178484837817164</v>
      </c>
      <c r="C7094" s="1">
        <v>15</v>
      </c>
    </row>
    <row r="7095" spans="1:3" x14ac:dyDescent="0.3">
      <c r="A7095" t="s">
        <v>7094</v>
      </c>
      <c r="B7095">
        <f>35.5513849542857*(1-0.8198)</f>
        <v>6.4063595687622872</v>
      </c>
      <c r="C7095" s="1">
        <v>10</v>
      </c>
    </row>
    <row r="7096" spans="1:3" x14ac:dyDescent="0.3">
      <c r="A7096" t="s">
        <v>7095</v>
      </c>
      <c r="B7096">
        <f>20.8585872442857*(1-0.8198)</f>
        <v>3.758717421420287</v>
      </c>
      <c r="C7096" s="1">
        <v>10</v>
      </c>
    </row>
    <row r="7097" spans="1:3" x14ac:dyDescent="0.3">
      <c r="A7097" t="s">
        <v>7096</v>
      </c>
      <c r="B7097">
        <f>14.0079856071429*(1-0.8198)</f>
        <v>2.5242390064071434</v>
      </c>
      <c r="C7097" s="1">
        <v>9</v>
      </c>
    </row>
    <row r="7098" spans="1:3" x14ac:dyDescent="0.3">
      <c r="A7098" t="s">
        <v>7097</v>
      </c>
      <c r="B7098">
        <f>3.04071858571429*(1-0.8198)</f>
        <v>0.54793748914571438</v>
      </c>
      <c r="C7098" s="1">
        <v>7</v>
      </c>
    </row>
    <row r="7099" spans="1:3" x14ac:dyDescent="0.3">
      <c r="A7099" t="s">
        <v>7098</v>
      </c>
      <c r="B7099">
        <f>0*(1-0.8198)</f>
        <v>0</v>
      </c>
      <c r="C7099" s="1">
        <v>6</v>
      </c>
    </row>
    <row r="7100" spans="1:3" x14ac:dyDescent="0.3">
      <c r="A7100" t="s">
        <v>7099</v>
      </c>
      <c r="B7100">
        <f>0*(1-0.8198)</f>
        <v>0</v>
      </c>
      <c r="C7100" s="1">
        <v>6</v>
      </c>
    </row>
    <row r="7101" spans="1:3" x14ac:dyDescent="0.3">
      <c r="A7101" t="s">
        <v>7100</v>
      </c>
      <c r="B7101">
        <f>0*(1-0.8198)</f>
        <v>0</v>
      </c>
      <c r="C7101" s="1">
        <v>6</v>
      </c>
    </row>
    <row r="7102" spans="1:3" x14ac:dyDescent="0.3">
      <c r="A7102" t="s">
        <v>7101</v>
      </c>
      <c r="B7102">
        <f>0*(1-0.8198)</f>
        <v>0</v>
      </c>
      <c r="C7102" s="1">
        <v>5</v>
      </c>
    </row>
    <row r="7103" spans="1:3" x14ac:dyDescent="0.3">
      <c r="A7103" t="s">
        <v>7102</v>
      </c>
      <c r="B7103">
        <f>0*(1-0.8198)</f>
        <v>0</v>
      </c>
      <c r="C7103" s="1">
        <v>5</v>
      </c>
    </row>
    <row r="7104" spans="1:3" x14ac:dyDescent="0.3">
      <c r="A7104" t="s">
        <v>7103</v>
      </c>
      <c r="B7104">
        <f>0*(1-0.8198)</f>
        <v>0</v>
      </c>
      <c r="C7104" s="1">
        <v>4</v>
      </c>
    </row>
    <row r="7105" spans="1:3" x14ac:dyDescent="0.3">
      <c r="A7105" t="s">
        <v>7104</v>
      </c>
      <c r="B7105">
        <f>0*(1-0.8198)</f>
        <v>0</v>
      </c>
      <c r="C7105" s="1">
        <v>2</v>
      </c>
    </row>
    <row r="7106" spans="1:3" x14ac:dyDescent="0.3">
      <c r="A7106" t="s">
        <v>7105</v>
      </c>
      <c r="B7106">
        <f>0*(1-0.8198)</f>
        <v>0</v>
      </c>
      <c r="C7106" s="1">
        <v>3</v>
      </c>
    </row>
    <row r="7107" spans="1:3" x14ac:dyDescent="0.3">
      <c r="A7107" t="s">
        <v>7106</v>
      </c>
      <c r="B7107">
        <f>0*(1-0.8198)</f>
        <v>0</v>
      </c>
      <c r="C7107" s="1">
        <v>2</v>
      </c>
    </row>
    <row r="7108" spans="1:3" x14ac:dyDescent="0.3">
      <c r="A7108" t="s">
        <v>7107</v>
      </c>
      <c r="B7108">
        <f>0*(1-0.8198)</f>
        <v>0</v>
      </c>
      <c r="C7108" s="1">
        <v>2</v>
      </c>
    </row>
    <row r="7109" spans="1:3" x14ac:dyDescent="0.3">
      <c r="A7109" t="s">
        <v>7108</v>
      </c>
      <c r="B7109">
        <f>0*(1-0.8198)</f>
        <v>0</v>
      </c>
      <c r="C7109" s="1">
        <v>3</v>
      </c>
    </row>
    <row r="7110" spans="1:3" x14ac:dyDescent="0.3">
      <c r="A7110" t="s">
        <v>7109</v>
      </c>
      <c r="B7110">
        <f>0*(1-0.8198)</f>
        <v>0</v>
      </c>
      <c r="C7110" s="1">
        <v>2</v>
      </c>
    </row>
    <row r="7111" spans="1:3" x14ac:dyDescent="0.3">
      <c r="A7111" t="s">
        <v>7110</v>
      </c>
      <c r="B7111">
        <f>0*(1-0.8198)</f>
        <v>0</v>
      </c>
      <c r="C7111" s="1">
        <v>2</v>
      </c>
    </row>
    <row r="7112" spans="1:3" x14ac:dyDescent="0.3">
      <c r="A7112" t="s">
        <v>7111</v>
      </c>
      <c r="B7112">
        <f>0*(1-0.8198)</f>
        <v>0</v>
      </c>
      <c r="C7112" s="1">
        <v>9</v>
      </c>
    </row>
    <row r="7113" spans="1:3" x14ac:dyDescent="0.3">
      <c r="A7113" t="s">
        <v>7112</v>
      </c>
      <c r="B7113">
        <f>8.45780747714286*(1-0.8198)</f>
        <v>1.5240969073811435</v>
      </c>
      <c r="C7113" s="1">
        <v>13</v>
      </c>
    </row>
    <row r="7114" spans="1:3" x14ac:dyDescent="0.3">
      <c r="A7114" t="s">
        <v>7113</v>
      </c>
      <c r="B7114">
        <f>20.8802890985714*(1-0.8198)</f>
        <v>3.7626280955625724</v>
      </c>
      <c r="C7114" s="1">
        <v>17</v>
      </c>
    </row>
    <row r="7115" spans="1:3" x14ac:dyDescent="0.3">
      <c r="A7115" t="s">
        <v>7114</v>
      </c>
      <c r="B7115">
        <f>32.3111358028572*(1-0.8198)</f>
        <v>5.8224666716748592</v>
      </c>
      <c r="C7115" s="1">
        <v>19</v>
      </c>
    </row>
    <row r="7116" spans="1:3" x14ac:dyDescent="0.3">
      <c r="A7116" t="s">
        <v>7115</v>
      </c>
      <c r="B7116">
        <f>39.8214126028572*(1-0.8198)</f>
        <v>7.17581855103486</v>
      </c>
      <c r="C7116" s="1">
        <v>16</v>
      </c>
    </row>
    <row r="7117" spans="1:3" x14ac:dyDescent="0.3">
      <c r="A7117" t="s">
        <v>7116</v>
      </c>
      <c r="B7117">
        <f>40.9953788228571*(1-0.8198)</f>
        <v>7.3873672638788594</v>
      </c>
      <c r="C7117" s="1">
        <v>13</v>
      </c>
    </row>
    <row r="7118" spans="1:3" x14ac:dyDescent="0.3">
      <c r="A7118" t="s">
        <v>7117</v>
      </c>
      <c r="B7118">
        <f>42.0031350542857*(1-0.8198)</f>
        <v>7.5689649367822884</v>
      </c>
      <c r="C7118" s="1">
        <v>14</v>
      </c>
    </row>
    <row r="7119" spans="1:3" x14ac:dyDescent="0.3">
      <c r="A7119" t="s">
        <v>7118</v>
      </c>
      <c r="B7119">
        <f>36.4486174257143*(1-0.8198)</f>
        <v>6.5680408601137161</v>
      </c>
      <c r="C7119" s="1">
        <v>13</v>
      </c>
    </row>
    <row r="7120" spans="1:3" x14ac:dyDescent="0.3">
      <c r="A7120" t="s">
        <v>7119</v>
      </c>
      <c r="B7120">
        <f>27.7928469171429*(1-0.8198)</f>
        <v>5.0082710144691438</v>
      </c>
      <c r="C7120" s="1">
        <v>10</v>
      </c>
    </row>
    <row r="7121" spans="1:3" x14ac:dyDescent="0.3">
      <c r="A7121" t="s">
        <v>7120</v>
      </c>
      <c r="B7121">
        <f>16.0024050342857*(1-0.8198)</f>
        <v>2.8836333871782864</v>
      </c>
      <c r="C7121" s="1">
        <v>9</v>
      </c>
    </row>
    <row r="7122" spans="1:3" x14ac:dyDescent="0.3">
      <c r="A7122" t="s">
        <v>7121</v>
      </c>
      <c r="B7122">
        <f>4.06920935571429*(1-0.8198)</f>
        <v>0.73327152589971456</v>
      </c>
      <c r="C7122" s="1">
        <v>7</v>
      </c>
    </row>
    <row r="7123" spans="1:3" x14ac:dyDescent="0.3">
      <c r="A7123" t="s">
        <v>7122</v>
      </c>
      <c r="B7123">
        <f>0*(1-0.8198)</f>
        <v>0</v>
      </c>
      <c r="C7123" s="1">
        <v>6</v>
      </c>
    </row>
    <row r="7124" spans="1:3" x14ac:dyDescent="0.3">
      <c r="A7124" t="s">
        <v>7123</v>
      </c>
      <c r="B7124">
        <f>0*(1-0.8198)</f>
        <v>0</v>
      </c>
      <c r="C7124" s="1">
        <v>7</v>
      </c>
    </row>
    <row r="7125" spans="1:3" x14ac:dyDescent="0.3">
      <c r="A7125" t="s">
        <v>7124</v>
      </c>
      <c r="B7125">
        <f>0*(1-0.8198)</f>
        <v>0</v>
      </c>
      <c r="C7125" s="1">
        <v>5</v>
      </c>
    </row>
    <row r="7126" spans="1:3" x14ac:dyDescent="0.3">
      <c r="A7126" t="s">
        <v>7125</v>
      </c>
      <c r="B7126">
        <f>0*(1-0.8198)</f>
        <v>0</v>
      </c>
      <c r="C7126" s="1">
        <v>5</v>
      </c>
    </row>
    <row r="7127" spans="1:3" x14ac:dyDescent="0.3">
      <c r="A7127" t="s">
        <v>7126</v>
      </c>
      <c r="B7127">
        <f>0*(1-0.8198)</f>
        <v>0</v>
      </c>
      <c r="C7127" s="1">
        <v>4</v>
      </c>
    </row>
    <row r="7128" spans="1:3" x14ac:dyDescent="0.3">
      <c r="A7128" t="s">
        <v>7127</v>
      </c>
      <c r="B7128">
        <f>0*(1-0.8198)</f>
        <v>0</v>
      </c>
      <c r="C7128" s="1">
        <v>4</v>
      </c>
    </row>
    <row r="7129" spans="1:3" x14ac:dyDescent="0.3">
      <c r="A7129" t="s">
        <v>7128</v>
      </c>
      <c r="B7129">
        <f>0*(1-0.8198)</f>
        <v>0</v>
      </c>
      <c r="C7129" s="1">
        <v>3</v>
      </c>
    </row>
    <row r="7130" spans="1:3" x14ac:dyDescent="0.3">
      <c r="A7130" t="s">
        <v>7129</v>
      </c>
      <c r="B7130">
        <f>0*(1-0.8198)</f>
        <v>0</v>
      </c>
      <c r="C7130" s="1">
        <v>2</v>
      </c>
    </row>
    <row r="7131" spans="1:3" x14ac:dyDescent="0.3">
      <c r="A7131" t="s">
        <v>7130</v>
      </c>
      <c r="B7131">
        <f>0*(1-0.8198)</f>
        <v>0</v>
      </c>
      <c r="C7131" s="1">
        <v>3</v>
      </c>
    </row>
    <row r="7132" spans="1:3" x14ac:dyDescent="0.3">
      <c r="A7132" t="s">
        <v>7131</v>
      </c>
      <c r="B7132">
        <f>0*(1-0.8198)</f>
        <v>0</v>
      </c>
      <c r="C7132" s="1">
        <v>2</v>
      </c>
    </row>
    <row r="7133" spans="1:3" x14ac:dyDescent="0.3">
      <c r="A7133" t="s">
        <v>7132</v>
      </c>
      <c r="B7133">
        <f>0*(1-0.8198)</f>
        <v>0</v>
      </c>
      <c r="C7133" s="1">
        <v>2</v>
      </c>
    </row>
    <row r="7134" spans="1:3" x14ac:dyDescent="0.3">
      <c r="A7134" t="s">
        <v>7133</v>
      </c>
      <c r="B7134">
        <f>0*(1-0.8198)</f>
        <v>0</v>
      </c>
      <c r="C7134" s="1">
        <v>3</v>
      </c>
    </row>
    <row r="7135" spans="1:3" x14ac:dyDescent="0.3">
      <c r="A7135" t="s">
        <v>7134</v>
      </c>
      <c r="B7135">
        <f>0*(1-0.8198)</f>
        <v>0</v>
      </c>
      <c r="C7135" s="1">
        <v>2</v>
      </c>
    </row>
    <row r="7136" spans="1:3" x14ac:dyDescent="0.3">
      <c r="A7136" t="s">
        <v>7135</v>
      </c>
      <c r="B7136">
        <f>0*(1-0.8198)</f>
        <v>0</v>
      </c>
      <c r="C7136" s="1">
        <v>9</v>
      </c>
    </row>
    <row r="7137" spans="1:3" x14ac:dyDescent="0.3">
      <c r="A7137" t="s">
        <v>7136</v>
      </c>
      <c r="B7137">
        <f>7.81336936428571*(1-0.8198)</f>
        <v>1.4079691594442858</v>
      </c>
      <c r="C7137" s="1">
        <v>13</v>
      </c>
    </row>
    <row r="7138" spans="1:3" x14ac:dyDescent="0.3">
      <c r="A7138" t="s">
        <v>7137</v>
      </c>
      <c r="B7138">
        <f>20.3036291214286*(1-0.8198)</f>
        <v>3.6587139676814298</v>
      </c>
      <c r="C7138" s="1">
        <v>18</v>
      </c>
    </row>
    <row r="7139" spans="1:3" x14ac:dyDescent="0.3">
      <c r="A7139" t="s">
        <v>7138</v>
      </c>
      <c r="B7139">
        <f>31.4981033514286*(1-0.8198)</f>
        <v>5.6759582239274291</v>
      </c>
      <c r="C7139" s="1">
        <v>18</v>
      </c>
    </row>
    <row r="7140" spans="1:3" x14ac:dyDescent="0.3">
      <c r="A7140" t="s">
        <v>7139</v>
      </c>
      <c r="B7140">
        <f>39.01588273*(1-0.8198)</f>
        <v>7.0306620679460021</v>
      </c>
      <c r="C7140" s="1">
        <v>14</v>
      </c>
    </row>
    <row r="7141" spans="1:3" x14ac:dyDescent="0.3">
      <c r="A7141" t="s">
        <v>7140</v>
      </c>
      <c r="B7141">
        <f>32.4310991071429*(1-0.8198)</f>
        <v>5.8440840591071437</v>
      </c>
      <c r="C7141" s="1">
        <v>13</v>
      </c>
    </row>
    <row r="7142" spans="1:3" x14ac:dyDescent="0.3">
      <c r="A7142" t="s">
        <v>7141</v>
      </c>
      <c r="B7142">
        <f>28.4822878471429*(1-0.8198)</f>
        <v>5.1325082700551432</v>
      </c>
      <c r="C7142" s="1">
        <v>13</v>
      </c>
    </row>
    <row r="7143" spans="1:3" x14ac:dyDescent="0.3">
      <c r="A7143" t="s">
        <v>7142</v>
      </c>
      <c r="B7143">
        <f>23.4684105085714*(1-0.8198)</f>
        <v>4.229007573644572</v>
      </c>
      <c r="C7143" s="1">
        <v>12</v>
      </c>
    </row>
    <row r="7144" spans="1:3" x14ac:dyDescent="0.3">
      <c r="A7144" t="s">
        <v>7143</v>
      </c>
      <c r="B7144">
        <f>8.53452046*(1-0.8198)</f>
        <v>1.5379205868920001</v>
      </c>
      <c r="C7144" s="1">
        <v>11</v>
      </c>
    </row>
    <row r="7145" spans="1:3" x14ac:dyDescent="0.3">
      <c r="A7145" t="s">
        <v>7144</v>
      </c>
      <c r="B7145">
        <f>10.0888952714286*(1-0.8198)</f>
        <v>1.8180189279114287</v>
      </c>
      <c r="C7145" s="1">
        <v>9</v>
      </c>
    </row>
    <row r="7146" spans="1:3" x14ac:dyDescent="0.3">
      <c r="A7146" t="s">
        <v>7145</v>
      </c>
      <c r="B7146">
        <f>3.29434837285714*(1-0.8198)</f>
        <v>0.59364157678885709</v>
      </c>
      <c r="C7146" s="1">
        <v>7</v>
      </c>
    </row>
    <row r="7147" spans="1:3" x14ac:dyDescent="0.3">
      <c r="A7147" t="s">
        <v>7146</v>
      </c>
      <c r="B7147">
        <f>0*(1-0.8198)</f>
        <v>0</v>
      </c>
      <c r="C7147" s="1">
        <v>6</v>
      </c>
    </row>
    <row r="7148" spans="1:3" x14ac:dyDescent="0.3">
      <c r="A7148" t="s">
        <v>7147</v>
      </c>
      <c r="B7148">
        <f>0*(1-0.8198)</f>
        <v>0</v>
      </c>
      <c r="C7148" s="1">
        <v>6</v>
      </c>
    </row>
    <row r="7149" spans="1:3" x14ac:dyDescent="0.3">
      <c r="A7149" t="s">
        <v>7148</v>
      </c>
      <c r="B7149">
        <f>0*(1-0.8198)</f>
        <v>0</v>
      </c>
      <c r="C7149" s="1">
        <v>6</v>
      </c>
    </row>
    <row r="7150" spans="1:3" x14ac:dyDescent="0.3">
      <c r="A7150" t="s">
        <v>7149</v>
      </c>
      <c r="B7150">
        <f>0*(1-0.8198)</f>
        <v>0</v>
      </c>
      <c r="C7150" s="1">
        <v>4</v>
      </c>
    </row>
    <row r="7151" spans="1:3" x14ac:dyDescent="0.3">
      <c r="A7151" t="s">
        <v>7150</v>
      </c>
      <c r="B7151">
        <f>0*(1-0.8198)</f>
        <v>0</v>
      </c>
      <c r="C7151" s="1">
        <v>5</v>
      </c>
    </row>
    <row r="7152" spans="1:3" x14ac:dyDescent="0.3">
      <c r="A7152" t="s">
        <v>7151</v>
      </c>
      <c r="B7152">
        <f>0*(1-0.8198)</f>
        <v>0</v>
      </c>
      <c r="C7152" s="1">
        <v>4</v>
      </c>
    </row>
    <row r="7153" spans="1:3" x14ac:dyDescent="0.3">
      <c r="A7153" t="s">
        <v>7152</v>
      </c>
      <c r="B7153">
        <f>0*(1-0.8198)</f>
        <v>0</v>
      </c>
      <c r="C7153" s="1">
        <v>2</v>
      </c>
    </row>
    <row r="7154" spans="1:3" x14ac:dyDescent="0.3">
      <c r="A7154" t="s">
        <v>7153</v>
      </c>
      <c r="B7154">
        <f>0*(1-0.8198)</f>
        <v>0</v>
      </c>
      <c r="C7154" s="1">
        <v>3</v>
      </c>
    </row>
    <row r="7155" spans="1:3" x14ac:dyDescent="0.3">
      <c r="A7155" t="s">
        <v>7154</v>
      </c>
      <c r="B7155">
        <f>0*(1-0.8198)</f>
        <v>0</v>
      </c>
      <c r="C7155" s="1">
        <v>2</v>
      </c>
    </row>
    <row r="7156" spans="1:3" x14ac:dyDescent="0.3">
      <c r="A7156" t="s">
        <v>7155</v>
      </c>
      <c r="B7156">
        <f>0*(1-0.8198)</f>
        <v>0</v>
      </c>
      <c r="C7156" s="1">
        <v>2</v>
      </c>
    </row>
    <row r="7157" spans="1:3" x14ac:dyDescent="0.3">
      <c r="A7157" t="s">
        <v>7156</v>
      </c>
      <c r="B7157">
        <f>0*(1-0.8198)</f>
        <v>0</v>
      </c>
      <c r="C7157" s="1">
        <v>3</v>
      </c>
    </row>
    <row r="7158" spans="1:3" x14ac:dyDescent="0.3">
      <c r="A7158" t="s">
        <v>7157</v>
      </c>
      <c r="B7158">
        <f>0*(1-0.8198)</f>
        <v>0</v>
      </c>
      <c r="C7158" s="1">
        <v>2</v>
      </c>
    </row>
    <row r="7159" spans="1:3" x14ac:dyDescent="0.3">
      <c r="A7159" t="s">
        <v>7158</v>
      </c>
      <c r="B7159">
        <f>0*(1-0.8198)</f>
        <v>0</v>
      </c>
      <c r="C7159" s="1">
        <v>2</v>
      </c>
    </row>
    <row r="7160" spans="1:3" x14ac:dyDescent="0.3">
      <c r="A7160" t="s">
        <v>7159</v>
      </c>
      <c r="B7160">
        <f>0*(1-0.8198)</f>
        <v>0</v>
      </c>
      <c r="C7160" s="1">
        <v>2</v>
      </c>
    </row>
    <row r="7161" spans="1:3" x14ac:dyDescent="0.3">
      <c r="A7161" t="s">
        <v>7160</v>
      </c>
      <c r="B7161">
        <f>2.34397945*(1-0.8198)</f>
        <v>0.42238509689000014</v>
      </c>
      <c r="C7161" s="1">
        <v>3</v>
      </c>
    </row>
    <row r="7162" spans="1:3" x14ac:dyDescent="0.3">
      <c r="A7162" t="s">
        <v>7161</v>
      </c>
      <c r="B7162">
        <f>7.13991331571429*(1-0.8198)</f>
        <v>1.2866123794917146</v>
      </c>
      <c r="C7162" s="1">
        <v>2</v>
      </c>
    </row>
    <row r="7163" spans="1:3" x14ac:dyDescent="0.3">
      <c r="A7163" t="s">
        <v>7162</v>
      </c>
      <c r="B7163">
        <f>17.39848714*(1-0.8198)</f>
        <v>3.1352073826280007</v>
      </c>
      <c r="C7163" s="1">
        <v>2</v>
      </c>
    </row>
    <row r="7164" spans="1:3" x14ac:dyDescent="0.3">
      <c r="A7164" t="s">
        <v>7163</v>
      </c>
      <c r="B7164">
        <f>10.6233192971429*(1-0.8198)</f>
        <v>1.9143221373451431</v>
      </c>
      <c r="C7164" s="1">
        <v>2</v>
      </c>
    </row>
    <row r="7165" spans="1:3" x14ac:dyDescent="0.3">
      <c r="A7165" t="s">
        <v>7164</v>
      </c>
      <c r="B7165">
        <f>34.1833623757143*(1-0.8198)</f>
        <v>6.159841900103717</v>
      </c>
      <c r="C7165" s="1">
        <v>3</v>
      </c>
    </row>
    <row r="7166" spans="1:3" x14ac:dyDescent="0.3">
      <c r="A7166" t="s">
        <v>7165</v>
      </c>
      <c r="B7166">
        <f>20.9257459957143*(1-0.8198)</f>
        <v>3.7708194284277159</v>
      </c>
      <c r="C7166" s="1">
        <v>2</v>
      </c>
    </row>
    <row r="7167" spans="1:3" x14ac:dyDescent="0.3">
      <c r="A7167" t="s">
        <v>7166</v>
      </c>
      <c r="B7167">
        <f>21.2649444928571*(1-0.8198)</f>
        <v>3.8319429976128583</v>
      </c>
      <c r="C7167" s="1">
        <v>2</v>
      </c>
    </row>
    <row r="7168" spans="1:3" x14ac:dyDescent="0.3">
      <c r="A7168" t="s">
        <v>7167</v>
      </c>
      <c r="B7168">
        <f>25.3065198985714*(1-0.8198)</f>
        <v>4.5602348857225721</v>
      </c>
      <c r="C7168" s="1">
        <v>2</v>
      </c>
    </row>
    <row r="7169" spans="1:3" x14ac:dyDescent="0.3">
      <c r="A7169" t="s">
        <v>7168</v>
      </c>
      <c r="B7169">
        <f>9.48096385142857*(1-0.8198)</f>
        <v>1.7084696860274291</v>
      </c>
      <c r="C7169" s="1">
        <v>3</v>
      </c>
    </row>
    <row r="7170" spans="1:3" x14ac:dyDescent="0.3">
      <c r="A7170" t="s">
        <v>7169</v>
      </c>
      <c r="B7170">
        <f>2.64256401714286*(1-0.8198)</f>
        <v>0.47619003588914294</v>
      </c>
      <c r="C7170" s="1">
        <v>2</v>
      </c>
    </row>
    <row r="7171" spans="1:3" x14ac:dyDescent="0.3">
      <c r="A7171" t="s">
        <v>7170</v>
      </c>
      <c r="B7171">
        <f>0*(1-0.8198)</f>
        <v>0</v>
      </c>
      <c r="C7171" s="1">
        <v>3</v>
      </c>
    </row>
    <row r="7172" spans="1:3" x14ac:dyDescent="0.3">
      <c r="A7172" t="s">
        <v>7171</v>
      </c>
      <c r="B7172">
        <f>0*(1-0.8198)</f>
        <v>0</v>
      </c>
      <c r="C7172" s="1">
        <v>2</v>
      </c>
    </row>
    <row r="7173" spans="1:3" x14ac:dyDescent="0.3">
      <c r="A7173" t="s">
        <v>7172</v>
      </c>
      <c r="B7173">
        <f>0*(1-0.8198)</f>
        <v>0</v>
      </c>
      <c r="C7173" s="1">
        <v>2</v>
      </c>
    </row>
    <row r="7174" spans="1:3" x14ac:dyDescent="0.3">
      <c r="A7174" t="s">
        <v>7173</v>
      </c>
      <c r="B7174">
        <f>0*(1-0.8198)</f>
        <v>0</v>
      </c>
      <c r="C7174" s="1">
        <v>2</v>
      </c>
    </row>
    <row r="7175" spans="1:3" x14ac:dyDescent="0.3">
      <c r="A7175" t="s">
        <v>7174</v>
      </c>
      <c r="B7175">
        <f>0*(1-0.8198)</f>
        <v>0</v>
      </c>
      <c r="C7175" s="1">
        <v>3</v>
      </c>
    </row>
    <row r="7176" spans="1:3" x14ac:dyDescent="0.3">
      <c r="A7176" t="s">
        <v>7175</v>
      </c>
      <c r="B7176">
        <f>0*(1-0.8198)</f>
        <v>0</v>
      </c>
      <c r="C7176" s="1">
        <v>2</v>
      </c>
    </row>
    <row r="7177" spans="1:3" x14ac:dyDescent="0.3">
      <c r="A7177" t="s">
        <v>7176</v>
      </c>
      <c r="B7177">
        <f>0*(1-0.8198)</f>
        <v>0</v>
      </c>
      <c r="C7177" s="1">
        <v>2</v>
      </c>
    </row>
    <row r="7178" spans="1:3" x14ac:dyDescent="0.3">
      <c r="A7178" t="s">
        <v>7177</v>
      </c>
      <c r="B7178">
        <f>0*(1-0.8198)</f>
        <v>0</v>
      </c>
      <c r="C7178" s="1">
        <v>2</v>
      </c>
    </row>
    <row r="7179" spans="1:3" x14ac:dyDescent="0.3">
      <c r="A7179" t="s">
        <v>7178</v>
      </c>
      <c r="B7179">
        <f>0*(1-0.8198)</f>
        <v>0</v>
      </c>
      <c r="C7179" s="1">
        <v>3</v>
      </c>
    </row>
    <row r="7180" spans="1:3" x14ac:dyDescent="0.3">
      <c r="A7180" t="s">
        <v>7179</v>
      </c>
      <c r="B7180">
        <f>0*(1-0.8198)</f>
        <v>0</v>
      </c>
      <c r="C7180" s="1">
        <v>2</v>
      </c>
    </row>
    <row r="7181" spans="1:3" x14ac:dyDescent="0.3">
      <c r="A7181" t="s">
        <v>7180</v>
      </c>
      <c r="B7181">
        <f>0*(1-0.8198)</f>
        <v>0</v>
      </c>
      <c r="C7181" s="1">
        <v>2</v>
      </c>
    </row>
    <row r="7182" spans="1:3" x14ac:dyDescent="0.3">
      <c r="A7182" t="s">
        <v>7181</v>
      </c>
      <c r="B7182">
        <f>0*(1-0.8198)</f>
        <v>0</v>
      </c>
      <c r="C7182" s="1">
        <v>2</v>
      </c>
    </row>
    <row r="7183" spans="1:3" x14ac:dyDescent="0.3">
      <c r="A7183" t="s">
        <v>7182</v>
      </c>
      <c r="B7183">
        <f>0*(1-0.8198)</f>
        <v>0</v>
      </c>
      <c r="C7183" s="1">
        <v>2</v>
      </c>
    </row>
    <row r="7184" spans="1:3" x14ac:dyDescent="0.3">
      <c r="A7184" t="s">
        <v>7183</v>
      </c>
      <c r="B7184">
        <f>0*(1-0.8198)</f>
        <v>0</v>
      </c>
      <c r="C7184" s="1">
        <v>2</v>
      </c>
    </row>
    <row r="7185" spans="1:3" x14ac:dyDescent="0.3">
      <c r="A7185" t="s">
        <v>7184</v>
      </c>
      <c r="B7185">
        <f>3.10961251*(1-0.8198)</f>
        <v>0.56035217430200002</v>
      </c>
      <c r="C7185" s="1">
        <v>2</v>
      </c>
    </row>
    <row r="7186" spans="1:3" x14ac:dyDescent="0.3">
      <c r="A7186" t="s">
        <v>7185</v>
      </c>
      <c r="B7186">
        <f>12.6857532985714*(1-0.8198)</f>
        <v>2.2859727444025721</v>
      </c>
      <c r="C7186" s="1">
        <v>3</v>
      </c>
    </row>
    <row r="7187" spans="1:3" x14ac:dyDescent="0.3">
      <c r="A7187" t="s">
        <v>7186</v>
      </c>
      <c r="B7187">
        <f>29.1211188214286*(1-0.8198)</f>
        <v>5.2476256116214302</v>
      </c>
      <c r="C7187" s="1">
        <v>4</v>
      </c>
    </row>
    <row r="7188" spans="1:3" x14ac:dyDescent="0.3">
      <c r="A7188" t="s">
        <v>7187</v>
      </c>
      <c r="B7188">
        <f>39.2775960871429*(1-0.8198)</f>
        <v>7.0778228149031444</v>
      </c>
      <c r="C7188" s="1">
        <v>4</v>
      </c>
    </row>
    <row r="7189" spans="1:3" x14ac:dyDescent="0.3">
      <c r="A7189" t="s">
        <v>7188</v>
      </c>
      <c r="B7189">
        <f>42.9248095857143*(1-0.8198)</f>
        <v>7.7350506873457139</v>
      </c>
      <c r="C7189" s="1">
        <v>3</v>
      </c>
    </row>
    <row r="7190" spans="1:3" x14ac:dyDescent="0.3">
      <c r="A7190" t="s">
        <v>7189</v>
      </c>
      <c r="B7190">
        <f>42.0179773028571*(1-0.8198)</f>
        <v>7.571639509974859</v>
      </c>
      <c r="C7190" s="1">
        <v>4</v>
      </c>
    </row>
    <row r="7191" spans="1:3" x14ac:dyDescent="0.3">
      <c r="A7191" t="s">
        <v>7190</v>
      </c>
      <c r="B7191">
        <f>36.7920431914286*(1-0.8198)</f>
        <v>6.6299261830954306</v>
      </c>
      <c r="C7191" s="1">
        <v>4</v>
      </c>
    </row>
    <row r="7192" spans="1:3" x14ac:dyDescent="0.3">
      <c r="A7192" t="s">
        <v>7191</v>
      </c>
      <c r="B7192">
        <f>27.4927169914286*(1-0.8198)</f>
        <v>4.9541876018554296</v>
      </c>
      <c r="C7192" s="1">
        <v>4</v>
      </c>
    </row>
    <row r="7193" spans="1:3" x14ac:dyDescent="0.3">
      <c r="A7193" t="s">
        <v>7192</v>
      </c>
      <c r="B7193">
        <f>14.7560621971429*(1-0.8198)</f>
        <v>2.6590424079251433</v>
      </c>
      <c r="C7193" s="1">
        <v>3</v>
      </c>
    </row>
    <row r="7194" spans="1:3" x14ac:dyDescent="0.3">
      <c r="A7194" t="s">
        <v>7193</v>
      </c>
      <c r="B7194">
        <f>3.60971068*(1-0.8198)</f>
        <v>0.6504698645360002</v>
      </c>
      <c r="C7194" s="1">
        <v>4</v>
      </c>
    </row>
    <row r="7195" spans="1:3" x14ac:dyDescent="0.3">
      <c r="A7195" t="s">
        <v>7194</v>
      </c>
      <c r="B7195">
        <f>0*(1-0.8198)</f>
        <v>0</v>
      </c>
      <c r="C7195" s="1">
        <v>4</v>
      </c>
    </row>
    <row r="7196" spans="1:3" x14ac:dyDescent="0.3">
      <c r="A7196" t="s">
        <v>7195</v>
      </c>
      <c r="B7196">
        <f>0*(1-0.8198)</f>
        <v>0</v>
      </c>
      <c r="C7196" s="1">
        <v>5</v>
      </c>
    </row>
    <row r="7197" spans="1:3" x14ac:dyDescent="0.3">
      <c r="A7197" t="s">
        <v>7196</v>
      </c>
      <c r="B7197">
        <f>0*(1-0.8198)</f>
        <v>0</v>
      </c>
      <c r="C7197" s="1">
        <v>4</v>
      </c>
    </row>
    <row r="7198" spans="1:3" x14ac:dyDescent="0.3">
      <c r="A7198" t="s">
        <v>7197</v>
      </c>
      <c r="B7198">
        <f>0*(1-0.8198)</f>
        <v>0</v>
      </c>
      <c r="C7198" s="1">
        <v>3</v>
      </c>
    </row>
    <row r="7199" spans="1:3" x14ac:dyDescent="0.3">
      <c r="A7199" t="s">
        <v>7198</v>
      </c>
      <c r="B7199">
        <f>0*(1-0.8198)</f>
        <v>0</v>
      </c>
      <c r="C7199" s="1">
        <v>2</v>
      </c>
    </row>
    <row r="7200" spans="1:3" x14ac:dyDescent="0.3">
      <c r="A7200" t="s">
        <v>7199</v>
      </c>
      <c r="B7200">
        <f>0*(1-0.8198)</f>
        <v>0</v>
      </c>
      <c r="C7200" s="1">
        <v>2</v>
      </c>
    </row>
    <row r="7201" spans="1:3" x14ac:dyDescent="0.3">
      <c r="A7201" t="s">
        <v>7200</v>
      </c>
      <c r="B7201">
        <f>0*(1-0.8198)</f>
        <v>0</v>
      </c>
      <c r="C7201" s="1">
        <v>3</v>
      </c>
    </row>
    <row r="7202" spans="1:3" x14ac:dyDescent="0.3">
      <c r="A7202" t="s">
        <v>7201</v>
      </c>
      <c r="B7202">
        <f>0*(1-0.8198)</f>
        <v>0</v>
      </c>
      <c r="C7202" s="1">
        <v>2</v>
      </c>
    </row>
    <row r="7203" spans="1:3" x14ac:dyDescent="0.3">
      <c r="A7203" t="s">
        <v>7202</v>
      </c>
      <c r="B7203">
        <f>0*(1-0.8198)</f>
        <v>0</v>
      </c>
      <c r="C7203" s="1">
        <v>2</v>
      </c>
    </row>
    <row r="7204" spans="1:3" x14ac:dyDescent="0.3">
      <c r="A7204" t="s">
        <v>7203</v>
      </c>
      <c r="B7204">
        <f>0*(1-0.8198)</f>
        <v>0</v>
      </c>
      <c r="C7204" s="1">
        <v>3</v>
      </c>
    </row>
    <row r="7205" spans="1:3" x14ac:dyDescent="0.3">
      <c r="A7205" t="s">
        <v>7204</v>
      </c>
      <c r="B7205">
        <f>0*(1-0.8198)</f>
        <v>0</v>
      </c>
      <c r="C7205" s="1">
        <v>2</v>
      </c>
    </row>
    <row r="7206" spans="1:3" x14ac:dyDescent="0.3">
      <c r="A7206" t="s">
        <v>7205</v>
      </c>
      <c r="B7206">
        <f>0*(1-0.8198)</f>
        <v>0</v>
      </c>
      <c r="C7206" s="1">
        <v>2</v>
      </c>
    </row>
    <row r="7207" spans="1:3" x14ac:dyDescent="0.3">
      <c r="A7207" t="s">
        <v>7206</v>
      </c>
      <c r="B7207">
        <f>0*(1-0.8198)</f>
        <v>0</v>
      </c>
      <c r="C7207" s="1">
        <v>2</v>
      </c>
    </row>
    <row r="7208" spans="1:3" x14ac:dyDescent="0.3">
      <c r="A7208" t="s">
        <v>7207</v>
      </c>
      <c r="B7208">
        <f>0*(1-0.8198)</f>
        <v>0</v>
      </c>
      <c r="C7208" s="1">
        <v>2</v>
      </c>
    </row>
    <row r="7209" spans="1:3" x14ac:dyDescent="0.3">
      <c r="A7209" t="s">
        <v>7208</v>
      </c>
      <c r="B7209">
        <f>6.96347461*(1-0.8198)</f>
        <v>1.2548181247220005</v>
      </c>
      <c r="C7209" s="1">
        <v>11</v>
      </c>
    </row>
    <row r="7210" spans="1:3" x14ac:dyDescent="0.3">
      <c r="A7210" t="s">
        <v>7209</v>
      </c>
      <c r="B7210">
        <f>19.6335715471429*(1-0.8198)</f>
        <v>3.537969592795144</v>
      </c>
      <c r="C7210" s="1">
        <v>11</v>
      </c>
    </row>
    <row r="7211" spans="1:3" x14ac:dyDescent="0.3">
      <c r="A7211" t="s">
        <v>7210</v>
      </c>
      <c r="B7211">
        <f>30.4903645657143*(1-0.8198)</f>
        <v>5.4943636947417147</v>
      </c>
      <c r="C7211" s="1">
        <v>18</v>
      </c>
    </row>
    <row r="7212" spans="1:3" x14ac:dyDescent="0.3">
      <c r="A7212" t="s">
        <v>7211</v>
      </c>
      <c r="B7212">
        <f>36.6439602214286*(1-0.8198)</f>
        <v>6.6032416319014304</v>
      </c>
      <c r="C7212" s="1">
        <v>18</v>
      </c>
    </row>
    <row r="7213" spans="1:3" x14ac:dyDescent="0.3">
      <c r="A7213" t="s">
        <v>7212</v>
      </c>
      <c r="B7213">
        <f>35.0409954714286*(1-0.8198)</f>
        <v>6.3143873839514297</v>
      </c>
      <c r="C7213" s="1">
        <v>16</v>
      </c>
    </row>
    <row r="7214" spans="1:3" x14ac:dyDescent="0.3">
      <c r="A7214" t="s">
        <v>7213</v>
      </c>
      <c r="B7214">
        <f>17.4351587685714*(1-0.8198)</f>
        <v>3.1418156100965717</v>
      </c>
      <c r="C7214" s="1">
        <v>15</v>
      </c>
    </row>
    <row r="7215" spans="1:3" x14ac:dyDescent="0.3">
      <c r="A7215" t="s">
        <v>7214</v>
      </c>
      <c r="B7215">
        <f>23.1311286442857*(1-0.8198)</f>
        <v>4.1682293817002858</v>
      </c>
      <c r="C7215" s="1">
        <v>15</v>
      </c>
    </row>
    <row r="7216" spans="1:3" x14ac:dyDescent="0.3">
      <c r="A7216" t="s">
        <v>7215</v>
      </c>
      <c r="B7216">
        <f>18.5372261628571*(1-0.8198)</f>
        <v>3.3404081545468576</v>
      </c>
      <c r="C7216" s="1">
        <v>13</v>
      </c>
    </row>
    <row r="7217" spans="1:3" x14ac:dyDescent="0.3">
      <c r="A7217" t="s">
        <v>7216</v>
      </c>
      <c r="B7217">
        <f>13.2084664585714*(1-0.8198)</f>
        <v>2.3801656558345718</v>
      </c>
      <c r="C7217" s="1">
        <v>11</v>
      </c>
    </row>
    <row r="7218" spans="1:3" x14ac:dyDescent="0.3">
      <c r="A7218" t="s">
        <v>7217</v>
      </c>
      <c r="B7218">
        <f>3.02589316857143*(1-0.8198)</f>
        <v>0.54526594897657155</v>
      </c>
      <c r="C7218" s="1">
        <v>9</v>
      </c>
    </row>
    <row r="7219" spans="1:3" x14ac:dyDescent="0.3">
      <c r="A7219" t="s">
        <v>7218</v>
      </c>
      <c r="B7219">
        <f>0*(1-0.8198)</f>
        <v>0</v>
      </c>
      <c r="C7219" s="1">
        <v>7</v>
      </c>
    </row>
    <row r="7220" spans="1:3" x14ac:dyDescent="0.3">
      <c r="A7220" t="s">
        <v>7219</v>
      </c>
      <c r="B7220">
        <f>0*(1-0.8198)</f>
        <v>0</v>
      </c>
      <c r="C7220" s="1">
        <v>7</v>
      </c>
    </row>
    <row r="7221" spans="1:3" x14ac:dyDescent="0.3">
      <c r="A7221" t="s">
        <v>7220</v>
      </c>
      <c r="B7221">
        <f>0*(1-0.8198)</f>
        <v>0</v>
      </c>
      <c r="C7221" s="1">
        <v>6</v>
      </c>
    </row>
    <row r="7222" spans="1:3" x14ac:dyDescent="0.3">
      <c r="A7222" t="s">
        <v>7221</v>
      </c>
      <c r="B7222">
        <f>0*(1-0.8198)</f>
        <v>0</v>
      </c>
      <c r="C7222" s="1">
        <v>7</v>
      </c>
    </row>
    <row r="7223" spans="1:3" x14ac:dyDescent="0.3">
      <c r="A7223" t="s">
        <v>7222</v>
      </c>
      <c r="B7223">
        <f>0*(1-0.8198)</f>
        <v>0</v>
      </c>
      <c r="C7223" s="1">
        <v>5</v>
      </c>
    </row>
    <row r="7224" spans="1:3" x14ac:dyDescent="0.3">
      <c r="A7224" t="s">
        <v>7223</v>
      </c>
      <c r="B7224">
        <f>0*(1-0.8198)</f>
        <v>0</v>
      </c>
      <c r="C7224" s="1">
        <v>4</v>
      </c>
    </row>
    <row r="7225" spans="1:3" x14ac:dyDescent="0.3">
      <c r="A7225" t="s">
        <v>7224</v>
      </c>
      <c r="B7225">
        <f>0*(1-0.8198)</f>
        <v>0</v>
      </c>
      <c r="C7225" s="1">
        <v>5</v>
      </c>
    </row>
    <row r="7226" spans="1:3" x14ac:dyDescent="0.3">
      <c r="A7226" t="s">
        <v>7225</v>
      </c>
      <c r="B7226">
        <f>0*(1-0.8198)</f>
        <v>0</v>
      </c>
      <c r="C7226" s="1">
        <v>2</v>
      </c>
    </row>
    <row r="7227" spans="1:3" x14ac:dyDescent="0.3">
      <c r="A7227" t="s">
        <v>7226</v>
      </c>
      <c r="B7227">
        <f>0*(1-0.8198)</f>
        <v>0</v>
      </c>
      <c r="C7227" s="1">
        <v>2</v>
      </c>
    </row>
    <row r="7228" spans="1:3" x14ac:dyDescent="0.3">
      <c r="A7228" t="s">
        <v>7227</v>
      </c>
      <c r="B7228">
        <f>0*(1-0.8198)</f>
        <v>0</v>
      </c>
      <c r="C7228" s="1">
        <v>3</v>
      </c>
    </row>
    <row r="7229" spans="1:3" x14ac:dyDescent="0.3">
      <c r="A7229" t="s">
        <v>7228</v>
      </c>
      <c r="B7229">
        <f>0*(1-0.8198)</f>
        <v>0</v>
      </c>
      <c r="C7229" s="1">
        <v>2</v>
      </c>
    </row>
    <row r="7230" spans="1:3" x14ac:dyDescent="0.3">
      <c r="A7230" t="s">
        <v>7229</v>
      </c>
      <c r="B7230">
        <f>0*(1-0.8198)</f>
        <v>0</v>
      </c>
      <c r="C7230" s="1">
        <v>3</v>
      </c>
    </row>
    <row r="7231" spans="1:3" x14ac:dyDescent="0.3">
      <c r="A7231" t="s">
        <v>7230</v>
      </c>
      <c r="B7231">
        <f>0*(1-0.8198)</f>
        <v>0</v>
      </c>
      <c r="C7231" s="1">
        <v>2</v>
      </c>
    </row>
    <row r="7232" spans="1:3" x14ac:dyDescent="0.3">
      <c r="A7232" t="s">
        <v>7231</v>
      </c>
      <c r="B7232">
        <f>0*(1-0.8198)</f>
        <v>0</v>
      </c>
      <c r="C7232" s="1">
        <v>3</v>
      </c>
    </row>
    <row r="7233" spans="1:3" x14ac:dyDescent="0.3">
      <c r="A7233" t="s">
        <v>7232</v>
      </c>
      <c r="B7233">
        <f>6.61361899285714*(1-0.8198)</f>
        <v>1.1917741425128574</v>
      </c>
      <c r="C7233" s="1">
        <v>4</v>
      </c>
    </row>
    <row r="7234" spans="1:3" x14ac:dyDescent="0.3">
      <c r="A7234" t="s">
        <v>7233</v>
      </c>
      <c r="B7234">
        <f>18.4098774857143*(1-0.8198)</f>
        <v>3.3174599229257153</v>
      </c>
      <c r="C7234" s="1">
        <v>13</v>
      </c>
    </row>
    <row r="7235" spans="1:3" x14ac:dyDescent="0.3">
      <c r="A7235" t="s">
        <v>7234</v>
      </c>
      <c r="B7235">
        <f>26.7818092942857*(1-0.8198)</f>
        <v>4.8260820348302875</v>
      </c>
      <c r="C7235" s="1">
        <v>14</v>
      </c>
    </row>
    <row r="7236" spans="1:3" x14ac:dyDescent="0.3">
      <c r="A7236" t="s">
        <v>7235</v>
      </c>
      <c r="B7236">
        <f>35.1397024014286*(1-0.8198)</f>
        <v>6.3321743727374304</v>
      </c>
      <c r="C7236" s="1">
        <v>17</v>
      </c>
    </row>
    <row r="7237" spans="1:3" x14ac:dyDescent="0.3">
      <c r="A7237" t="s">
        <v>7236</v>
      </c>
      <c r="B7237">
        <f>34.0682750871429*(1-0.8198)</f>
        <v>6.1391031707031436</v>
      </c>
      <c r="C7237" s="1">
        <v>14</v>
      </c>
    </row>
    <row r="7238" spans="1:3" x14ac:dyDescent="0.3">
      <c r="A7238" t="s">
        <v>7237</v>
      </c>
      <c r="B7238">
        <f>34.9308105514286*(1-0.8198)</f>
        <v>6.2945320613674305</v>
      </c>
      <c r="C7238" s="1">
        <v>13</v>
      </c>
    </row>
    <row r="7239" spans="1:3" x14ac:dyDescent="0.3">
      <c r="A7239" t="s">
        <v>7238</v>
      </c>
      <c r="B7239">
        <f>31.6189323071429*(1-0.8198)</f>
        <v>5.6977316017471447</v>
      </c>
      <c r="C7239" s="1">
        <v>13</v>
      </c>
    </row>
    <row r="7240" spans="1:3" x14ac:dyDescent="0.3">
      <c r="A7240" t="s">
        <v>7239</v>
      </c>
      <c r="B7240">
        <f>21.3790101628571*(1-0.8198)</f>
        <v>3.8524976313468584</v>
      </c>
      <c r="C7240" s="1">
        <v>11</v>
      </c>
    </row>
    <row r="7241" spans="1:3" x14ac:dyDescent="0.3">
      <c r="A7241" t="s">
        <v>7240</v>
      </c>
      <c r="B7241">
        <f>10.0785705414286*(1-0.8198)</f>
        <v>1.8161584115654286</v>
      </c>
      <c r="C7241" s="1">
        <v>11</v>
      </c>
    </row>
    <row r="7242" spans="1:3" x14ac:dyDescent="0.3">
      <c r="A7242" t="s">
        <v>7241</v>
      </c>
      <c r="B7242">
        <f>2.31954058428571*(1-0.8198)</f>
        <v>0.4179812132882858</v>
      </c>
      <c r="C7242" s="1">
        <v>10</v>
      </c>
    </row>
    <row r="7243" spans="1:3" x14ac:dyDescent="0.3">
      <c r="A7243" t="s">
        <v>7242</v>
      </c>
      <c r="B7243">
        <f>0*(1-0.8198)</f>
        <v>0</v>
      </c>
      <c r="C7243" s="1">
        <v>7</v>
      </c>
    </row>
    <row r="7244" spans="1:3" x14ac:dyDescent="0.3">
      <c r="A7244" t="s">
        <v>7243</v>
      </c>
      <c r="B7244">
        <f>0*(1-0.8198)</f>
        <v>0</v>
      </c>
      <c r="C7244" s="1">
        <v>8</v>
      </c>
    </row>
    <row r="7245" spans="1:3" x14ac:dyDescent="0.3">
      <c r="A7245" t="s">
        <v>7244</v>
      </c>
      <c r="B7245">
        <f>0*(1-0.8198)</f>
        <v>0</v>
      </c>
      <c r="C7245" s="1">
        <v>6</v>
      </c>
    </row>
    <row r="7246" spans="1:3" x14ac:dyDescent="0.3">
      <c r="A7246" t="s">
        <v>7245</v>
      </c>
      <c r="B7246">
        <f>0*(1-0.8198)</f>
        <v>0</v>
      </c>
      <c r="C7246" s="1">
        <v>6</v>
      </c>
    </row>
    <row r="7247" spans="1:3" x14ac:dyDescent="0.3">
      <c r="A7247" t="s">
        <v>7246</v>
      </c>
      <c r="B7247">
        <f>0*(1-0.8198)</f>
        <v>0</v>
      </c>
      <c r="C7247" s="1">
        <v>6</v>
      </c>
    </row>
    <row r="7248" spans="1:3" x14ac:dyDescent="0.3">
      <c r="A7248" t="s">
        <v>7247</v>
      </c>
      <c r="B7248">
        <f>0*(1-0.8198)</f>
        <v>0</v>
      </c>
      <c r="C7248" s="1">
        <v>4</v>
      </c>
    </row>
    <row r="7249" spans="1:3" x14ac:dyDescent="0.3">
      <c r="A7249" t="s">
        <v>7248</v>
      </c>
      <c r="B7249">
        <f>0*(1-0.8198)</f>
        <v>0</v>
      </c>
      <c r="C7249" s="1">
        <v>5</v>
      </c>
    </row>
    <row r="7250" spans="1:3" x14ac:dyDescent="0.3">
      <c r="A7250" t="s">
        <v>7249</v>
      </c>
      <c r="B7250">
        <f>0*(1-0.8198)</f>
        <v>0</v>
      </c>
      <c r="C7250" s="1">
        <v>2</v>
      </c>
    </row>
    <row r="7251" spans="1:3" x14ac:dyDescent="0.3">
      <c r="A7251" t="s">
        <v>7250</v>
      </c>
      <c r="B7251">
        <f>0*(1-0.8198)</f>
        <v>0</v>
      </c>
      <c r="C7251" s="1">
        <v>3</v>
      </c>
    </row>
    <row r="7252" spans="1:3" x14ac:dyDescent="0.3">
      <c r="A7252" t="s">
        <v>7251</v>
      </c>
      <c r="B7252">
        <f>0*(1-0.8198)</f>
        <v>0</v>
      </c>
      <c r="C7252" s="1">
        <v>2</v>
      </c>
    </row>
    <row r="7253" spans="1:3" x14ac:dyDescent="0.3">
      <c r="A7253" t="s">
        <v>7252</v>
      </c>
      <c r="B7253">
        <f>0*(1-0.8198)</f>
        <v>0</v>
      </c>
      <c r="C7253" s="1">
        <v>2</v>
      </c>
    </row>
    <row r="7254" spans="1:3" x14ac:dyDescent="0.3">
      <c r="A7254" t="s">
        <v>7253</v>
      </c>
      <c r="B7254">
        <f>0*(1-0.8198)</f>
        <v>0</v>
      </c>
      <c r="C7254" s="1">
        <v>2</v>
      </c>
    </row>
    <row r="7255" spans="1:3" x14ac:dyDescent="0.3">
      <c r="A7255" t="s">
        <v>7254</v>
      </c>
      <c r="B7255">
        <f>0*(1-0.8198)</f>
        <v>0</v>
      </c>
      <c r="C7255" s="1">
        <v>3</v>
      </c>
    </row>
    <row r="7256" spans="1:3" x14ac:dyDescent="0.3">
      <c r="A7256" t="s">
        <v>7255</v>
      </c>
      <c r="B7256">
        <f>0*(1-0.8198)</f>
        <v>0</v>
      </c>
      <c r="C7256" s="1">
        <v>2</v>
      </c>
    </row>
    <row r="7257" spans="1:3" x14ac:dyDescent="0.3">
      <c r="A7257" t="s">
        <v>7256</v>
      </c>
      <c r="B7257">
        <f>1.84865243714286*(1-0.8198)</f>
        <v>0.33312716917314295</v>
      </c>
      <c r="C7257" s="1">
        <v>10</v>
      </c>
    </row>
    <row r="7258" spans="1:3" x14ac:dyDescent="0.3">
      <c r="A7258" t="s">
        <v>7257</v>
      </c>
      <c r="B7258">
        <f>2.53528*(1-0.8198)</f>
        <v>0.45685745600000016</v>
      </c>
      <c r="C7258" s="1">
        <v>14</v>
      </c>
    </row>
    <row r="7259" spans="1:3" x14ac:dyDescent="0.3">
      <c r="A7259" t="s">
        <v>7258</v>
      </c>
      <c r="B7259">
        <f>7.21884*(1-0.8198)</f>
        <v>1.3008349680000004</v>
      </c>
      <c r="C7259" s="1">
        <v>17</v>
      </c>
    </row>
    <row r="7260" spans="1:3" x14ac:dyDescent="0.3">
      <c r="A7260" t="s">
        <v>7259</v>
      </c>
      <c r="B7260">
        <f>32.8630301757143*(1-0.8198)</f>
        <v>5.9219180376637155</v>
      </c>
      <c r="C7260" s="1">
        <v>20</v>
      </c>
    </row>
    <row r="7261" spans="1:3" x14ac:dyDescent="0.3">
      <c r="A7261" t="s">
        <v>7260</v>
      </c>
      <c r="B7261">
        <f>39.1283136014286*(1-0.8198)</f>
        <v>7.0509221109774298</v>
      </c>
      <c r="C7261" s="1">
        <v>18</v>
      </c>
    </row>
    <row r="7262" spans="1:3" x14ac:dyDescent="0.3">
      <c r="A7262" t="s">
        <v>7261</v>
      </c>
      <c r="B7262">
        <f>38.7544046442857*(1-0.8198)</f>
        <v>6.9835437169002876</v>
      </c>
      <c r="C7262" s="1">
        <v>15</v>
      </c>
    </row>
    <row r="7263" spans="1:3" x14ac:dyDescent="0.3">
      <c r="A7263" t="s">
        <v>7262</v>
      </c>
      <c r="B7263">
        <f>12.9494901128571*(1-0.8198)</f>
        <v>2.3334981183368577</v>
      </c>
      <c r="C7263" s="1">
        <v>16</v>
      </c>
    </row>
    <row r="7264" spans="1:3" x14ac:dyDescent="0.3">
      <c r="A7264" t="s">
        <v>7263</v>
      </c>
      <c r="B7264">
        <f>21.9831814171429*(1-0.8198)</f>
        <v>3.9613692913691425</v>
      </c>
      <c r="C7264" s="1">
        <v>14</v>
      </c>
    </row>
    <row r="7265" spans="1:3" x14ac:dyDescent="0.3">
      <c r="A7265" t="s">
        <v>7264</v>
      </c>
      <c r="B7265">
        <f>13.4240200528571*(1-0.8198)</f>
        <v>2.4190084135248582</v>
      </c>
      <c r="C7265" s="1">
        <v>11</v>
      </c>
    </row>
    <row r="7266" spans="1:3" x14ac:dyDescent="0.3">
      <c r="A7266" t="s">
        <v>7265</v>
      </c>
      <c r="B7266">
        <f>2.92921700571429*(1-0.8198)</f>
        <v>0.52784490442971443</v>
      </c>
      <c r="C7266" s="1">
        <v>10</v>
      </c>
    </row>
    <row r="7267" spans="1:3" x14ac:dyDescent="0.3">
      <c r="A7267" t="s">
        <v>7266</v>
      </c>
      <c r="B7267">
        <f>0*(1-0.8198)</f>
        <v>0</v>
      </c>
      <c r="C7267" s="1">
        <v>6</v>
      </c>
    </row>
    <row r="7268" spans="1:3" x14ac:dyDescent="0.3">
      <c r="A7268" t="s">
        <v>7267</v>
      </c>
      <c r="B7268">
        <f>0*(1-0.8198)</f>
        <v>0</v>
      </c>
      <c r="C7268" s="1">
        <v>7</v>
      </c>
    </row>
    <row r="7269" spans="1:3" x14ac:dyDescent="0.3">
      <c r="A7269" t="s">
        <v>7268</v>
      </c>
      <c r="B7269">
        <f>0*(1-0.8198)</f>
        <v>0</v>
      </c>
      <c r="C7269" s="1">
        <v>6</v>
      </c>
    </row>
    <row r="7270" spans="1:3" x14ac:dyDescent="0.3">
      <c r="A7270" t="s">
        <v>7269</v>
      </c>
      <c r="B7270">
        <f>0*(1-0.8198)</f>
        <v>0</v>
      </c>
      <c r="C7270" s="1">
        <v>5</v>
      </c>
    </row>
    <row r="7271" spans="1:3" x14ac:dyDescent="0.3">
      <c r="A7271" t="s">
        <v>7270</v>
      </c>
      <c r="B7271">
        <f>0*(1-0.8198)</f>
        <v>0</v>
      </c>
      <c r="C7271" s="1">
        <v>5</v>
      </c>
    </row>
    <row r="7272" spans="1:3" x14ac:dyDescent="0.3">
      <c r="A7272" t="s">
        <v>7271</v>
      </c>
      <c r="B7272">
        <f>0*(1-0.8198)</f>
        <v>0</v>
      </c>
      <c r="C7272" s="1">
        <v>4</v>
      </c>
    </row>
    <row r="7273" spans="1:3" x14ac:dyDescent="0.3">
      <c r="A7273" t="s">
        <v>7272</v>
      </c>
      <c r="B7273">
        <f>0*(1-0.8198)</f>
        <v>0</v>
      </c>
      <c r="C7273" s="1">
        <v>5</v>
      </c>
    </row>
    <row r="7274" spans="1:3" x14ac:dyDescent="0.3">
      <c r="A7274" t="s">
        <v>7273</v>
      </c>
      <c r="B7274">
        <f>0*(1-0.8198)</f>
        <v>0</v>
      </c>
      <c r="C7274" s="1">
        <v>2</v>
      </c>
    </row>
    <row r="7275" spans="1:3" x14ac:dyDescent="0.3">
      <c r="A7275" t="s">
        <v>7274</v>
      </c>
      <c r="B7275">
        <f>0*(1-0.8198)</f>
        <v>0</v>
      </c>
      <c r="C7275" s="1">
        <v>3</v>
      </c>
    </row>
    <row r="7276" spans="1:3" x14ac:dyDescent="0.3">
      <c r="A7276" t="s">
        <v>7275</v>
      </c>
      <c r="B7276">
        <f>0*(1-0.8198)</f>
        <v>0</v>
      </c>
      <c r="C7276" s="1">
        <v>2</v>
      </c>
    </row>
    <row r="7277" spans="1:3" x14ac:dyDescent="0.3">
      <c r="A7277" t="s">
        <v>7276</v>
      </c>
      <c r="B7277">
        <f>0*(1-0.8198)</f>
        <v>0</v>
      </c>
      <c r="C7277" s="1">
        <v>3</v>
      </c>
    </row>
    <row r="7278" spans="1:3" x14ac:dyDescent="0.3">
      <c r="A7278" t="s">
        <v>7277</v>
      </c>
      <c r="B7278">
        <f>0*(1-0.8198)</f>
        <v>0</v>
      </c>
      <c r="C7278" s="1">
        <v>2</v>
      </c>
    </row>
    <row r="7279" spans="1:3" x14ac:dyDescent="0.3">
      <c r="A7279" t="s">
        <v>7278</v>
      </c>
      <c r="B7279">
        <f>0*(1-0.8198)</f>
        <v>0</v>
      </c>
      <c r="C7279" s="1">
        <v>3</v>
      </c>
    </row>
    <row r="7280" spans="1:3" x14ac:dyDescent="0.3">
      <c r="A7280" t="s">
        <v>7279</v>
      </c>
      <c r="B7280">
        <f>0*(1-0.8198)</f>
        <v>0</v>
      </c>
      <c r="C7280" s="1">
        <v>2</v>
      </c>
    </row>
    <row r="7281" spans="1:3" x14ac:dyDescent="0.3">
      <c r="A7281" t="s">
        <v>7280</v>
      </c>
      <c r="B7281">
        <f>6.00075799142857*(1-0.8198)</f>
        <v>1.0813365900554288</v>
      </c>
      <c r="C7281" s="1">
        <v>9</v>
      </c>
    </row>
    <row r="7282" spans="1:3" x14ac:dyDescent="0.3">
      <c r="A7282" t="s">
        <v>7281</v>
      </c>
      <c r="B7282">
        <f>17.9460589685714*(1-0.8198)</f>
        <v>3.2338798261365724</v>
      </c>
      <c r="C7282" s="1">
        <v>16</v>
      </c>
    </row>
    <row r="7283" spans="1:3" x14ac:dyDescent="0.3">
      <c r="A7283" t="s">
        <v>7282</v>
      </c>
      <c r="B7283">
        <f>26.9747920042857*(1-0.8198)</f>
        <v>4.8608575191722867</v>
      </c>
      <c r="C7283" s="1">
        <v>18</v>
      </c>
    </row>
    <row r="7284" spans="1:3" x14ac:dyDescent="0.3">
      <c r="A7284" t="s">
        <v>7283</v>
      </c>
      <c r="B7284">
        <f>36.3809004114286*(1-0.8198)</f>
        <v>6.5558382541394309</v>
      </c>
      <c r="C7284" s="1">
        <v>15</v>
      </c>
    </row>
    <row r="7285" spans="1:3" x14ac:dyDescent="0.3">
      <c r="A7285" t="s">
        <v>7284</v>
      </c>
      <c r="B7285">
        <f>40.9693092742857*(1-0.8198)</f>
        <v>7.3826695312262878</v>
      </c>
      <c r="C7285" s="1">
        <v>17</v>
      </c>
    </row>
    <row r="7286" spans="1:3" x14ac:dyDescent="0.3">
      <c r="A7286" t="s">
        <v>7285</v>
      </c>
      <c r="B7286">
        <f>37.6096658928571*(1-0.8198)</f>
        <v>6.7772617938928583</v>
      </c>
      <c r="C7286" s="1">
        <v>19</v>
      </c>
    </row>
    <row r="7287" spans="1:3" x14ac:dyDescent="0.3">
      <c r="A7287" t="s">
        <v>7286</v>
      </c>
      <c r="B7287">
        <f>24.0867397585714*(1-0.8198)</f>
        <v>4.3404305044945719</v>
      </c>
      <c r="C7287" s="1">
        <v>16</v>
      </c>
    </row>
    <row r="7288" spans="1:3" x14ac:dyDescent="0.3">
      <c r="A7288" t="s">
        <v>7287</v>
      </c>
      <c r="B7288">
        <f>14.2375363157143*(1-0.8198)</f>
        <v>2.5656040440917156</v>
      </c>
      <c r="C7288" s="1">
        <v>11</v>
      </c>
    </row>
    <row r="7289" spans="1:3" x14ac:dyDescent="0.3">
      <c r="A7289" t="s">
        <v>7288</v>
      </c>
      <c r="B7289">
        <f>7.22228411571429*(1-0.8198)</f>
        <v>1.3014555976517146</v>
      </c>
      <c r="C7289" s="1">
        <v>10</v>
      </c>
    </row>
    <row r="7290" spans="1:3" x14ac:dyDescent="0.3">
      <c r="A7290" t="s">
        <v>7289</v>
      </c>
      <c r="B7290">
        <f>1.83431752714286*(1-0.8198)</f>
        <v>0.33054401839114289</v>
      </c>
      <c r="C7290" s="1">
        <v>8</v>
      </c>
    </row>
    <row r="7291" spans="1:3" x14ac:dyDescent="0.3">
      <c r="A7291" t="s">
        <v>7290</v>
      </c>
      <c r="B7291">
        <f>0*(1-0.8198)</f>
        <v>0</v>
      </c>
      <c r="C7291" s="1">
        <v>8</v>
      </c>
    </row>
    <row r="7292" spans="1:3" x14ac:dyDescent="0.3">
      <c r="A7292" t="s">
        <v>7291</v>
      </c>
      <c r="B7292">
        <f>0*(1-0.8198)</f>
        <v>0</v>
      </c>
      <c r="C7292" s="1">
        <v>7</v>
      </c>
    </row>
    <row r="7293" spans="1:3" x14ac:dyDescent="0.3">
      <c r="A7293" t="s">
        <v>7292</v>
      </c>
      <c r="B7293">
        <f>0*(1-0.8198)</f>
        <v>0</v>
      </c>
      <c r="C7293" s="1">
        <v>6</v>
      </c>
    </row>
    <row r="7294" spans="1:3" x14ac:dyDescent="0.3">
      <c r="A7294" t="s">
        <v>7293</v>
      </c>
      <c r="B7294">
        <f>0*(1-0.8198)</f>
        <v>0</v>
      </c>
      <c r="C7294" s="1">
        <v>6</v>
      </c>
    </row>
    <row r="7295" spans="1:3" x14ac:dyDescent="0.3">
      <c r="A7295" t="s">
        <v>7294</v>
      </c>
      <c r="B7295">
        <f>0*(1-0.8198)</f>
        <v>0</v>
      </c>
      <c r="C7295" s="1">
        <v>6</v>
      </c>
    </row>
    <row r="7296" spans="1:3" x14ac:dyDescent="0.3">
      <c r="A7296" t="s">
        <v>7295</v>
      </c>
      <c r="B7296">
        <f>0*(1-0.8198)</f>
        <v>0</v>
      </c>
      <c r="C7296" s="1">
        <v>5</v>
      </c>
    </row>
    <row r="7297" spans="1:3" x14ac:dyDescent="0.3">
      <c r="A7297" t="s">
        <v>7296</v>
      </c>
      <c r="B7297">
        <f>0*(1-0.8198)</f>
        <v>0</v>
      </c>
      <c r="C7297" s="1">
        <v>4</v>
      </c>
    </row>
    <row r="7298" spans="1:3" x14ac:dyDescent="0.3">
      <c r="A7298" t="s">
        <v>7297</v>
      </c>
      <c r="B7298">
        <f>0*(1-0.8198)</f>
        <v>0</v>
      </c>
      <c r="C7298" s="1">
        <v>3</v>
      </c>
    </row>
    <row r="7299" spans="1:3" x14ac:dyDescent="0.3">
      <c r="A7299" t="s">
        <v>7298</v>
      </c>
      <c r="B7299">
        <f>0*(1-0.8198)</f>
        <v>0</v>
      </c>
      <c r="C7299" s="1">
        <v>2</v>
      </c>
    </row>
    <row r="7300" spans="1:3" x14ac:dyDescent="0.3">
      <c r="A7300" t="s">
        <v>7299</v>
      </c>
      <c r="B7300">
        <f>0*(1-0.8198)</f>
        <v>0</v>
      </c>
      <c r="C7300" s="1">
        <v>2</v>
      </c>
    </row>
    <row r="7301" spans="1:3" x14ac:dyDescent="0.3">
      <c r="A7301" t="s">
        <v>7300</v>
      </c>
      <c r="B7301">
        <f>0*(1-0.8198)</f>
        <v>0</v>
      </c>
      <c r="C7301" s="1">
        <v>3</v>
      </c>
    </row>
    <row r="7302" spans="1:3" x14ac:dyDescent="0.3">
      <c r="A7302" t="s">
        <v>7301</v>
      </c>
      <c r="B7302">
        <f>0*(1-0.8198)</f>
        <v>0</v>
      </c>
      <c r="C7302" s="1">
        <v>2</v>
      </c>
    </row>
    <row r="7303" spans="1:3" x14ac:dyDescent="0.3">
      <c r="A7303" t="s">
        <v>7302</v>
      </c>
      <c r="B7303">
        <f>0*(1-0.8198)</f>
        <v>0</v>
      </c>
      <c r="C7303" s="1">
        <v>3</v>
      </c>
    </row>
    <row r="7304" spans="1:3" x14ac:dyDescent="0.3">
      <c r="A7304" t="s">
        <v>7303</v>
      </c>
      <c r="B7304">
        <f>0*(1-0.8198)</f>
        <v>0</v>
      </c>
      <c r="C7304" s="1">
        <v>2</v>
      </c>
    </row>
    <row r="7305" spans="1:3" x14ac:dyDescent="0.3">
      <c r="A7305" t="s">
        <v>7304</v>
      </c>
      <c r="B7305">
        <f>6.46724447428571*(1-0.8198)</f>
        <v>1.1653974542662859</v>
      </c>
      <c r="C7305" s="1">
        <v>3</v>
      </c>
    </row>
    <row r="7306" spans="1:3" x14ac:dyDescent="0.3">
      <c r="A7306" t="s">
        <v>7305</v>
      </c>
      <c r="B7306">
        <f>19.6892965985714*(1-0.8198)</f>
        <v>3.5480112470625724</v>
      </c>
      <c r="C7306" s="1">
        <v>2</v>
      </c>
    </row>
    <row r="7307" spans="1:3" x14ac:dyDescent="0.3">
      <c r="A7307" t="s">
        <v>7306</v>
      </c>
      <c r="B7307">
        <f>23.7082821385714*(1-0.8198)</f>
        <v>4.2722324413705719</v>
      </c>
      <c r="C7307" s="1">
        <v>2</v>
      </c>
    </row>
    <row r="7308" spans="1:3" x14ac:dyDescent="0.3">
      <c r="A7308" t="s">
        <v>7307</v>
      </c>
      <c r="B7308">
        <f>19.3847881057143*(1-0.8198)</f>
        <v>3.4931388166497155</v>
      </c>
      <c r="C7308" s="1">
        <v>3</v>
      </c>
    </row>
    <row r="7309" spans="1:3" x14ac:dyDescent="0.3">
      <c r="A7309" t="s">
        <v>7308</v>
      </c>
      <c r="B7309">
        <f>32.0624679085714*(1-0.8198)</f>
        <v>5.7776567171245734</v>
      </c>
      <c r="C7309" s="1">
        <v>2</v>
      </c>
    </row>
    <row r="7310" spans="1:3" x14ac:dyDescent="0.3">
      <c r="A7310" t="s">
        <v>7309</v>
      </c>
      <c r="B7310">
        <f>40.0063814642857*(1-0.8198)</f>
        <v>7.2091499398642869</v>
      </c>
      <c r="C7310" s="1">
        <v>2</v>
      </c>
    </row>
    <row r="7311" spans="1:3" x14ac:dyDescent="0.3">
      <c r="A7311" t="s">
        <v>7310</v>
      </c>
      <c r="B7311">
        <f>10.7622427142857*(1-0.8198)</f>
        <v>1.9393561371142862</v>
      </c>
      <c r="C7311" s="1">
        <v>3</v>
      </c>
    </row>
    <row r="7312" spans="1:3" x14ac:dyDescent="0.3">
      <c r="A7312" t="s">
        <v>7311</v>
      </c>
      <c r="B7312">
        <f>21.6476569628571*(1-0.8198)</f>
        <v>3.9009077847068574</v>
      </c>
      <c r="C7312" s="1">
        <v>2</v>
      </c>
    </row>
    <row r="7313" spans="1:3" x14ac:dyDescent="0.3">
      <c r="A7313" t="s">
        <v>7312</v>
      </c>
      <c r="B7313">
        <f>9.83502886142857*(1-0.8198)</f>
        <v>1.7722722008294287</v>
      </c>
      <c r="C7313" s="1">
        <v>2</v>
      </c>
    </row>
    <row r="7314" spans="1:3" x14ac:dyDescent="0.3">
      <c r="A7314" t="s">
        <v>7313</v>
      </c>
      <c r="B7314">
        <f>2.44670847714286*(1-0.8198)</f>
        <v>0.44089686758114294</v>
      </c>
      <c r="C7314" s="1">
        <v>3</v>
      </c>
    </row>
    <row r="7315" spans="1:3" x14ac:dyDescent="0.3">
      <c r="A7315" t="s">
        <v>7314</v>
      </c>
      <c r="B7315">
        <f>0*(1-0.8198)</f>
        <v>0</v>
      </c>
      <c r="C7315" s="1">
        <v>2</v>
      </c>
    </row>
    <row r="7316" spans="1:3" x14ac:dyDescent="0.3">
      <c r="A7316" t="s">
        <v>7315</v>
      </c>
      <c r="B7316">
        <f>0*(1-0.8198)</f>
        <v>0</v>
      </c>
      <c r="C7316" s="1">
        <v>3</v>
      </c>
    </row>
    <row r="7317" spans="1:3" x14ac:dyDescent="0.3">
      <c r="A7317" t="s">
        <v>7316</v>
      </c>
      <c r="B7317">
        <f>0*(1-0.8198)</f>
        <v>0</v>
      </c>
      <c r="C7317" s="1">
        <v>2</v>
      </c>
    </row>
    <row r="7318" spans="1:3" x14ac:dyDescent="0.3">
      <c r="A7318" t="s">
        <v>7317</v>
      </c>
      <c r="B7318">
        <f>0*(1-0.8198)</f>
        <v>0</v>
      </c>
      <c r="C7318" s="1">
        <v>3</v>
      </c>
    </row>
    <row r="7319" spans="1:3" x14ac:dyDescent="0.3">
      <c r="A7319" t="s">
        <v>7318</v>
      </c>
      <c r="B7319">
        <f>0*(1-0.8198)</f>
        <v>0</v>
      </c>
      <c r="C7319" s="1">
        <v>2</v>
      </c>
    </row>
    <row r="7320" spans="1:3" x14ac:dyDescent="0.3">
      <c r="A7320" t="s">
        <v>7319</v>
      </c>
      <c r="B7320">
        <f>0*(1-0.8198)</f>
        <v>0</v>
      </c>
      <c r="C7320" s="1">
        <v>2</v>
      </c>
    </row>
    <row r="7321" spans="1:3" x14ac:dyDescent="0.3">
      <c r="A7321" t="s">
        <v>7320</v>
      </c>
      <c r="B7321">
        <f>0*(1-0.8198)</f>
        <v>0</v>
      </c>
      <c r="C7321" s="1">
        <v>3</v>
      </c>
    </row>
    <row r="7322" spans="1:3" x14ac:dyDescent="0.3">
      <c r="A7322" t="s">
        <v>7321</v>
      </c>
      <c r="B7322">
        <f>0*(1-0.8198)</f>
        <v>0</v>
      </c>
      <c r="C7322" s="1">
        <v>2</v>
      </c>
    </row>
    <row r="7323" spans="1:3" x14ac:dyDescent="0.3">
      <c r="A7323" t="s">
        <v>7322</v>
      </c>
      <c r="B7323">
        <f>0*(1-0.8198)</f>
        <v>0</v>
      </c>
      <c r="C7323" s="1">
        <v>2</v>
      </c>
    </row>
    <row r="7324" spans="1:3" x14ac:dyDescent="0.3">
      <c r="A7324" t="s">
        <v>7323</v>
      </c>
      <c r="B7324">
        <f>0*(1-0.8198)</f>
        <v>0</v>
      </c>
      <c r="C7324" s="1">
        <v>3</v>
      </c>
    </row>
    <row r="7325" spans="1:3" x14ac:dyDescent="0.3">
      <c r="A7325" t="s">
        <v>7324</v>
      </c>
      <c r="B7325">
        <f>0*(1-0.8198)</f>
        <v>0</v>
      </c>
      <c r="C7325" s="1">
        <v>2</v>
      </c>
    </row>
    <row r="7326" spans="1:3" x14ac:dyDescent="0.3">
      <c r="A7326" t="s">
        <v>7325</v>
      </c>
      <c r="B7326">
        <f>0*(1-0.8198)</f>
        <v>0</v>
      </c>
      <c r="C7326" s="1">
        <v>2</v>
      </c>
    </row>
    <row r="7327" spans="1:3" x14ac:dyDescent="0.3">
      <c r="A7327" t="s">
        <v>7326</v>
      </c>
      <c r="B7327">
        <f>0*(1-0.8198)</f>
        <v>0</v>
      </c>
      <c r="C7327" s="1">
        <v>3</v>
      </c>
    </row>
    <row r="7328" spans="1:3" x14ac:dyDescent="0.3">
      <c r="A7328" t="s">
        <v>7327</v>
      </c>
      <c r="B7328">
        <f>0*(1-0.8198)</f>
        <v>0</v>
      </c>
      <c r="C7328" s="1">
        <v>2</v>
      </c>
    </row>
    <row r="7329" spans="1:3" x14ac:dyDescent="0.3">
      <c r="A7329" t="s">
        <v>7328</v>
      </c>
      <c r="B7329">
        <f>2.50886639*(1-0.8198)</f>
        <v>0.45209772347800009</v>
      </c>
      <c r="C7329" s="1">
        <v>3</v>
      </c>
    </row>
    <row r="7330" spans="1:3" x14ac:dyDescent="0.3">
      <c r="A7330" t="s">
        <v>7329</v>
      </c>
      <c r="B7330">
        <f>17.1863049914286*(1-0.8198)</f>
        <v>3.0969721594554289</v>
      </c>
      <c r="C7330" s="1">
        <v>2</v>
      </c>
    </row>
    <row r="7331" spans="1:3" x14ac:dyDescent="0.3">
      <c r="A7331" t="s">
        <v>7330</v>
      </c>
      <c r="B7331">
        <f>11.4795959885714*(1-0.8198)</f>
        <v>2.068623197140572</v>
      </c>
      <c r="C7331" s="1">
        <v>2</v>
      </c>
    </row>
    <row r="7332" spans="1:3" x14ac:dyDescent="0.3">
      <c r="A7332" t="s">
        <v>7331</v>
      </c>
      <c r="B7332">
        <f>8.76598*(1-0.8198)</f>
        <v>1.5796295960000006</v>
      </c>
      <c r="C7332" s="1">
        <v>3</v>
      </c>
    </row>
    <row r="7333" spans="1:3" x14ac:dyDescent="0.3">
      <c r="A7333" t="s">
        <v>7332</v>
      </c>
      <c r="B7333">
        <f>2.43036*(1-0.8198)</f>
        <v>0.43795087200000021</v>
      </c>
      <c r="C7333" s="1">
        <v>2</v>
      </c>
    </row>
    <row r="7334" spans="1:3" x14ac:dyDescent="0.3">
      <c r="A7334" t="s">
        <v>7333</v>
      </c>
      <c r="B7334">
        <f>39.1105112328571*(1-0.8198)</f>
        <v>7.0477141241608585</v>
      </c>
      <c r="C7334" s="1">
        <v>2</v>
      </c>
    </row>
    <row r="7335" spans="1:3" x14ac:dyDescent="0.3">
      <c r="A7335" t="s">
        <v>7334</v>
      </c>
      <c r="B7335">
        <f>23.7482811685714*(1-0.8198)</f>
        <v>4.2794402665765725</v>
      </c>
      <c r="C7335" s="1">
        <v>2</v>
      </c>
    </row>
    <row r="7336" spans="1:3" x14ac:dyDescent="0.3">
      <c r="A7336" t="s">
        <v>7335</v>
      </c>
      <c r="B7336">
        <f>1.88598*(1-0.8198)</f>
        <v>0.33985359600000009</v>
      </c>
      <c r="C7336" s="1">
        <v>3</v>
      </c>
    </row>
    <row r="7337" spans="1:3" x14ac:dyDescent="0.3">
      <c r="A7337" t="s">
        <v>7336</v>
      </c>
      <c r="B7337">
        <f>5.25692888*(1-0.8198)</f>
        <v>0.94729858417600021</v>
      </c>
      <c r="C7337" s="1">
        <v>2</v>
      </c>
    </row>
    <row r="7338" spans="1:3" x14ac:dyDescent="0.3">
      <c r="A7338" t="s">
        <v>7337</v>
      </c>
      <c r="B7338">
        <f>1.64740230142857*(1-0.8198)</f>
        <v>0.29686189471742869</v>
      </c>
      <c r="C7338" s="1">
        <v>2</v>
      </c>
    </row>
    <row r="7339" spans="1:3" x14ac:dyDescent="0.3">
      <c r="A7339" t="s">
        <v>7338</v>
      </c>
      <c r="B7339">
        <f>0*(1-0.8198)</f>
        <v>0</v>
      </c>
      <c r="C7339" s="1">
        <v>3</v>
      </c>
    </row>
    <row r="7340" spans="1:3" x14ac:dyDescent="0.3">
      <c r="A7340" t="s">
        <v>7339</v>
      </c>
      <c r="B7340">
        <f>0*(1-0.8198)</f>
        <v>0</v>
      </c>
      <c r="C7340" s="1">
        <v>2</v>
      </c>
    </row>
    <row r="7341" spans="1:3" x14ac:dyDescent="0.3">
      <c r="A7341" t="s">
        <v>7340</v>
      </c>
      <c r="B7341">
        <f>0*(1-0.8198)</f>
        <v>0</v>
      </c>
      <c r="C7341" s="1">
        <v>3</v>
      </c>
    </row>
    <row r="7342" spans="1:3" x14ac:dyDescent="0.3">
      <c r="A7342" t="s">
        <v>7341</v>
      </c>
      <c r="B7342">
        <f>0*(1-0.8198)</f>
        <v>0</v>
      </c>
      <c r="C7342" s="1">
        <v>2</v>
      </c>
    </row>
    <row r="7343" spans="1:3" x14ac:dyDescent="0.3">
      <c r="A7343" t="s">
        <v>7342</v>
      </c>
      <c r="B7343">
        <f>0*(1-0.8198)</f>
        <v>0</v>
      </c>
      <c r="C7343" s="1">
        <v>2</v>
      </c>
    </row>
    <row r="7344" spans="1:3" x14ac:dyDescent="0.3">
      <c r="A7344" t="s">
        <v>7343</v>
      </c>
      <c r="B7344">
        <f>0*(1-0.8198)</f>
        <v>0</v>
      </c>
      <c r="C7344" s="1">
        <v>3</v>
      </c>
    </row>
    <row r="7345" spans="1:3" x14ac:dyDescent="0.3">
      <c r="A7345" t="s">
        <v>7344</v>
      </c>
      <c r="B7345">
        <f>0*(1-0.8198)</f>
        <v>0</v>
      </c>
      <c r="C7345" s="1">
        <v>2</v>
      </c>
    </row>
    <row r="7346" spans="1:3" x14ac:dyDescent="0.3">
      <c r="A7346" t="s">
        <v>7345</v>
      </c>
      <c r="B7346">
        <f>0*(1-0.8198)</f>
        <v>0</v>
      </c>
      <c r="C7346" s="1">
        <v>2</v>
      </c>
    </row>
    <row r="7347" spans="1:3" x14ac:dyDescent="0.3">
      <c r="A7347" t="s">
        <v>7346</v>
      </c>
      <c r="B7347">
        <f>0*(1-0.8198)</f>
        <v>0</v>
      </c>
      <c r="C7347" s="1">
        <v>3</v>
      </c>
    </row>
    <row r="7348" spans="1:3" x14ac:dyDescent="0.3">
      <c r="A7348" t="s">
        <v>7347</v>
      </c>
      <c r="B7348">
        <f>0*(1-0.8198)</f>
        <v>0</v>
      </c>
      <c r="C7348" s="1">
        <v>2</v>
      </c>
    </row>
    <row r="7349" spans="1:3" x14ac:dyDescent="0.3">
      <c r="A7349" t="s">
        <v>7348</v>
      </c>
      <c r="B7349">
        <f>0*(1-0.8198)</f>
        <v>0</v>
      </c>
      <c r="C7349" s="1">
        <v>2</v>
      </c>
    </row>
    <row r="7350" spans="1:3" x14ac:dyDescent="0.3">
      <c r="A7350" t="s">
        <v>7349</v>
      </c>
      <c r="B7350">
        <f>0*(1-0.8198)</f>
        <v>0</v>
      </c>
      <c r="C7350" s="1">
        <v>3</v>
      </c>
    </row>
    <row r="7351" spans="1:3" x14ac:dyDescent="0.3">
      <c r="A7351" t="s">
        <v>7350</v>
      </c>
      <c r="B7351">
        <f>0*(1-0.8198)</f>
        <v>0</v>
      </c>
      <c r="C7351" s="1">
        <v>2</v>
      </c>
    </row>
    <row r="7352" spans="1:3" x14ac:dyDescent="0.3">
      <c r="A7352" t="s">
        <v>7351</v>
      </c>
      <c r="B7352">
        <f>0*(1-0.8198)</f>
        <v>0</v>
      </c>
      <c r="C7352" s="1">
        <v>2</v>
      </c>
    </row>
    <row r="7353" spans="1:3" x14ac:dyDescent="0.3">
      <c r="A7353" t="s">
        <v>7352</v>
      </c>
      <c r="B7353">
        <f>6.10668775428571*(1-0.8198)</f>
        <v>1.1004251333222859</v>
      </c>
      <c r="C7353" s="1">
        <v>2</v>
      </c>
    </row>
    <row r="7354" spans="1:3" x14ac:dyDescent="0.3">
      <c r="A7354" t="s">
        <v>7353</v>
      </c>
      <c r="B7354">
        <f>18.99971856*(1-0.8198)</f>
        <v>3.423749284512001</v>
      </c>
      <c r="C7354" s="1">
        <v>3</v>
      </c>
    </row>
    <row r="7355" spans="1:3" x14ac:dyDescent="0.3">
      <c r="A7355" t="s">
        <v>7354</v>
      </c>
      <c r="B7355">
        <f>29.7263776685714*(1-0.8198)</f>
        <v>5.3566932558765723</v>
      </c>
      <c r="C7355" s="1">
        <v>2</v>
      </c>
    </row>
    <row r="7356" spans="1:3" x14ac:dyDescent="0.3">
      <c r="A7356" t="s">
        <v>7355</v>
      </c>
      <c r="B7356">
        <f>38.1551563371429*(1-0.8198)</f>
        <v>6.8755591719531433</v>
      </c>
      <c r="C7356" s="1">
        <v>2</v>
      </c>
    </row>
    <row r="7357" spans="1:3" x14ac:dyDescent="0.3">
      <c r="A7357" t="s">
        <v>7356</v>
      </c>
      <c r="B7357">
        <f>35.3643366128572*(1-0.8198)</f>
        <v>6.3726534576368596</v>
      </c>
      <c r="C7357" s="1">
        <v>3</v>
      </c>
    </row>
    <row r="7358" spans="1:3" x14ac:dyDescent="0.3">
      <c r="A7358" t="s">
        <v>7357</v>
      </c>
      <c r="B7358">
        <f>36.9820135057143*(1-0.8198)</f>
        <v>6.6641588337297142</v>
      </c>
      <c r="C7358" s="1">
        <v>2</v>
      </c>
    </row>
    <row r="7359" spans="1:3" x14ac:dyDescent="0.3">
      <c r="A7359" t="s">
        <v>7358</v>
      </c>
      <c r="B7359">
        <f>25.5074725357143*(1-0.8198)</f>
        <v>4.596446550935716</v>
      </c>
      <c r="C7359" s="1">
        <v>2</v>
      </c>
    </row>
    <row r="7360" spans="1:3" x14ac:dyDescent="0.3">
      <c r="A7360" t="s">
        <v>7359</v>
      </c>
      <c r="B7360">
        <f>18.0003354728571*(1-0.8198)</f>
        <v>3.2436604522088581</v>
      </c>
      <c r="C7360" s="1">
        <v>3</v>
      </c>
    </row>
    <row r="7361" spans="1:3" x14ac:dyDescent="0.3">
      <c r="A7361" t="s">
        <v>7360</v>
      </c>
      <c r="B7361">
        <f>13.1239769257143*(1-0.8198)</f>
        <v>2.3649406420137149</v>
      </c>
      <c r="C7361" s="1">
        <v>2</v>
      </c>
    </row>
    <row r="7362" spans="1:3" x14ac:dyDescent="0.3">
      <c r="A7362" t="s">
        <v>7361</v>
      </c>
      <c r="B7362">
        <f>2.12938217571429*(1-0.8198)</f>
        <v>0.38371466806371435</v>
      </c>
      <c r="C7362" s="1">
        <v>2</v>
      </c>
    </row>
    <row r="7363" spans="1:3" x14ac:dyDescent="0.3">
      <c r="A7363" t="s">
        <v>7362</v>
      </c>
      <c r="B7363">
        <f>0*(1-0.8198)</f>
        <v>0</v>
      </c>
      <c r="C7363" s="1">
        <v>3</v>
      </c>
    </row>
    <row r="7364" spans="1:3" x14ac:dyDescent="0.3">
      <c r="A7364" t="s">
        <v>7363</v>
      </c>
      <c r="B7364">
        <f>0*(1-0.8198)</f>
        <v>0</v>
      </c>
      <c r="C7364" s="1">
        <v>2</v>
      </c>
    </row>
    <row r="7365" spans="1:3" x14ac:dyDescent="0.3">
      <c r="A7365" t="s">
        <v>7364</v>
      </c>
      <c r="B7365">
        <f>0*(1-0.8198)</f>
        <v>0</v>
      </c>
      <c r="C7365" s="1">
        <v>2</v>
      </c>
    </row>
    <row r="7366" spans="1:3" x14ac:dyDescent="0.3">
      <c r="A7366" t="s">
        <v>7365</v>
      </c>
      <c r="B7366">
        <f>0*(1-0.8198)</f>
        <v>0</v>
      </c>
      <c r="C7366" s="1">
        <v>3</v>
      </c>
    </row>
    <row r="7367" spans="1:3" x14ac:dyDescent="0.3">
      <c r="A7367" t="s">
        <v>7366</v>
      </c>
      <c r="B7367">
        <f>0*(1-0.8198)</f>
        <v>0</v>
      </c>
      <c r="C7367" s="1">
        <v>2</v>
      </c>
    </row>
    <row r="7368" spans="1:3" x14ac:dyDescent="0.3">
      <c r="A7368" t="s">
        <v>7367</v>
      </c>
      <c r="B7368">
        <f>0*(1-0.8198)</f>
        <v>0</v>
      </c>
      <c r="C7368" s="1">
        <v>2</v>
      </c>
    </row>
    <row r="7369" spans="1:3" x14ac:dyDescent="0.3">
      <c r="A7369" t="s">
        <v>7368</v>
      </c>
      <c r="B7369">
        <f>0*(1-0.8198)</f>
        <v>0</v>
      </c>
      <c r="C7369" s="1">
        <v>3</v>
      </c>
    </row>
    <row r="7370" spans="1:3" x14ac:dyDescent="0.3">
      <c r="A7370" t="s">
        <v>7369</v>
      </c>
      <c r="B7370">
        <f>0*(1-0.8198)</f>
        <v>0</v>
      </c>
      <c r="C7370" s="1">
        <v>2</v>
      </c>
    </row>
    <row r="7371" spans="1:3" x14ac:dyDescent="0.3">
      <c r="A7371" t="s">
        <v>7370</v>
      </c>
      <c r="B7371">
        <f>0*(1-0.8198)</f>
        <v>0</v>
      </c>
      <c r="C7371" s="1">
        <v>2</v>
      </c>
    </row>
    <row r="7372" spans="1:3" x14ac:dyDescent="0.3">
      <c r="A7372" t="s">
        <v>7371</v>
      </c>
      <c r="B7372">
        <f>0*(1-0.8198)</f>
        <v>0</v>
      </c>
      <c r="C7372" s="1">
        <v>3</v>
      </c>
    </row>
    <row r="7373" spans="1:3" x14ac:dyDescent="0.3">
      <c r="A7373" t="s">
        <v>7372</v>
      </c>
      <c r="B7373">
        <f>0*(1-0.8198)</f>
        <v>0</v>
      </c>
      <c r="C7373" s="1">
        <v>2</v>
      </c>
    </row>
    <row r="7374" spans="1:3" x14ac:dyDescent="0.3">
      <c r="A7374" t="s">
        <v>7373</v>
      </c>
      <c r="B7374">
        <f>0*(1-0.8198)</f>
        <v>0</v>
      </c>
      <c r="C7374" s="1">
        <v>2</v>
      </c>
    </row>
    <row r="7375" spans="1:3" x14ac:dyDescent="0.3">
      <c r="A7375" t="s">
        <v>7374</v>
      </c>
      <c r="B7375">
        <f>0*(1-0.8198)</f>
        <v>0</v>
      </c>
      <c r="C7375" s="1">
        <v>3</v>
      </c>
    </row>
    <row r="7376" spans="1:3" x14ac:dyDescent="0.3">
      <c r="A7376" t="s">
        <v>7375</v>
      </c>
      <c r="B7376">
        <f>0*(1-0.8198)</f>
        <v>0</v>
      </c>
      <c r="C7376" s="1">
        <v>2</v>
      </c>
    </row>
    <row r="7377" spans="1:3" x14ac:dyDescent="0.3">
      <c r="A7377" t="s">
        <v>7376</v>
      </c>
      <c r="B7377">
        <f>1.11026*(1-0.8198)</f>
        <v>0.20006885200000005</v>
      </c>
      <c r="C7377" s="1">
        <v>2</v>
      </c>
    </row>
    <row r="7378" spans="1:3" x14ac:dyDescent="0.3">
      <c r="A7378" t="s">
        <v>7377</v>
      </c>
      <c r="B7378">
        <f>1.3502*(1-0.8198)</f>
        <v>0.24330604</v>
      </c>
      <c r="C7378" s="1">
        <v>3</v>
      </c>
    </row>
    <row r="7379" spans="1:3" x14ac:dyDescent="0.3">
      <c r="A7379" t="s">
        <v>7378</v>
      </c>
      <c r="B7379">
        <f>7.36332*(1-0.8198)</f>
        <v>1.3268702640000001</v>
      </c>
      <c r="C7379" s="1">
        <v>2</v>
      </c>
    </row>
    <row r="7380" spans="1:3" x14ac:dyDescent="0.3">
      <c r="A7380" t="s">
        <v>7379</v>
      </c>
      <c r="B7380">
        <f>18.9008815242857*(1-0.8198)</f>
        <v>3.4059388506762862</v>
      </c>
      <c r="C7380" s="1">
        <v>2</v>
      </c>
    </row>
    <row r="7381" spans="1:3" x14ac:dyDescent="0.3">
      <c r="A7381" t="s">
        <v>7380</v>
      </c>
      <c r="B7381">
        <f>37.8598087485714*(1-0.8198)</f>
        <v>6.8223375364925731</v>
      </c>
      <c r="C7381" s="1">
        <v>3</v>
      </c>
    </row>
    <row r="7382" spans="1:3" x14ac:dyDescent="0.3">
      <c r="A7382" t="s">
        <v>7381</v>
      </c>
      <c r="B7382">
        <f>11.2054249171429*(1-0.8198)</f>
        <v>2.0192175700691433</v>
      </c>
      <c r="C7382" s="1">
        <v>2</v>
      </c>
    </row>
    <row r="7383" spans="1:3" x14ac:dyDescent="0.3">
      <c r="A7383" t="s">
        <v>7382</v>
      </c>
      <c r="B7383">
        <f>19.1239923685714*(1-0.8198)</f>
        <v>3.4461434248165719</v>
      </c>
      <c r="C7383" s="1">
        <v>2</v>
      </c>
    </row>
    <row r="7384" spans="1:3" x14ac:dyDescent="0.3">
      <c r="A7384" t="s">
        <v>7383</v>
      </c>
      <c r="B7384">
        <f>24.2994756857143*(1-0.8198)</f>
        <v>4.3787655185657162</v>
      </c>
      <c r="C7384" s="1">
        <v>2</v>
      </c>
    </row>
    <row r="7385" spans="1:3" x14ac:dyDescent="0.3">
      <c r="A7385" t="s">
        <v>7384</v>
      </c>
      <c r="B7385">
        <f>11.9906098314286*(1-0.8198)</f>
        <v>2.1607078916234292</v>
      </c>
      <c r="C7385" s="1">
        <v>3</v>
      </c>
    </row>
    <row r="7386" spans="1:3" x14ac:dyDescent="0.3">
      <c r="A7386" t="s">
        <v>7385</v>
      </c>
      <c r="B7386">
        <f>1.74696401*(1-0.8198)</f>
        <v>0.31480291460200005</v>
      </c>
      <c r="C7386" s="1">
        <v>2</v>
      </c>
    </row>
    <row r="7387" spans="1:3" x14ac:dyDescent="0.3">
      <c r="A7387" t="s">
        <v>7386</v>
      </c>
      <c r="B7387">
        <f>0*(1-0.8198)</f>
        <v>0</v>
      </c>
      <c r="C7387" s="1">
        <v>2</v>
      </c>
    </row>
    <row r="7388" spans="1:3" x14ac:dyDescent="0.3">
      <c r="A7388" t="s">
        <v>7387</v>
      </c>
      <c r="B7388">
        <f>0*(1-0.8198)</f>
        <v>0</v>
      </c>
      <c r="C7388" s="1">
        <v>3</v>
      </c>
    </row>
    <row r="7389" spans="1:3" x14ac:dyDescent="0.3">
      <c r="A7389" t="s">
        <v>7388</v>
      </c>
      <c r="B7389">
        <f>0*(1-0.8198)</f>
        <v>0</v>
      </c>
      <c r="C7389" s="1">
        <v>3</v>
      </c>
    </row>
    <row r="7390" spans="1:3" x14ac:dyDescent="0.3">
      <c r="A7390" t="s">
        <v>7389</v>
      </c>
      <c r="B7390">
        <f>0*(1-0.8198)</f>
        <v>0</v>
      </c>
      <c r="C7390" s="1">
        <v>3</v>
      </c>
    </row>
    <row r="7391" spans="1:3" x14ac:dyDescent="0.3">
      <c r="A7391" t="s">
        <v>7390</v>
      </c>
      <c r="B7391">
        <f>0*(1-0.8198)</f>
        <v>0</v>
      </c>
      <c r="C7391" s="1">
        <v>2</v>
      </c>
    </row>
    <row r="7392" spans="1:3" x14ac:dyDescent="0.3">
      <c r="A7392" t="s">
        <v>7391</v>
      </c>
      <c r="B7392">
        <f>0*(1-0.8198)</f>
        <v>0</v>
      </c>
      <c r="C7392" s="1">
        <v>2</v>
      </c>
    </row>
    <row r="7393" spans="1:3" x14ac:dyDescent="0.3">
      <c r="A7393" t="s">
        <v>7392</v>
      </c>
      <c r="B7393">
        <f>0*(1-0.8198)</f>
        <v>0</v>
      </c>
      <c r="C7393" s="1">
        <v>3</v>
      </c>
    </row>
    <row r="7394" spans="1:3" x14ac:dyDescent="0.3">
      <c r="A7394" t="s">
        <v>7393</v>
      </c>
      <c r="B7394">
        <f>0*(1-0.8198)</f>
        <v>0</v>
      </c>
      <c r="C7394" s="1">
        <v>2</v>
      </c>
    </row>
    <row r="7395" spans="1:3" x14ac:dyDescent="0.3">
      <c r="A7395" t="s">
        <v>7394</v>
      </c>
      <c r="B7395">
        <f>0*(1-0.8198)</f>
        <v>0</v>
      </c>
      <c r="C7395" s="1">
        <v>3</v>
      </c>
    </row>
    <row r="7396" spans="1:3" x14ac:dyDescent="0.3">
      <c r="A7396" t="s">
        <v>7395</v>
      </c>
      <c r="B7396">
        <f>0*(1-0.8198)</f>
        <v>0</v>
      </c>
      <c r="C7396" s="1">
        <v>2</v>
      </c>
    </row>
    <row r="7397" spans="1:3" x14ac:dyDescent="0.3">
      <c r="A7397" t="s">
        <v>7396</v>
      </c>
      <c r="B7397">
        <f>0*(1-0.8198)</f>
        <v>0</v>
      </c>
      <c r="C7397" s="1">
        <v>2</v>
      </c>
    </row>
    <row r="7398" spans="1:3" x14ac:dyDescent="0.3">
      <c r="A7398" t="s">
        <v>7397</v>
      </c>
      <c r="B7398">
        <f>0*(1-0.8198)</f>
        <v>0</v>
      </c>
      <c r="C7398" s="1">
        <v>3</v>
      </c>
    </row>
    <row r="7399" spans="1:3" x14ac:dyDescent="0.3">
      <c r="A7399" t="s">
        <v>7398</v>
      </c>
      <c r="B7399">
        <f>0*(1-0.8198)</f>
        <v>0</v>
      </c>
      <c r="C7399" s="1">
        <v>2</v>
      </c>
    </row>
    <row r="7400" spans="1:3" x14ac:dyDescent="0.3">
      <c r="A7400" t="s">
        <v>7399</v>
      </c>
      <c r="B7400">
        <f>0*(1-0.8198)</f>
        <v>0</v>
      </c>
      <c r="C7400" s="1">
        <v>2</v>
      </c>
    </row>
    <row r="7401" spans="1:3" x14ac:dyDescent="0.3">
      <c r="A7401" t="s">
        <v>7400</v>
      </c>
      <c r="B7401">
        <f>5.44844676428572*(1-0.8198)</f>
        <v>0.98181010692428616</v>
      </c>
      <c r="C7401" s="1">
        <v>11</v>
      </c>
    </row>
    <row r="7402" spans="1:3" x14ac:dyDescent="0.3">
      <c r="A7402" t="s">
        <v>7401</v>
      </c>
      <c r="B7402">
        <f>18.0137816342857*(1-0.8198)</f>
        <v>3.2460834504982863</v>
      </c>
      <c r="C7402" s="1">
        <v>13</v>
      </c>
    </row>
    <row r="7403" spans="1:3" x14ac:dyDescent="0.3">
      <c r="A7403" t="s">
        <v>7402</v>
      </c>
      <c r="B7403">
        <f>29.5078789428571*(1-0.8198)</f>
        <v>5.3173197855028578</v>
      </c>
      <c r="C7403" s="1">
        <v>13</v>
      </c>
    </row>
    <row r="7404" spans="1:3" x14ac:dyDescent="0.3">
      <c r="A7404" t="s">
        <v>7403</v>
      </c>
      <c r="B7404">
        <f>37.8659604514286*(1-0.8198)</f>
        <v>6.8234460733474309</v>
      </c>
      <c r="C7404" s="1">
        <v>18</v>
      </c>
    </row>
    <row r="7405" spans="1:3" x14ac:dyDescent="0.3">
      <c r="A7405" t="s">
        <v>7404</v>
      </c>
      <c r="B7405">
        <f>41.5966074642857*(1-0.8198)</f>
        <v>7.4957086650642859</v>
      </c>
      <c r="C7405" s="1">
        <v>17</v>
      </c>
    </row>
    <row r="7406" spans="1:3" x14ac:dyDescent="0.3">
      <c r="A7406" t="s">
        <v>7405</v>
      </c>
      <c r="B7406">
        <f>39.8496266842857*(1-0.8198)</f>
        <v>7.1809027285082889</v>
      </c>
      <c r="C7406" s="1">
        <v>14</v>
      </c>
    </row>
    <row r="7407" spans="1:3" x14ac:dyDescent="0.3">
      <c r="A7407" t="s">
        <v>7406</v>
      </c>
      <c r="B7407">
        <f>34.4240299971429*(1-0.8198)</f>
        <v>6.2032102054851439</v>
      </c>
      <c r="C7407" s="1">
        <v>13</v>
      </c>
    </row>
    <row r="7408" spans="1:3" x14ac:dyDescent="0.3">
      <c r="A7408" t="s">
        <v>7407</v>
      </c>
      <c r="B7408">
        <f>24.6684604057143*(1-0.8198)</f>
        <v>4.4452565651097151</v>
      </c>
      <c r="C7408" s="1">
        <v>14</v>
      </c>
    </row>
    <row r="7409" spans="1:3" x14ac:dyDescent="0.3">
      <c r="A7409" t="s">
        <v>7408</v>
      </c>
      <c r="B7409">
        <f>12.3544704257143*(1-0.8198)</f>
        <v>2.2262755707137143</v>
      </c>
      <c r="C7409" s="1">
        <v>10</v>
      </c>
    </row>
    <row r="7410" spans="1:3" x14ac:dyDescent="0.3">
      <c r="A7410" t="s">
        <v>7409</v>
      </c>
      <c r="B7410">
        <f>1.79354283857143*(1-0.8198)</f>
        <v>0.32319641951057149</v>
      </c>
      <c r="C7410" s="1">
        <v>10</v>
      </c>
    </row>
    <row r="7411" spans="1:3" x14ac:dyDescent="0.3">
      <c r="A7411" t="s">
        <v>7410</v>
      </c>
      <c r="B7411">
        <f>0*(1-0.8198)</f>
        <v>0</v>
      </c>
      <c r="C7411" s="1">
        <v>8</v>
      </c>
    </row>
    <row r="7412" spans="1:3" x14ac:dyDescent="0.3">
      <c r="A7412" t="s">
        <v>7411</v>
      </c>
      <c r="B7412">
        <f>0*(1-0.8198)</f>
        <v>0</v>
      </c>
      <c r="C7412" s="1">
        <v>7</v>
      </c>
    </row>
    <row r="7413" spans="1:3" x14ac:dyDescent="0.3">
      <c r="A7413" t="s">
        <v>7412</v>
      </c>
      <c r="B7413">
        <f>0*(1-0.8198)</f>
        <v>0</v>
      </c>
      <c r="C7413" s="1">
        <v>7</v>
      </c>
    </row>
    <row r="7414" spans="1:3" x14ac:dyDescent="0.3">
      <c r="A7414" t="s">
        <v>7413</v>
      </c>
      <c r="B7414">
        <f>0*(1-0.8198)</f>
        <v>0</v>
      </c>
      <c r="C7414" s="1">
        <v>7</v>
      </c>
    </row>
    <row r="7415" spans="1:3" x14ac:dyDescent="0.3">
      <c r="A7415" t="s">
        <v>7414</v>
      </c>
      <c r="B7415">
        <f>0*(1-0.8198)</f>
        <v>0</v>
      </c>
      <c r="C7415" s="1">
        <v>6</v>
      </c>
    </row>
    <row r="7416" spans="1:3" x14ac:dyDescent="0.3">
      <c r="A7416" t="s">
        <v>7415</v>
      </c>
      <c r="B7416">
        <f>0*(1-0.8198)</f>
        <v>0</v>
      </c>
      <c r="C7416" s="1">
        <v>4</v>
      </c>
    </row>
    <row r="7417" spans="1:3" x14ac:dyDescent="0.3">
      <c r="A7417" t="s">
        <v>7416</v>
      </c>
      <c r="B7417">
        <f>0*(1-0.8198)</f>
        <v>0</v>
      </c>
      <c r="C7417" s="1">
        <v>5</v>
      </c>
    </row>
    <row r="7418" spans="1:3" x14ac:dyDescent="0.3">
      <c r="A7418" t="s">
        <v>7417</v>
      </c>
      <c r="B7418">
        <f>0*(1-0.8198)</f>
        <v>0</v>
      </c>
      <c r="C7418" s="1">
        <v>2</v>
      </c>
    </row>
    <row r="7419" spans="1:3" x14ac:dyDescent="0.3">
      <c r="A7419" t="s">
        <v>7418</v>
      </c>
      <c r="B7419">
        <f>0*(1-0.8198)</f>
        <v>0</v>
      </c>
      <c r="C7419" s="1">
        <v>3</v>
      </c>
    </row>
    <row r="7420" spans="1:3" x14ac:dyDescent="0.3">
      <c r="A7420" t="s">
        <v>7419</v>
      </c>
      <c r="B7420">
        <f>0*(1-0.8198)</f>
        <v>0</v>
      </c>
      <c r="C7420" s="1">
        <v>2</v>
      </c>
    </row>
    <row r="7421" spans="1:3" x14ac:dyDescent="0.3">
      <c r="A7421" t="s">
        <v>7420</v>
      </c>
      <c r="B7421">
        <f>0*(1-0.8198)</f>
        <v>0</v>
      </c>
      <c r="C7421" s="1">
        <v>3</v>
      </c>
    </row>
    <row r="7422" spans="1:3" x14ac:dyDescent="0.3">
      <c r="A7422" t="s">
        <v>7421</v>
      </c>
      <c r="B7422">
        <f>0*(1-0.8198)</f>
        <v>0</v>
      </c>
      <c r="C7422" s="1">
        <v>2</v>
      </c>
    </row>
    <row r="7423" spans="1:3" x14ac:dyDescent="0.3">
      <c r="A7423" t="s">
        <v>7422</v>
      </c>
      <c r="B7423">
        <f>0*(1-0.8198)</f>
        <v>0</v>
      </c>
      <c r="C7423" s="1">
        <v>2</v>
      </c>
    </row>
    <row r="7424" spans="1:3" x14ac:dyDescent="0.3">
      <c r="A7424" t="s">
        <v>7423</v>
      </c>
      <c r="B7424">
        <f>0*(1-0.8198)</f>
        <v>0</v>
      </c>
      <c r="C7424" s="1">
        <v>3</v>
      </c>
    </row>
    <row r="7425" spans="1:3" x14ac:dyDescent="0.3">
      <c r="A7425" t="s">
        <v>7424</v>
      </c>
      <c r="B7425">
        <f>5.29850926571429*(1-0.8198)</f>
        <v>0.95479136968171474</v>
      </c>
      <c r="C7425" s="1">
        <v>8</v>
      </c>
    </row>
    <row r="7426" spans="1:3" x14ac:dyDescent="0.3">
      <c r="A7426" t="s">
        <v>7425</v>
      </c>
      <c r="B7426">
        <f>17.8812591971429*(1-0.8198)</f>
        <v>3.2222029073251433</v>
      </c>
      <c r="C7426" s="1">
        <v>11</v>
      </c>
    </row>
    <row r="7427" spans="1:3" x14ac:dyDescent="0.3">
      <c r="A7427" t="s">
        <v>7426</v>
      </c>
      <c r="B7427">
        <f>29.11863465*(1-0.8198)</f>
        <v>5.2471779639300005</v>
      </c>
      <c r="C7427" s="1">
        <v>14</v>
      </c>
    </row>
    <row r="7428" spans="1:3" x14ac:dyDescent="0.3">
      <c r="A7428" t="s">
        <v>7427</v>
      </c>
      <c r="B7428">
        <f>37.0532240242857*(1-0.8198)</f>
        <v>6.6769909691762859</v>
      </c>
      <c r="C7428" s="1">
        <v>16</v>
      </c>
    </row>
    <row r="7429" spans="1:3" x14ac:dyDescent="0.3">
      <c r="A7429" t="s">
        <v>7428</v>
      </c>
      <c r="B7429">
        <f>40.5997726185714*(1-0.8198)</f>
        <v>7.316079025866574</v>
      </c>
      <c r="C7429" s="1">
        <v>18</v>
      </c>
    </row>
    <row r="7430" spans="1:3" x14ac:dyDescent="0.3">
      <c r="A7430" t="s">
        <v>7429</v>
      </c>
      <c r="B7430">
        <f>39.1097086071429*(1-0.8198)</f>
        <v>7.0475694910071454</v>
      </c>
      <c r="C7430" s="1">
        <v>13</v>
      </c>
    </row>
    <row r="7431" spans="1:3" x14ac:dyDescent="0.3">
      <c r="A7431" t="s">
        <v>7430</v>
      </c>
      <c r="B7431">
        <f>33.55753454*(1-0.8198)</f>
        <v>6.0470677241080022</v>
      </c>
      <c r="C7431" s="1">
        <v>15</v>
      </c>
    </row>
    <row r="7432" spans="1:3" x14ac:dyDescent="0.3">
      <c r="A7432" t="s">
        <v>7431</v>
      </c>
      <c r="B7432">
        <f>24.09459549*(1-0.8198)</f>
        <v>4.341846107298001</v>
      </c>
      <c r="C7432" s="1">
        <v>12</v>
      </c>
    </row>
    <row r="7433" spans="1:3" x14ac:dyDescent="0.3">
      <c r="A7433" t="s">
        <v>7432</v>
      </c>
      <c r="B7433">
        <f>12.0346371014286*(1-0.8198)</f>
        <v>2.1686416056774291</v>
      </c>
      <c r="C7433" s="1">
        <v>10</v>
      </c>
    </row>
    <row r="7434" spans="1:3" x14ac:dyDescent="0.3">
      <c r="A7434" t="s">
        <v>7433</v>
      </c>
      <c r="B7434">
        <f>1.61363919285714*(1-0.8198)</f>
        <v>0.29077778255285719</v>
      </c>
      <c r="C7434" s="1">
        <v>8</v>
      </c>
    </row>
    <row r="7435" spans="1:3" x14ac:dyDescent="0.3">
      <c r="A7435" t="s">
        <v>7434</v>
      </c>
      <c r="B7435">
        <f>0*(1-0.8198)</f>
        <v>0</v>
      </c>
      <c r="C7435" s="1">
        <v>8</v>
      </c>
    </row>
    <row r="7436" spans="1:3" x14ac:dyDescent="0.3">
      <c r="A7436" t="s">
        <v>7435</v>
      </c>
      <c r="B7436">
        <f>0*(1-0.8198)</f>
        <v>0</v>
      </c>
      <c r="C7436" s="1">
        <v>6</v>
      </c>
    </row>
    <row r="7437" spans="1:3" x14ac:dyDescent="0.3">
      <c r="A7437" t="s">
        <v>7436</v>
      </c>
      <c r="B7437">
        <f>0*(1-0.8198)</f>
        <v>0</v>
      </c>
      <c r="C7437" s="1">
        <v>6</v>
      </c>
    </row>
    <row r="7438" spans="1:3" x14ac:dyDescent="0.3">
      <c r="A7438" t="s">
        <v>7437</v>
      </c>
      <c r="B7438">
        <f>0*(1-0.8198)</f>
        <v>0</v>
      </c>
      <c r="C7438" s="1">
        <v>6</v>
      </c>
    </row>
    <row r="7439" spans="1:3" x14ac:dyDescent="0.3">
      <c r="A7439" t="s">
        <v>7438</v>
      </c>
      <c r="B7439">
        <f>0*(1-0.8198)</f>
        <v>0</v>
      </c>
      <c r="C7439" s="1">
        <v>5</v>
      </c>
    </row>
    <row r="7440" spans="1:3" x14ac:dyDescent="0.3">
      <c r="A7440" t="s">
        <v>7439</v>
      </c>
      <c r="B7440">
        <f>0*(1-0.8198)</f>
        <v>0</v>
      </c>
      <c r="C7440" s="1">
        <v>4</v>
      </c>
    </row>
    <row r="7441" spans="1:3" x14ac:dyDescent="0.3">
      <c r="A7441" t="s">
        <v>7440</v>
      </c>
      <c r="B7441">
        <f>0*(1-0.8198)</f>
        <v>0</v>
      </c>
      <c r="C7441" s="1">
        <v>4</v>
      </c>
    </row>
    <row r="7442" spans="1:3" x14ac:dyDescent="0.3">
      <c r="A7442" t="s">
        <v>7441</v>
      </c>
      <c r="B7442">
        <f>0*(1-0.8198)</f>
        <v>0</v>
      </c>
      <c r="C7442" s="1">
        <v>3</v>
      </c>
    </row>
    <row r="7443" spans="1:3" x14ac:dyDescent="0.3">
      <c r="A7443" t="s">
        <v>7442</v>
      </c>
      <c r="B7443">
        <f>0*(1-0.8198)</f>
        <v>0</v>
      </c>
      <c r="C7443" s="1">
        <v>2</v>
      </c>
    </row>
    <row r="7444" spans="1:3" x14ac:dyDescent="0.3">
      <c r="A7444" t="s">
        <v>7443</v>
      </c>
      <c r="B7444">
        <f>0*(1-0.8198)</f>
        <v>0</v>
      </c>
      <c r="C7444" s="1">
        <v>2</v>
      </c>
    </row>
    <row r="7445" spans="1:3" x14ac:dyDescent="0.3">
      <c r="A7445" t="s">
        <v>7444</v>
      </c>
      <c r="B7445">
        <f>0*(1-0.8198)</f>
        <v>0</v>
      </c>
      <c r="C7445" s="1">
        <v>3</v>
      </c>
    </row>
    <row r="7446" spans="1:3" x14ac:dyDescent="0.3">
      <c r="A7446" t="s">
        <v>7445</v>
      </c>
      <c r="B7446">
        <f>0*(1-0.8198)</f>
        <v>0</v>
      </c>
      <c r="C7446" s="1">
        <v>2</v>
      </c>
    </row>
    <row r="7447" spans="1:3" x14ac:dyDescent="0.3">
      <c r="A7447" t="s">
        <v>7446</v>
      </c>
      <c r="B7447">
        <f>0*(1-0.8198)</f>
        <v>0</v>
      </c>
      <c r="C7447" s="1">
        <v>2</v>
      </c>
    </row>
    <row r="7448" spans="1:3" x14ac:dyDescent="0.3">
      <c r="A7448" t="s">
        <v>7447</v>
      </c>
      <c r="B7448">
        <f>0*(1-0.8198)</f>
        <v>0</v>
      </c>
      <c r="C7448" s="1">
        <v>3</v>
      </c>
    </row>
    <row r="7449" spans="1:3" x14ac:dyDescent="0.3">
      <c r="A7449" t="s">
        <v>7448</v>
      </c>
      <c r="B7449">
        <f>4.89366604714286*(1-0.8198)</f>
        <v>0.88183862169514315</v>
      </c>
      <c r="C7449" s="1">
        <v>10</v>
      </c>
    </row>
    <row r="7450" spans="1:3" x14ac:dyDescent="0.3">
      <c r="A7450" t="s">
        <v>7449</v>
      </c>
      <c r="B7450">
        <f>17.1974280471429*(1-0.8198)</f>
        <v>3.0989765340951432</v>
      </c>
      <c r="C7450" s="1">
        <v>13</v>
      </c>
    </row>
    <row r="7451" spans="1:3" x14ac:dyDescent="0.3">
      <c r="A7451" t="s">
        <v>7450</v>
      </c>
      <c r="B7451">
        <f>28.46246325*(1-0.8198)</f>
        <v>5.1289358776500009</v>
      </c>
      <c r="C7451" s="1">
        <v>17</v>
      </c>
    </row>
    <row r="7452" spans="1:3" x14ac:dyDescent="0.3">
      <c r="A7452" t="s">
        <v>7451</v>
      </c>
      <c r="B7452">
        <f>36.4400702542857*(1-0.8198)</f>
        <v>6.5665006598222879</v>
      </c>
      <c r="C7452" s="1">
        <v>16</v>
      </c>
    </row>
    <row r="7453" spans="1:3" x14ac:dyDescent="0.3">
      <c r="A7453" t="s">
        <v>7452</v>
      </c>
      <c r="B7453">
        <f>40.3368486885714*(1-0.8198)</f>
        <v>7.268700133680575</v>
      </c>
      <c r="C7453" s="1">
        <v>14</v>
      </c>
    </row>
    <row r="7454" spans="1:3" x14ac:dyDescent="0.3">
      <c r="A7454" t="s">
        <v>7453</v>
      </c>
      <c r="B7454">
        <f>39.3211084628571*(1-0.8198)</f>
        <v>7.0856637450068591</v>
      </c>
      <c r="C7454" s="1">
        <v>13</v>
      </c>
    </row>
    <row r="7455" spans="1:3" x14ac:dyDescent="0.3">
      <c r="A7455" t="s">
        <v>7454</v>
      </c>
      <c r="B7455">
        <f>29.2908000771429*(1-0.8198)</f>
        <v>5.2782021739011453</v>
      </c>
      <c r="C7455" s="1">
        <v>14</v>
      </c>
    </row>
    <row r="7456" spans="1:3" x14ac:dyDescent="0.3">
      <c r="A7456" t="s">
        <v>7455</v>
      </c>
      <c r="B7456">
        <f>22.8554461842857*(1-0.8198)</f>
        <v>4.1185514024082863</v>
      </c>
      <c r="C7456" s="1">
        <v>14</v>
      </c>
    </row>
    <row r="7457" spans="1:3" x14ac:dyDescent="0.3">
      <c r="A7457" t="s">
        <v>7456</v>
      </c>
      <c r="B7457">
        <f>11.9838423685714*(1-0.8198)</f>
        <v>2.159488394816572</v>
      </c>
      <c r="C7457" s="1">
        <v>11</v>
      </c>
    </row>
    <row r="7458" spans="1:3" x14ac:dyDescent="0.3">
      <c r="A7458" t="s">
        <v>7457</v>
      </c>
      <c r="B7458">
        <f>1.57434272142857*(1-0.8198)</f>
        <v>0.28369655840142866</v>
      </c>
      <c r="C7458" s="1">
        <v>9</v>
      </c>
    </row>
    <row r="7459" spans="1:3" x14ac:dyDescent="0.3">
      <c r="A7459" t="s">
        <v>7458</v>
      </c>
      <c r="B7459">
        <f>0*(1-0.8198)</f>
        <v>0</v>
      </c>
      <c r="C7459" s="1">
        <v>7</v>
      </c>
    </row>
    <row r="7460" spans="1:3" x14ac:dyDescent="0.3">
      <c r="A7460" t="s">
        <v>7459</v>
      </c>
      <c r="B7460">
        <f>0*(1-0.8198)</f>
        <v>0</v>
      </c>
      <c r="C7460" s="1">
        <v>6</v>
      </c>
    </row>
    <row r="7461" spans="1:3" x14ac:dyDescent="0.3">
      <c r="A7461" t="s">
        <v>7460</v>
      </c>
      <c r="B7461">
        <f>0*(1-0.8198)</f>
        <v>0</v>
      </c>
      <c r="C7461" s="1">
        <v>6</v>
      </c>
    </row>
    <row r="7462" spans="1:3" x14ac:dyDescent="0.3">
      <c r="A7462" t="s">
        <v>7461</v>
      </c>
      <c r="B7462">
        <f>0*(1-0.8198)</f>
        <v>0</v>
      </c>
      <c r="C7462" s="1">
        <v>5</v>
      </c>
    </row>
    <row r="7463" spans="1:3" x14ac:dyDescent="0.3">
      <c r="A7463" t="s">
        <v>7462</v>
      </c>
      <c r="B7463">
        <f>0*(1-0.8198)</f>
        <v>0</v>
      </c>
      <c r="C7463" s="1">
        <v>4</v>
      </c>
    </row>
    <row r="7464" spans="1:3" x14ac:dyDescent="0.3">
      <c r="A7464" t="s">
        <v>7463</v>
      </c>
      <c r="B7464">
        <f>0*(1-0.8198)</f>
        <v>0</v>
      </c>
      <c r="C7464" s="1">
        <v>5</v>
      </c>
    </row>
    <row r="7465" spans="1:3" x14ac:dyDescent="0.3">
      <c r="A7465" t="s">
        <v>7464</v>
      </c>
      <c r="B7465">
        <f>0*(1-0.8198)</f>
        <v>0</v>
      </c>
      <c r="C7465" s="1">
        <v>4</v>
      </c>
    </row>
    <row r="7466" spans="1:3" x14ac:dyDescent="0.3">
      <c r="A7466" t="s">
        <v>7465</v>
      </c>
      <c r="B7466">
        <f>0*(1-0.8198)</f>
        <v>0</v>
      </c>
      <c r="C7466" s="1">
        <v>3</v>
      </c>
    </row>
    <row r="7467" spans="1:3" x14ac:dyDescent="0.3">
      <c r="A7467" t="s">
        <v>7466</v>
      </c>
      <c r="B7467">
        <f>0*(1-0.8198)</f>
        <v>0</v>
      </c>
      <c r="C7467" s="1">
        <v>2</v>
      </c>
    </row>
    <row r="7468" spans="1:3" x14ac:dyDescent="0.3">
      <c r="A7468" t="s">
        <v>7467</v>
      </c>
      <c r="B7468">
        <f>0*(1-0.8198)</f>
        <v>0</v>
      </c>
      <c r="C7468" s="1">
        <v>2</v>
      </c>
    </row>
    <row r="7469" spans="1:3" x14ac:dyDescent="0.3">
      <c r="A7469" t="s">
        <v>7468</v>
      </c>
      <c r="B7469">
        <f>0*(1-0.8198)</f>
        <v>0</v>
      </c>
      <c r="C7469" s="1">
        <v>3</v>
      </c>
    </row>
    <row r="7470" spans="1:3" x14ac:dyDescent="0.3">
      <c r="A7470" t="s">
        <v>7469</v>
      </c>
      <c r="B7470">
        <f>0*(1-0.8198)</f>
        <v>0</v>
      </c>
      <c r="C7470" s="1">
        <v>2</v>
      </c>
    </row>
    <row r="7471" spans="1:3" x14ac:dyDescent="0.3">
      <c r="A7471" t="s">
        <v>7470</v>
      </c>
      <c r="B7471">
        <f>0*(1-0.8198)</f>
        <v>0</v>
      </c>
      <c r="C7471" s="1">
        <v>3</v>
      </c>
    </row>
    <row r="7472" spans="1:3" x14ac:dyDescent="0.3">
      <c r="A7472" t="s">
        <v>7471</v>
      </c>
      <c r="B7472">
        <f>0*(1-0.8198)</f>
        <v>0</v>
      </c>
      <c r="C7472" s="1">
        <v>2</v>
      </c>
    </row>
    <row r="7473" spans="1:3" x14ac:dyDescent="0.3">
      <c r="A7473" t="s">
        <v>7472</v>
      </c>
      <c r="B7473">
        <f>4.48949393571429*(1-0.8198)</f>
        <v>0.8090068072157145</v>
      </c>
      <c r="C7473" s="1">
        <v>10</v>
      </c>
    </row>
    <row r="7474" spans="1:3" x14ac:dyDescent="0.3">
      <c r="A7474" t="s">
        <v>7473</v>
      </c>
      <c r="B7474">
        <f>16.8965831542857*(1-0.8198)</f>
        <v>3.0447642844022864</v>
      </c>
      <c r="C7474" s="1">
        <v>13</v>
      </c>
    </row>
    <row r="7475" spans="1:3" x14ac:dyDescent="0.3">
      <c r="A7475" t="s">
        <v>7474</v>
      </c>
      <c r="B7475">
        <f>27.9484139757143*(1-0.8198)</f>
        <v>5.0363041984237151</v>
      </c>
      <c r="C7475" s="1">
        <v>19</v>
      </c>
    </row>
    <row r="7476" spans="1:3" x14ac:dyDescent="0.3">
      <c r="A7476" t="s">
        <v>7475</v>
      </c>
      <c r="B7476">
        <f>35.5813393685714*(1-0.8198)</f>
        <v>6.4117573542165731</v>
      </c>
      <c r="C7476" s="1">
        <v>15</v>
      </c>
    </row>
    <row r="7477" spans="1:3" x14ac:dyDescent="0.3">
      <c r="A7477" t="s">
        <v>7476</v>
      </c>
      <c r="B7477">
        <f>39.3176779842857*(1-0.8198)</f>
        <v>7.0850455727682862</v>
      </c>
      <c r="C7477" s="1">
        <v>15</v>
      </c>
    </row>
    <row r="7478" spans="1:3" x14ac:dyDescent="0.3">
      <c r="A7478" t="s">
        <v>7477</v>
      </c>
      <c r="B7478">
        <f>38.2009187185714*(1-0.8198)</f>
        <v>6.8838055530865727</v>
      </c>
      <c r="C7478" s="1">
        <v>13</v>
      </c>
    </row>
    <row r="7479" spans="1:3" x14ac:dyDescent="0.3">
      <c r="A7479" t="s">
        <v>7478</v>
      </c>
      <c r="B7479">
        <f>33.0929030771429*(1-0.8198)</f>
        <v>5.9633411345011451</v>
      </c>
      <c r="C7479" s="1">
        <v>12</v>
      </c>
    </row>
    <row r="7480" spans="1:3" x14ac:dyDescent="0.3">
      <c r="A7480" t="s">
        <v>7479</v>
      </c>
      <c r="B7480">
        <f>23.4752878671429*(1-0.8198)</f>
        <v>4.2302468736591443</v>
      </c>
      <c r="C7480" s="1">
        <v>11</v>
      </c>
    </row>
    <row r="7481" spans="1:3" x14ac:dyDescent="0.3">
      <c r="A7481" t="s">
        <v>7480</v>
      </c>
      <c r="B7481">
        <f>11.5834068957143*(1-0.8198)</f>
        <v>2.0873299226077147</v>
      </c>
      <c r="C7481" s="1">
        <v>10</v>
      </c>
    </row>
    <row r="7482" spans="1:3" x14ac:dyDescent="0.3">
      <c r="A7482" t="s">
        <v>7481</v>
      </c>
      <c r="B7482">
        <f>1.36376250714286*(1-0.8198)</f>
        <v>0.2457500037871429</v>
      </c>
      <c r="C7482" s="1">
        <v>9</v>
      </c>
    </row>
    <row r="7483" spans="1:3" x14ac:dyDescent="0.3">
      <c r="A7483" t="s">
        <v>7482</v>
      </c>
      <c r="B7483">
        <f>0*(1-0.8198)</f>
        <v>0</v>
      </c>
      <c r="C7483" s="1">
        <v>7</v>
      </c>
    </row>
    <row r="7484" spans="1:3" x14ac:dyDescent="0.3">
      <c r="A7484" t="s">
        <v>7483</v>
      </c>
      <c r="B7484">
        <f>0*(1-0.8198)</f>
        <v>0</v>
      </c>
      <c r="C7484" s="1">
        <v>5</v>
      </c>
    </row>
    <row r="7485" spans="1:3" x14ac:dyDescent="0.3">
      <c r="A7485" t="s">
        <v>7484</v>
      </c>
      <c r="B7485">
        <f>0*(1-0.8198)</f>
        <v>0</v>
      </c>
      <c r="C7485" s="1">
        <v>7</v>
      </c>
    </row>
    <row r="7486" spans="1:3" x14ac:dyDescent="0.3">
      <c r="A7486" t="s">
        <v>7485</v>
      </c>
      <c r="B7486">
        <f>0*(1-0.8198)</f>
        <v>0</v>
      </c>
      <c r="C7486" s="1">
        <v>5</v>
      </c>
    </row>
    <row r="7487" spans="1:3" x14ac:dyDescent="0.3">
      <c r="A7487" t="s">
        <v>7486</v>
      </c>
      <c r="B7487">
        <f>0*(1-0.8198)</f>
        <v>0</v>
      </c>
      <c r="C7487" s="1">
        <v>5</v>
      </c>
    </row>
    <row r="7488" spans="1:3" x14ac:dyDescent="0.3">
      <c r="A7488" t="s">
        <v>7487</v>
      </c>
      <c r="B7488">
        <f>0*(1-0.8198)</f>
        <v>0</v>
      </c>
      <c r="C7488" s="1">
        <v>4</v>
      </c>
    </row>
    <row r="7489" spans="1:3" x14ac:dyDescent="0.3">
      <c r="A7489" t="s">
        <v>7488</v>
      </c>
      <c r="B7489">
        <f>0*(1-0.8198)</f>
        <v>0</v>
      </c>
      <c r="C7489" s="1">
        <v>4</v>
      </c>
    </row>
    <row r="7490" spans="1:3" x14ac:dyDescent="0.3">
      <c r="A7490" t="s">
        <v>7489</v>
      </c>
      <c r="B7490">
        <f>0*(1-0.8198)</f>
        <v>0</v>
      </c>
      <c r="C7490" s="1">
        <v>3</v>
      </c>
    </row>
    <row r="7491" spans="1:3" x14ac:dyDescent="0.3">
      <c r="A7491" t="s">
        <v>7490</v>
      </c>
      <c r="B7491">
        <f>0*(1-0.8198)</f>
        <v>0</v>
      </c>
      <c r="C7491" s="1">
        <v>2</v>
      </c>
    </row>
    <row r="7492" spans="1:3" x14ac:dyDescent="0.3">
      <c r="A7492" t="s">
        <v>7491</v>
      </c>
      <c r="B7492">
        <f>0*(1-0.8198)</f>
        <v>0</v>
      </c>
      <c r="C7492" s="1">
        <v>2</v>
      </c>
    </row>
    <row r="7493" spans="1:3" x14ac:dyDescent="0.3">
      <c r="A7493" t="s">
        <v>7492</v>
      </c>
      <c r="B7493">
        <f>0*(1-0.8198)</f>
        <v>0</v>
      </c>
      <c r="C7493" s="1">
        <v>3</v>
      </c>
    </row>
    <row r="7494" spans="1:3" x14ac:dyDescent="0.3">
      <c r="A7494" t="s">
        <v>7493</v>
      </c>
      <c r="B7494">
        <f>0*(1-0.8198)</f>
        <v>0</v>
      </c>
      <c r="C7494" s="1">
        <v>2</v>
      </c>
    </row>
    <row r="7495" spans="1:3" x14ac:dyDescent="0.3">
      <c r="A7495" t="s">
        <v>7494</v>
      </c>
      <c r="B7495">
        <f>0*(1-0.8198)</f>
        <v>0</v>
      </c>
      <c r="C7495" s="1">
        <v>2</v>
      </c>
    </row>
    <row r="7496" spans="1:3" x14ac:dyDescent="0.3">
      <c r="A7496" t="s">
        <v>7495</v>
      </c>
      <c r="B7496">
        <f>0*(1-0.8198)</f>
        <v>0</v>
      </c>
      <c r="C7496" s="1">
        <v>2</v>
      </c>
    </row>
    <row r="7497" spans="1:3" x14ac:dyDescent="0.3">
      <c r="A7497" t="s">
        <v>7496</v>
      </c>
      <c r="B7497">
        <f>2.66725277428571*(1-0.8198)</f>
        <v>0.48063894992628575</v>
      </c>
      <c r="C7497" s="1">
        <v>3</v>
      </c>
    </row>
    <row r="7498" spans="1:3" x14ac:dyDescent="0.3">
      <c r="A7498" t="s">
        <v>7497</v>
      </c>
      <c r="B7498">
        <f>5.79851701285714*(1-0.8198)</f>
        <v>1.0448927657168572</v>
      </c>
      <c r="C7498" s="1">
        <v>2</v>
      </c>
    </row>
    <row r="7499" spans="1:3" x14ac:dyDescent="0.3">
      <c r="A7499" t="s">
        <v>7498</v>
      </c>
      <c r="B7499">
        <f>6.98062*(1-0.8198)</f>
        <v>1.2579077240000003</v>
      </c>
      <c r="C7499" s="1">
        <v>3</v>
      </c>
    </row>
    <row r="7500" spans="1:3" x14ac:dyDescent="0.3">
      <c r="A7500" t="s">
        <v>7499</v>
      </c>
      <c r="B7500">
        <f>10.0387687585714*(1-0.8198)</f>
        <v>1.8089861302945718</v>
      </c>
      <c r="C7500" s="1">
        <v>2</v>
      </c>
    </row>
    <row r="7501" spans="1:3" x14ac:dyDescent="0.3">
      <c r="A7501" t="s">
        <v>7500</v>
      </c>
      <c r="B7501">
        <f>7.5035*(1-0.8198)</f>
        <v>1.3521307000000002</v>
      </c>
      <c r="C7501" s="1">
        <v>2</v>
      </c>
    </row>
    <row r="7502" spans="1:3" x14ac:dyDescent="0.3">
      <c r="A7502" t="s">
        <v>7501</v>
      </c>
      <c r="B7502">
        <f>28.4146357014286*(1-0.8198)</f>
        <v>5.1203173533974295</v>
      </c>
      <c r="C7502" s="1">
        <v>2</v>
      </c>
    </row>
    <row r="7503" spans="1:3" x14ac:dyDescent="0.3">
      <c r="A7503" t="s">
        <v>7502</v>
      </c>
      <c r="B7503">
        <f>10.08785934*(1-0.8198)</f>
        <v>1.8178322530680009</v>
      </c>
      <c r="C7503" s="1">
        <v>3</v>
      </c>
    </row>
    <row r="7504" spans="1:3" x14ac:dyDescent="0.3">
      <c r="A7504" t="s">
        <v>7503</v>
      </c>
      <c r="B7504">
        <f>9.93944060142857*(1-0.8198)</f>
        <v>1.7910871963774289</v>
      </c>
      <c r="C7504" s="1">
        <v>2</v>
      </c>
    </row>
    <row r="7505" spans="1:3" x14ac:dyDescent="0.3">
      <c r="A7505" t="s">
        <v>7504</v>
      </c>
      <c r="B7505">
        <f>10.8806978857143*(1-0.8198)</f>
        <v>1.960701759005715</v>
      </c>
      <c r="C7505" s="1">
        <v>2</v>
      </c>
    </row>
    <row r="7506" spans="1:3" x14ac:dyDescent="0.3">
      <c r="A7506" t="s">
        <v>7505</v>
      </c>
      <c r="B7506">
        <f>1.22765405428571*(1-0.8198)</f>
        <v>0.22122326058228578</v>
      </c>
      <c r="C7506" s="1">
        <v>3</v>
      </c>
    </row>
    <row r="7507" spans="1:3" x14ac:dyDescent="0.3">
      <c r="A7507" t="s">
        <v>7506</v>
      </c>
      <c r="B7507">
        <f>0*(1-0.8198)</f>
        <v>0</v>
      </c>
      <c r="C7507" s="1">
        <v>2</v>
      </c>
    </row>
    <row r="7508" spans="1:3" x14ac:dyDescent="0.3">
      <c r="A7508" t="s">
        <v>7507</v>
      </c>
      <c r="B7508">
        <f>0*(1-0.8198)</f>
        <v>0</v>
      </c>
      <c r="C7508" s="1">
        <v>2</v>
      </c>
    </row>
    <row r="7509" spans="1:3" x14ac:dyDescent="0.3">
      <c r="A7509" t="s">
        <v>7508</v>
      </c>
      <c r="B7509">
        <f>0*(1-0.8198)</f>
        <v>0</v>
      </c>
      <c r="C7509" s="1">
        <v>2</v>
      </c>
    </row>
    <row r="7510" spans="1:3" x14ac:dyDescent="0.3">
      <c r="A7510" t="s">
        <v>7509</v>
      </c>
      <c r="B7510">
        <f>0*(1-0.8198)</f>
        <v>0</v>
      </c>
      <c r="C7510" s="1">
        <v>3</v>
      </c>
    </row>
    <row r="7511" spans="1:3" x14ac:dyDescent="0.3">
      <c r="A7511" t="s">
        <v>7510</v>
      </c>
      <c r="B7511">
        <f>0*(1-0.8198)</f>
        <v>0</v>
      </c>
      <c r="C7511" s="1">
        <v>2</v>
      </c>
    </row>
    <row r="7512" spans="1:3" x14ac:dyDescent="0.3">
      <c r="A7512" t="s">
        <v>7511</v>
      </c>
      <c r="B7512">
        <f>0*(1-0.8198)</f>
        <v>0</v>
      </c>
      <c r="C7512" s="1">
        <v>3</v>
      </c>
    </row>
    <row r="7513" spans="1:3" x14ac:dyDescent="0.3">
      <c r="A7513" t="s">
        <v>7512</v>
      </c>
      <c r="B7513">
        <f>0*(1-0.8198)</f>
        <v>0</v>
      </c>
      <c r="C7513" s="1">
        <v>2</v>
      </c>
    </row>
    <row r="7514" spans="1:3" x14ac:dyDescent="0.3">
      <c r="A7514" t="s">
        <v>7513</v>
      </c>
      <c r="B7514">
        <f>0*(1-0.8198)</f>
        <v>0</v>
      </c>
      <c r="C7514" s="1">
        <v>2</v>
      </c>
    </row>
    <row r="7515" spans="1:3" x14ac:dyDescent="0.3">
      <c r="A7515" t="s">
        <v>7514</v>
      </c>
      <c r="B7515">
        <f>0*(1-0.8198)</f>
        <v>0</v>
      </c>
      <c r="C7515" s="1">
        <v>2</v>
      </c>
    </row>
    <row r="7516" spans="1:3" x14ac:dyDescent="0.3">
      <c r="A7516" t="s">
        <v>7515</v>
      </c>
      <c r="B7516">
        <f>0*(1-0.8198)</f>
        <v>0</v>
      </c>
      <c r="C7516" s="1">
        <v>3</v>
      </c>
    </row>
    <row r="7517" spans="1:3" x14ac:dyDescent="0.3">
      <c r="A7517" t="s">
        <v>7516</v>
      </c>
      <c r="B7517">
        <f>0*(1-0.8198)</f>
        <v>0</v>
      </c>
      <c r="C7517" s="1">
        <v>2</v>
      </c>
    </row>
    <row r="7518" spans="1:3" x14ac:dyDescent="0.3">
      <c r="A7518" t="s">
        <v>7517</v>
      </c>
      <c r="B7518">
        <f>0*(1-0.8198)</f>
        <v>0</v>
      </c>
      <c r="C7518" s="1">
        <v>2</v>
      </c>
    </row>
    <row r="7519" spans="1:3" x14ac:dyDescent="0.3">
      <c r="A7519" t="s">
        <v>7518</v>
      </c>
      <c r="B7519">
        <f>0*(1-0.8198)</f>
        <v>0</v>
      </c>
      <c r="C7519" s="1">
        <v>3</v>
      </c>
    </row>
    <row r="7520" spans="1:3" x14ac:dyDescent="0.3">
      <c r="A7520" t="s">
        <v>7519</v>
      </c>
      <c r="B7520">
        <f>0*(1-0.8198)</f>
        <v>0</v>
      </c>
      <c r="C7520" s="1">
        <v>2</v>
      </c>
    </row>
    <row r="7521" spans="1:3" x14ac:dyDescent="0.3">
      <c r="A7521" t="s">
        <v>7520</v>
      </c>
      <c r="B7521">
        <f>1.40023412428571*(1-0.8198)</f>
        <v>0.2523221891962858</v>
      </c>
      <c r="C7521" s="1">
        <v>2</v>
      </c>
    </row>
    <row r="7522" spans="1:3" x14ac:dyDescent="0.3">
      <c r="A7522" t="s">
        <v>7521</v>
      </c>
      <c r="B7522">
        <f>15.9267312385714*(1-0.8198)</f>
        <v>2.8699969691905722</v>
      </c>
      <c r="C7522" s="1">
        <v>2</v>
      </c>
    </row>
    <row r="7523" spans="1:3" x14ac:dyDescent="0.3">
      <c r="A7523" t="s">
        <v>7522</v>
      </c>
      <c r="B7523">
        <f>27.0075687542857*(1-0.8198)</f>
        <v>4.8667638895222867</v>
      </c>
      <c r="C7523" s="1">
        <v>2</v>
      </c>
    </row>
    <row r="7524" spans="1:3" x14ac:dyDescent="0.3">
      <c r="A7524" t="s">
        <v>7523</v>
      </c>
      <c r="B7524">
        <f>35.0156219085714*(1-0.8198)</f>
        <v>6.3098150679245748</v>
      </c>
      <c r="C7524" s="1">
        <v>3</v>
      </c>
    </row>
    <row r="7525" spans="1:3" x14ac:dyDescent="0.3">
      <c r="A7525" t="s">
        <v>7524</v>
      </c>
      <c r="B7525">
        <f>38.8552625571429*(1-0.8198)</f>
        <v>7.0017183127971441</v>
      </c>
      <c r="C7525" s="1">
        <v>2</v>
      </c>
    </row>
    <row r="7526" spans="1:3" x14ac:dyDescent="0.3">
      <c r="A7526" t="s">
        <v>7525</v>
      </c>
      <c r="B7526">
        <f>34.6926372371429*(1-0.8198)</f>
        <v>6.2516132301331444</v>
      </c>
      <c r="C7526" s="1">
        <v>2</v>
      </c>
    </row>
    <row r="7527" spans="1:3" x14ac:dyDescent="0.3">
      <c r="A7527" t="s">
        <v>7526</v>
      </c>
      <c r="B7527">
        <f>26.6580635871429*(1-0.8198)</f>
        <v>4.8037830584031447</v>
      </c>
      <c r="C7527" s="1">
        <v>3</v>
      </c>
    </row>
    <row r="7528" spans="1:3" x14ac:dyDescent="0.3">
      <c r="A7528" t="s">
        <v>7527</v>
      </c>
      <c r="B7528">
        <f>15.2317106285714*(1-0.8198)</f>
        <v>2.7447542552685724</v>
      </c>
      <c r="C7528" s="1">
        <v>2</v>
      </c>
    </row>
    <row r="7529" spans="1:3" x14ac:dyDescent="0.3">
      <c r="A7529" t="s">
        <v>7528</v>
      </c>
      <c r="B7529">
        <f>10.9097507128571*(1-0.8198)</f>
        <v>1.9659370784568575</v>
      </c>
      <c r="C7529" s="1">
        <v>2</v>
      </c>
    </row>
    <row r="7530" spans="1:3" x14ac:dyDescent="0.3">
      <c r="A7530" t="s">
        <v>7529</v>
      </c>
      <c r="B7530">
        <f>1.05071833*(1-0.8198)</f>
        <v>0.18933944306600003</v>
      </c>
      <c r="C7530" s="1">
        <v>3</v>
      </c>
    </row>
    <row r="7531" spans="1:3" x14ac:dyDescent="0.3">
      <c r="A7531" t="s">
        <v>7530</v>
      </c>
      <c r="B7531">
        <f>0*(1-0.8198)</f>
        <v>0</v>
      </c>
      <c r="C7531" s="1">
        <v>2</v>
      </c>
    </row>
    <row r="7532" spans="1:3" x14ac:dyDescent="0.3">
      <c r="A7532" t="s">
        <v>7531</v>
      </c>
      <c r="B7532">
        <f>0*(1-0.8198)</f>
        <v>0</v>
      </c>
      <c r="C7532" s="1">
        <v>2</v>
      </c>
    </row>
    <row r="7533" spans="1:3" x14ac:dyDescent="0.3">
      <c r="A7533" t="s">
        <v>7532</v>
      </c>
      <c r="B7533">
        <f>0*(1-0.8198)</f>
        <v>0</v>
      </c>
      <c r="C7533" s="1">
        <v>2</v>
      </c>
    </row>
    <row r="7534" spans="1:3" x14ac:dyDescent="0.3">
      <c r="A7534" t="s">
        <v>7533</v>
      </c>
      <c r="B7534">
        <f>0*(1-0.8198)</f>
        <v>0</v>
      </c>
      <c r="C7534" s="1">
        <v>2</v>
      </c>
    </row>
    <row r="7535" spans="1:3" x14ac:dyDescent="0.3">
      <c r="A7535" t="s">
        <v>7534</v>
      </c>
      <c r="B7535">
        <f>0*(1-0.8198)</f>
        <v>0</v>
      </c>
      <c r="C7535" s="1">
        <v>3</v>
      </c>
    </row>
    <row r="7536" spans="1:3" x14ac:dyDescent="0.3">
      <c r="A7536" t="s">
        <v>7535</v>
      </c>
      <c r="B7536">
        <f>0*(1-0.8198)</f>
        <v>0</v>
      </c>
      <c r="C7536" s="1">
        <v>2</v>
      </c>
    </row>
    <row r="7537" spans="1:3" x14ac:dyDescent="0.3">
      <c r="A7537" t="s">
        <v>7536</v>
      </c>
      <c r="B7537">
        <f>0*(1-0.8198)</f>
        <v>0</v>
      </c>
      <c r="C7537" s="1">
        <v>2</v>
      </c>
    </row>
    <row r="7538" spans="1:3" x14ac:dyDescent="0.3">
      <c r="A7538" t="s">
        <v>7537</v>
      </c>
      <c r="B7538">
        <f>0*(1-0.8198)</f>
        <v>0</v>
      </c>
      <c r="C7538" s="1">
        <v>3</v>
      </c>
    </row>
    <row r="7539" spans="1:3" x14ac:dyDescent="0.3">
      <c r="A7539" t="s">
        <v>7538</v>
      </c>
      <c r="B7539">
        <f>0*(1-0.8198)</f>
        <v>0</v>
      </c>
      <c r="C7539" s="1">
        <v>2</v>
      </c>
    </row>
    <row r="7540" spans="1:3" x14ac:dyDescent="0.3">
      <c r="A7540" t="s">
        <v>7539</v>
      </c>
      <c r="B7540">
        <f>0*(1-0.8198)</f>
        <v>0</v>
      </c>
      <c r="C7540" s="1">
        <v>3</v>
      </c>
    </row>
    <row r="7541" spans="1:3" x14ac:dyDescent="0.3">
      <c r="A7541" t="s">
        <v>7540</v>
      </c>
      <c r="B7541">
        <f>0*(1-0.8198)</f>
        <v>0</v>
      </c>
      <c r="C7541" s="1">
        <v>2</v>
      </c>
    </row>
    <row r="7542" spans="1:3" x14ac:dyDescent="0.3">
      <c r="A7542" t="s">
        <v>7541</v>
      </c>
      <c r="B7542">
        <f>0*(1-0.8198)</f>
        <v>0</v>
      </c>
      <c r="C7542" s="1">
        <v>2</v>
      </c>
    </row>
    <row r="7543" spans="1:3" x14ac:dyDescent="0.3">
      <c r="A7543" t="s">
        <v>7542</v>
      </c>
      <c r="B7543">
        <f>0*(1-0.8198)</f>
        <v>0</v>
      </c>
      <c r="C7543" s="1">
        <v>2</v>
      </c>
    </row>
    <row r="7544" spans="1:3" x14ac:dyDescent="0.3">
      <c r="A7544" t="s">
        <v>7543</v>
      </c>
      <c r="B7544">
        <f>0*(1-0.8198)</f>
        <v>0</v>
      </c>
      <c r="C7544" s="1">
        <v>3</v>
      </c>
    </row>
    <row r="7545" spans="1:3" x14ac:dyDescent="0.3">
      <c r="A7545" t="s">
        <v>7544</v>
      </c>
      <c r="B7545">
        <f>1.81531662571429*(1-0.8198)</f>
        <v>0.32712005595371441</v>
      </c>
      <c r="C7545" s="1">
        <v>9</v>
      </c>
    </row>
    <row r="7546" spans="1:3" x14ac:dyDescent="0.3">
      <c r="A7546" t="s">
        <v>7545</v>
      </c>
      <c r="B7546">
        <f>13.9733374971429*(1-0.8198)</f>
        <v>2.5179954169851437</v>
      </c>
      <c r="C7546" s="1">
        <v>13</v>
      </c>
    </row>
    <row r="7547" spans="1:3" x14ac:dyDescent="0.3">
      <c r="A7547" t="s">
        <v>7546</v>
      </c>
      <c r="B7547">
        <f>23.1930027571429*(1-0.8198)</f>
        <v>4.1793790968371445</v>
      </c>
      <c r="C7547" s="1">
        <v>19</v>
      </c>
    </row>
    <row r="7548" spans="1:3" x14ac:dyDescent="0.3">
      <c r="A7548" t="s">
        <v>7547</v>
      </c>
      <c r="B7548">
        <f>25.57299182*(1-0.8198)</f>
        <v>4.6082531259640014</v>
      </c>
      <c r="C7548" s="1">
        <v>18</v>
      </c>
    </row>
    <row r="7549" spans="1:3" x14ac:dyDescent="0.3">
      <c r="A7549" t="s">
        <v>7548</v>
      </c>
      <c r="B7549">
        <f>27.5274012828571*(1-0.8198)</f>
        <v>4.960437711170858</v>
      </c>
      <c r="C7549" s="1">
        <v>17</v>
      </c>
    </row>
    <row r="7550" spans="1:3" x14ac:dyDescent="0.3">
      <c r="A7550" t="s">
        <v>7549</v>
      </c>
      <c r="B7550">
        <f>23.1736508528571*(1-0.8198)</f>
        <v>4.1758918836848578</v>
      </c>
      <c r="C7550" s="1">
        <v>13</v>
      </c>
    </row>
    <row r="7551" spans="1:3" x14ac:dyDescent="0.3">
      <c r="A7551" t="s">
        <v>7550</v>
      </c>
      <c r="B7551">
        <f>22.56718303*(1-0.8198)</f>
        <v>4.0666063820060003</v>
      </c>
      <c r="C7551" s="1">
        <v>14</v>
      </c>
    </row>
    <row r="7552" spans="1:3" x14ac:dyDescent="0.3">
      <c r="A7552" t="s">
        <v>7551</v>
      </c>
      <c r="B7552">
        <f>10.7798602442857*(1-0.8198)</f>
        <v>1.9425308160202861</v>
      </c>
      <c r="C7552" s="1">
        <v>12</v>
      </c>
    </row>
    <row r="7553" spans="1:3" x14ac:dyDescent="0.3">
      <c r="A7553" t="s">
        <v>7552</v>
      </c>
      <c r="B7553">
        <f>5.34521046*(1-0.8198)</f>
        <v>0.96320692489200044</v>
      </c>
      <c r="C7553" s="1">
        <v>11</v>
      </c>
    </row>
    <row r="7554" spans="1:3" x14ac:dyDescent="0.3">
      <c r="A7554" t="s">
        <v>7553</v>
      </c>
      <c r="B7554">
        <f>0.456638684285714*(1-0.8198)</f>
        <v>8.2286290908285709E-2</v>
      </c>
      <c r="C7554" s="1">
        <v>9</v>
      </c>
    </row>
    <row r="7555" spans="1:3" x14ac:dyDescent="0.3">
      <c r="A7555" t="s">
        <v>7554</v>
      </c>
      <c r="B7555">
        <f>0*(1-0.8198)</f>
        <v>0</v>
      </c>
      <c r="C7555" s="1">
        <v>7</v>
      </c>
    </row>
    <row r="7556" spans="1:3" x14ac:dyDescent="0.3">
      <c r="A7556" t="s">
        <v>7555</v>
      </c>
      <c r="B7556">
        <f>0*(1-0.8198)</f>
        <v>0</v>
      </c>
      <c r="C7556" s="1">
        <v>7</v>
      </c>
    </row>
    <row r="7557" spans="1:3" x14ac:dyDescent="0.3">
      <c r="A7557" t="s">
        <v>7556</v>
      </c>
      <c r="B7557">
        <f>0*(1-0.8198)</f>
        <v>0</v>
      </c>
      <c r="C7557" s="1">
        <v>7</v>
      </c>
    </row>
    <row r="7558" spans="1:3" x14ac:dyDescent="0.3">
      <c r="A7558" t="s">
        <v>7557</v>
      </c>
      <c r="B7558">
        <f>0*(1-0.8198)</f>
        <v>0</v>
      </c>
      <c r="C7558" s="1">
        <v>5</v>
      </c>
    </row>
    <row r="7559" spans="1:3" x14ac:dyDescent="0.3">
      <c r="A7559" t="s">
        <v>7558</v>
      </c>
      <c r="B7559">
        <f>0*(1-0.8198)</f>
        <v>0</v>
      </c>
      <c r="C7559" s="1">
        <v>5</v>
      </c>
    </row>
    <row r="7560" spans="1:3" x14ac:dyDescent="0.3">
      <c r="A7560" t="s">
        <v>7559</v>
      </c>
      <c r="B7560">
        <f>0*(1-0.8198)</f>
        <v>0</v>
      </c>
      <c r="C7560" s="1">
        <v>5</v>
      </c>
    </row>
    <row r="7561" spans="1:3" x14ac:dyDescent="0.3">
      <c r="A7561" t="s">
        <v>7560</v>
      </c>
      <c r="B7561">
        <f>0*(1-0.8198)</f>
        <v>0</v>
      </c>
      <c r="C7561" s="1">
        <v>4</v>
      </c>
    </row>
    <row r="7562" spans="1:3" x14ac:dyDescent="0.3">
      <c r="A7562" t="s">
        <v>7561</v>
      </c>
      <c r="B7562">
        <f>0*(1-0.8198)</f>
        <v>0</v>
      </c>
      <c r="C7562" s="1">
        <v>2</v>
      </c>
    </row>
    <row r="7563" spans="1:3" x14ac:dyDescent="0.3">
      <c r="A7563" t="s">
        <v>7562</v>
      </c>
      <c r="B7563">
        <f>0*(1-0.8198)</f>
        <v>0</v>
      </c>
      <c r="C7563" s="1">
        <v>2</v>
      </c>
    </row>
    <row r="7564" spans="1:3" x14ac:dyDescent="0.3">
      <c r="A7564" t="s">
        <v>7563</v>
      </c>
      <c r="B7564">
        <f>0*(1-0.8198)</f>
        <v>0</v>
      </c>
      <c r="C7564" s="1">
        <v>3</v>
      </c>
    </row>
    <row r="7565" spans="1:3" x14ac:dyDescent="0.3">
      <c r="A7565" t="s">
        <v>7564</v>
      </c>
      <c r="B7565">
        <f>0*(1-0.8198)</f>
        <v>0</v>
      </c>
      <c r="C7565" s="1">
        <v>2</v>
      </c>
    </row>
    <row r="7566" spans="1:3" x14ac:dyDescent="0.3">
      <c r="A7566" t="s">
        <v>7565</v>
      </c>
      <c r="B7566">
        <f>0*(1-0.8198)</f>
        <v>0</v>
      </c>
      <c r="C7566" s="1">
        <v>2</v>
      </c>
    </row>
    <row r="7567" spans="1:3" x14ac:dyDescent="0.3">
      <c r="A7567" t="s">
        <v>7566</v>
      </c>
      <c r="B7567">
        <f>0*(1-0.8198)</f>
        <v>0</v>
      </c>
      <c r="C7567" s="1">
        <v>2</v>
      </c>
    </row>
    <row r="7568" spans="1:3" x14ac:dyDescent="0.3">
      <c r="A7568" t="s">
        <v>7567</v>
      </c>
      <c r="B7568">
        <f>0*(1-0.8198)</f>
        <v>0</v>
      </c>
      <c r="C7568" s="1">
        <v>3</v>
      </c>
    </row>
    <row r="7569" spans="1:3" x14ac:dyDescent="0.3">
      <c r="A7569" t="s">
        <v>7568</v>
      </c>
      <c r="B7569">
        <f>1.00101714857143*(1-0.8198)</f>
        <v>0.18038329017257149</v>
      </c>
      <c r="C7569" s="1">
        <v>9</v>
      </c>
    </row>
    <row r="7570" spans="1:3" x14ac:dyDescent="0.3">
      <c r="A7570" t="s">
        <v>7569</v>
      </c>
      <c r="B7570">
        <f>8.48887129142857*(1-0.8198)</f>
        <v>1.5296946067154289</v>
      </c>
      <c r="C7570" s="1">
        <v>15</v>
      </c>
    </row>
    <row r="7571" spans="1:3" x14ac:dyDescent="0.3">
      <c r="A7571" t="s">
        <v>7570</v>
      </c>
      <c r="B7571">
        <f>25.1236066828571*(1-0.8198)</f>
        <v>4.5272739242508591</v>
      </c>
      <c r="C7571" s="1">
        <v>19</v>
      </c>
    </row>
    <row r="7572" spans="1:3" x14ac:dyDescent="0.3">
      <c r="A7572" t="s">
        <v>7571</v>
      </c>
      <c r="B7572">
        <f>32.7983356928572*(1-0.8198)</f>
        <v>5.9102600918528596</v>
      </c>
      <c r="C7572" s="1">
        <v>15</v>
      </c>
    </row>
    <row r="7573" spans="1:3" x14ac:dyDescent="0.3">
      <c r="A7573" t="s">
        <v>7572</v>
      </c>
      <c r="B7573">
        <f>33.8790836257143*(1-0.8198)</f>
        <v>6.1050108693537153</v>
      </c>
      <c r="C7573" s="1">
        <v>14</v>
      </c>
    </row>
    <row r="7574" spans="1:3" x14ac:dyDescent="0.3">
      <c r="A7574" t="s">
        <v>7573</v>
      </c>
      <c r="B7574">
        <f>33.0283789357143*(1-0.8198)</f>
        <v>5.9517138842157156</v>
      </c>
      <c r="C7574" s="1">
        <v>14</v>
      </c>
    </row>
    <row r="7575" spans="1:3" x14ac:dyDescent="0.3">
      <c r="A7575" t="s">
        <v>7574</v>
      </c>
      <c r="B7575">
        <f>26.8739121614286*(1-0.8198)</f>
        <v>4.8426789714894296</v>
      </c>
      <c r="C7575" s="1">
        <v>14</v>
      </c>
    </row>
    <row r="7576" spans="1:3" x14ac:dyDescent="0.3">
      <c r="A7576" t="s">
        <v>7575</v>
      </c>
      <c r="B7576">
        <f>19.9444194071429*(1-0.8198)</f>
        <v>3.593984377167144</v>
      </c>
      <c r="C7576" s="1">
        <v>13</v>
      </c>
    </row>
    <row r="7577" spans="1:3" x14ac:dyDescent="0.3">
      <c r="A7577" t="s">
        <v>7576</v>
      </c>
      <c r="B7577">
        <f>7.65764560142857*(1-0.8198)</f>
        <v>1.3799077373774289</v>
      </c>
      <c r="C7577" s="1">
        <v>11</v>
      </c>
    </row>
    <row r="7578" spans="1:3" x14ac:dyDescent="0.3">
      <c r="A7578" t="s">
        <v>7577</v>
      </c>
      <c r="B7578">
        <f>0.631955888571429*(1-0.8198)</f>
        <v>0.11387845112057148</v>
      </c>
      <c r="C7578" s="1">
        <v>10</v>
      </c>
    </row>
    <row r="7579" spans="1:3" x14ac:dyDescent="0.3">
      <c r="A7579" t="s">
        <v>7578</v>
      </c>
      <c r="B7579">
        <f>0*(1-0.8198)</f>
        <v>0</v>
      </c>
      <c r="C7579" s="1">
        <v>7</v>
      </c>
    </row>
    <row r="7580" spans="1:3" x14ac:dyDescent="0.3">
      <c r="A7580" t="s">
        <v>7579</v>
      </c>
      <c r="B7580">
        <f>0*(1-0.8198)</f>
        <v>0</v>
      </c>
      <c r="C7580" s="1">
        <v>7</v>
      </c>
    </row>
    <row r="7581" spans="1:3" x14ac:dyDescent="0.3">
      <c r="A7581" t="s">
        <v>7580</v>
      </c>
      <c r="B7581">
        <f>0*(1-0.8198)</f>
        <v>0</v>
      </c>
      <c r="C7581" s="1">
        <v>7</v>
      </c>
    </row>
    <row r="7582" spans="1:3" x14ac:dyDescent="0.3">
      <c r="A7582" t="s">
        <v>7581</v>
      </c>
      <c r="B7582">
        <f>0*(1-0.8198)</f>
        <v>0</v>
      </c>
      <c r="C7582" s="1">
        <v>7</v>
      </c>
    </row>
    <row r="7583" spans="1:3" x14ac:dyDescent="0.3">
      <c r="A7583" t="s">
        <v>7582</v>
      </c>
      <c r="B7583">
        <f>0*(1-0.8198)</f>
        <v>0</v>
      </c>
      <c r="C7583" s="1">
        <v>4</v>
      </c>
    </row>
    <row r="7584" spans="1:3" x14ac:dyDescent="0.3">
      <c r="A7584" t="s">
        <v>7583</v>
      </c>
      <c r="B7584">
        <f>0*(1-0.8198)</f>
        <v>0</v>
      </c>
      <c r="C7584" s="1">
        <v>5</v>
      </c>
    </row>
    <row r="7585" spans="1:3" x14ac:dyDescent="0.3">
      <c r="A7585" t="s">
        <v>7584</v>
      </c>
      <c r="B7585">
        <f>0*(1-0.8198)</f>
        <v>0</v>
      </c>
      <c r="C7585" s="1">
        <v>4</v>
      </c>
    </row>
    <row r="7586" spans="1:3" x14ac:dyDescent="0.3">
      <c r="A7586" t="s">
        <v>7585</v>
      </c>
      <c r="B7586">
        <f>0*(1-0.8198)</f>
        <v>0</v>
      </c>
      <c r="C7586" s="1">
        <v>3</v>
      </c>
    </row>
    <row r="7587" spans="1:3" x14ac:dyDescent="0.3">
      <c r="A7587" t="s">
        <v>7586</v>
      </c>
      <c r="B7587">
        <f>0*(1-0.8198)</f>
        <v>0</v>
      </c>
      <c r="C7587" s="1">
        <v>2</v>
      </c>
    </row>
    <row r="7588" spans="1:3" x14ac:dyDescent="0.3">
      <c r="A7588" t="s">
        <v>7587</v>
      </c>
      <c r="B7588">
        <f>0*(1-0.8198)</f>
        <v>0</v>
      </c>
      <c r="C7588" s="1">
        <v>2</v>
      </c>
    </row>
    <row r="7589" spans="1:3" x14ac:dyDescent="0.3">
      <c r="A7589" t="s">
        <v>7588</v>
      </c>
      <c r="B7589">
        <f>0*(1-0.8198)</f>
        <v>0</v>
      </c>
      <c r="C7589" s="1">
        <v>3</v>
      </c>
    </row>
    <row r="7590" spans="1:3" x14ac:dyDescent="0.3">
      <c r="A7590" t="s">
        <v>7589</v>
      </c>
      <c r="B7590">
        <f>0*(1-0.8198)</f>
        <v>0</v>
      </c>
      <c r="C7590" s="1">
        <v>2</v>
      </c>
    </row>
    <row r="7591" spans="1:3" x14ac:dyDescent="0.3">
      <c r="A7591" t="s">
        <v>7590</v>
      </c>
      <c r="B7591">
        <f>0*(1-0.8198)</f>
        <v>0</v>
      </c>
      <c r="C7591" s="1">
        <v>2</v>
      </c>
    </row>
    <row r="7592" spans="1:3" x14ac:dyDescent="0.3">
      <c r="A7592" t="s">
        <v>7591</v>
      </c>
      <c r="B7592">
        <f>0*(1-0.8198)</f>
        <v>0</v>
      </c>
      <c r="C7592" s="1">
        <v>2</v>
      </c>
    </row>
    <row r="7593" spans="1:3" x14ac:dyDescent="0.3">
      <c r="A7593" t="s">
        <v>7592</v>
      </c>
      <c r="B7593">
        <f>2.69176830285714*(1-0.8198)</f>
        <v>0.48505664817485727</v>
      </c>
      <c r="C7593" s="1">
        <v>9</v>
      </c>
    </row>
    <row r="7594" spans="1:3" x14ac:dyDescent="0.3">
      <c r="A7594" t="s">
        <v>7593</v>
      </c>
      <c r="B7594">
        <f>14.3996881485714*(1-0.8198)</f>
        <v>2.594823804372572</v>
      </c>
      <c r="C7594" s="1">
        <v>13</v>
      </c>
    </row>
    <row r="7595" spans="1:3" x14ac:dyDescent="0.3">
      <c r="A7595" t="s">
        <v>7594</v>
      </c>
      <c r="B7595">
        <f>24.8342936528571*(1-0.8198)</f>
        <v>4.4751397162448585</v>
      </c>
      <c r="C7595" s="1">
        <v>19</v>
      </c>
    </row>
    <row r="7596" spans="1:3" x14ac:dyDescent="0.3">
      <c r="A7596" t="s">
        <v>7595</v>
      </c>
      <c r="B7596">
        <f>32.5610618771429*(1-0.8198)</f>
        <v>5.8675033502611447</v>
      </c>
      <c r="C7596" s="1">
        <v>18</v>
      </c>
    </row>
    <row r="7597" spans="1:3" x14ac:dyDescent="0.3">
      <c r="A7597" t="s">
        <v>7596</v>
      </c>
      <c r="B7597">
        <f>36.7213654428571*(1-0.8198)</f>
        <v>6.6171900528028589</v>
      </c>
      <c r="C7597" s="1">
        <v>20</v>
      </c>
    </row>
    <row r="7598" spans="1:3" x14ac:dyDescent="0.3">
      <c r="A7598" t="s">
        <v>7597</v>
      </c>
      <c r="B7598">
        <f>34.9946853928571*(1-0.8198)</f>
        <v>6.3060423077928585</v>
      </c>
      <c r="C7598" s="1">
        <v>17</v>
      </c>
    </row>
    <row r="7599" spans="1:3" x14ac:dyDescent="0.3">
      <c r="A7599" t="s">
        <v>7598</v>
      </c>
      <c r="B7599">
        <f>26.18899434*(1-0.8198)</f>
        <v>4.7192567800680019</v>
      </c>
      <c r="C7599" s="1">
        <v>17</v>
      </c>
    </row>
    <row r="7600" spans="1:3" x14ac:dyDescent="0.3">
      <c r="A7600" t="s">
        <v>7599</v>
      </c>
      <c r="B7600">
        <f>18.0618389871429*(1-0.8198)</f>
        <v>3.2547433854831445</v>
      </c>
      <c r="C7600" s="1">
        <v>15</v>
      </c>
    </row>
    <row r="7601" spans="1:3" x14ac:dyDescent="0.3">
      <c r="A7601" t="s">
        <v>7600</v>
      </c>
      <c r="B7601">
        <f>5.73342115571429*(1-0.8198)</f>
        <v>1.0331624922597145</v>
      </c>
      <c r="C7601" s="1">
        <v>13</v>
      </c>
    </row>
    <row r="7602" spans="1:3" x14ac:dyDescent="0.3">
      <c r="A7602" t="s">
        <v>7601</v>
      </c>
      <c r="B7602">
        <f>0.725264598571429*(1-0.8198)</f>
        <v>0.13069268066257148</v>
      </c>
      <c r="C7602" s="1">
        <v>11</v>
      </c>
    </row>
    <row r="7603" spans="1:3" x14ac:dyDescent="0.3">
      <c r="A7603" t="s">
        <v>7602</v>
      </c>
      <c r="B7603">
        <f>0*(1-0.8198)</f>
        <v>0</v>
      </c>
      <c r="C7603" s="1">
        <v>11</v>
      </c>
    </row>
    <row r="7604" spans="1:3" x14ac:dyDescent="0.3">
      <c r="A7604" t="s">
        <v>7603</v>
      </c>
      <c r="B7604">
        <f>0*(1-0.8198)</f>
        <v>0</v>
      </c>
      <c r="C7604" s="1">
        <v>11</v>
      </c>
    </row>
    <row r="7605" spans="1:3" x14ac:dyDescent="0.3">
      <c r="A7605" t="s">
        <v>7604</v>
      </c>
      <c r="B7605">
        <f>0*(1-0.8198)</f>
        <v>0</v>
      </c>
      <c r="C7605" s="1">
        <v>10</v>
      </c>
    </row>
    <row r="7606" spans="1:3" x14ac:dyDescent="0.3">
      <c r="A7606" t="s">
        <v>7605</v>
      </c>
      <c r="B7606">
        <f>0*(1-0.8198)</f>
        <v>0</v>
      </c>
      <c r="C7606" s="1">
        <v>9</v>
      </c>
    </row>
    <row r="7607" spans="1:3" x14ac:dyDescent="0.3">
      <c r="A7607" t="s">
        <v>7606</v>
      </c>
      <c r="B7607">
        <f>0*(1-0.8198)</f>
        <v>0</v>
      </c>
      <c r="C7607" s="1">
        <v>8</v>
      </c>
    </row>
    <row r="7608" spans="1:3" x14ac:dyDescent="0.3">
      <c r="A7608" t="s">
        <v>7607</v>
      </c>
      <c r="B7608">
        <f>0*(1-0.8198)</f>
        <v>0</v>
      </c>
      <c r="C7608" s="1">
        <v>7</v>
      </c>
    </row>
    <row r="7609" spans="1:3" x14ac:dyDescent="0.3">
      <c r="A7609" t="s">
        <v>7608</v>
      </c>
      <c r="B7609">
        <f>0*(1-0.8198)</f>
        <v>0</v>
      </c>
      <c r="C7609" s="1">
        <v>7</v>
      </c>
    </row>
    <row r="7610" spans="1:3" x14ac:dyDescent="0.3">
      <c r="A7610" t="s">
        <v>7609</v>
      </c>
      <c r="B7610">
        <f>0*(1-0.8198)</f>
        <v>0</v>
      </c>
      <c r="C7610" s="1">
        <v>4</v>
      </c>
    </row>
    <row r="7611" spans="1:3" x14ac:dyDescent="0.3">
      <c r="A7611" t="s">
        <v>7610</v>
      </c>
      <c r="B7611">
        <f>0*(1-0.8198)</f>
        <v>0</v>
      </c>
      <c r="C7611" s="1">
        <v>5</v>
      </c>
    </row>
    <row r="7612" spans="1:3" x14ac:dyDescent="0.3">
      <c r="A7612" t="s">
        <v>7611</v>
      </c>
      <c r="B7612">
        <f>0*(1-0.8198)</f>
        <v>0</v>
      </c>
      <c r="C7612" s="1">
        <v>5</v>
      </c>
    </row>
    <row r="7613" spans="1:3" x14ac:dyDescent="0.3">
      <c r="A7613" t="s">
        <v>7612</v>
      </c>
      <c r="B7613">
        <f>0*(1-0.8198)</f>
        <v>0</v>
      </c>
      <c r="C7613" s="1">
        <v>4</v>
      </c>
    </row>
    <row r="7614" spans="1:3" x14ac:dyDescent="0.3">
      <c r="A7614" t="s">
        <v>7613</v>
      </c>
      <c r="B7614">
        <f>0*(1-0.8198)</f>
        <v>0</v>
      </c>
      <c r="C7614" s="1">
        <v>5</v>
      </c>
    </row>
    <row r="7615" spans="1:3" x14ac:dyDescent="0.3">
      <c r="A7615" t="s">
        <v>7614</v>
      </c>
      <c r="B7615">
        <f>0*(1-0.8198)</f>
        <v>0</v>
      </c>
      <c r="C7615" s="1">
        <v>4</v>
      </c>
    </row>
    <row r="7616" spans="1:3" x14ac:dyDescent="0.3">
      <c r="A7616" t="s">
        <v>7615</v>
      </c>
      <c r="B7616">
        <f>0*(1-0.8198)</f>
        <v>0</v>
      </c>
      <c r="C7616" s="1">
        <v>4</v>
      </c>
    </row>
    <row r="7617" spans="1:3" x14ac:dyDescent="0.3">
      <c r="A7617" t="s">
        <v>7616</v>
      </c>
      <c r="B7617">
        <f>1.12361942428571*(1-0.8198)</f>
        <v>0.20247622025628573</v>
      </c>
      <c r="C7617" s="1">
        <v>10</v>
      </c>
    </row>
    <row r="7618" spans="1:3" x14ac:dyDescent="0.3">
      <c r="A7618" t="s">
        <v>7617</v>
      </c>
      <c r="B7618">
        <f>7.10223751428572*(1-0.8198)</f>
        <v>1.279823200074286</v>
      </c>
      <c r="C7618" s="1">
        <v>15</v>
      </c>
    </row>
    <row r="7619" spans="1:3" x14ac:dyDescent="0.3">
      <c r="A7619" t="s">
        <v>7618</v>
      </c>
      <c r="B7619">
        <f>16.9784860528571*(1-0.8198)</f>
        <v>3.0595231867248578</v>
      </c>
      <c r="C7619" s="1">
        <v>20</v>
      </c>
    </row>
    <row r="7620" spans="1:3" x14ac:dyDescent="0.3">
      <c r="A7620" t="s">
        <v>7619</v>
      </c>
      <c r="B7620">
        <f>33.5983520442857*(1-0.8198)</f>
        <v>6.0544230383802873</v>
      </c>
      <c r="C7620" s="1">
        <v>18</v>
      </c>
    </row>
    <row r="7621" spans="1:3" x14ac:dyDescent="0.3">
      <c r="A7621" t="s">
        <v>7620</v>
      </c>
      <c r="B7621">
        <f>34.1254945728571*(1-0.8198)</f>
        <v>6.1494141220288583</v>
      </c>
      <c r="C7621" s="1">
        <v>15</v>
      </c>
    </row>
    <row r="7622" spans="1:3" x14ac:dyDescent="0.3">
      <c r="A7622" t="s">
        <v>7621</v>
      </c>
      <c r="B7622">
        <f>24.1430485042857*(1-0.8198)</f>
        <v>4.3505773404722863</v>
      </c>
      <c r="C7622" s="1">
        <v>16</v>
      </c>
    </row>
    <row r="7623" spans="1:3" x14ac:dyDescent="0.3">
      <c r="A7623" t="s">
        <v>7622</v>
      </c>
      <c r="B7623">
        <f>29.6464706457143*(1-0.8198)</f>
        <v>5.3422940103577155</v>
      </c>
      <c r="C7623" s="1">
        <v>17</v>
      </c>
    </row>
    <row r="7624" spans="1:3" x14ac:dyDescent="0.3">
      <c r="A7624" t="s">
        <v>7623</v>
      </c>
      <c r="B7624">
        <f>20.1655998585714*(1-0.8198)</f>
        <v>3.6338410945145729</v>
      </c>
      <c r="C7624" s="1">
        <v>14</v>
      </c>
    </row>
    <row r="7625" spans="1:3" x14ac:dyDescent="0.3">
      <c r="A7625" t="s">
        <v>7624</v>
      </c>
      <c r="B7625">
        <f>9.65768150428572*(1-0.8198)</f>
        <v>1.7403142070722866</v>
      </c>
      <c r="C7625" s="1">
        <v>13</v>
      </c>
    </row>
    <row r="7626" spans="1:3" x14ac:dyDescent="0.3">
      <c r="A7626" t="s">
        <v>7625</v>
      </c>
      <c r="B7626">
        <f>0.591307497142857*(1-0.8198)</f>
        <v>0.10655361098514289</v>
      </c>
      <c r="C7626" s="1">
        <v>11</v>
      </c>
    </row>
    <row r="7627" spans="1:3" x14ac:dyDescent="0.3">
      <c r="A7627" t="s">
        <v>7626</v>
      </c>
      <c r="B7627">
        <f>0*(1-0.8198)</f>
        <v>0</v>
      </c>
      <c r="C7627" s="1">
        <v>9</v>
      </c>
    </row>
    <row r="7628" spans="1:3" x14ac:dyDescent="0.3">
      <c r="A7628" t="s">
        <v>7627</v>
      </c>
      <c r="B7628">
        <f>0*(1-0.8198)</f>
        <v>0</v>
      </c>
      <c r="C7628" s="1">
        <v>9</v>
      </c>
    </row>
    <row r="7629" spans="1:3" x14ac:dyDescent="0.3">
      <c r="A7629" t="s">
        <v>7628</v>
      </c>
      <c r="B7629">
        <f>0*(1-0.8198)</f>
        <v>0</v>
      </c>
      <c r="C7629" s="1">
        <v>9</v>
      </c>
    </row>
    <row r="7630" spans="1:3" x14ac:dyDescent="0.3">
      <c r="A7630" t="s">
        <v>7629</v>
      </c>
      <c r="B7630">
        <f>0*(1-0.8198)</f>
        <v>0</v>
      </c>
      <c r="C7630" s="1">
        <v>7</v>
      </c>
    </row>
    <row r="7631" spans="1:3" x14ac:dyDescent="0.3">
      <c r="A7631" t="s">
        <v>7630</v>
      </c>
      <c r="B7631">
        <f>0*(1-0.8198)</f>
        <v>0</v>
      </c>
      <c r="C7631" s="1">
        <v>7</v>
      </c>
    </row>
    <row r="7632" spans="1:3" x14ac:dyDescent="0.3">
      <c r="A7632" t="s">
        <v>7631</v>
      </c>
      <c r="B7632">
        <f>0*(1-0.8198)</f>
        <v>0</v>
      </c>
      <c r="C7632" s="1">
        <v>6</v>
      </c>
    </row>
    <row r="7633" spans="1:3" x14ac:dyDescent="0.3">
      <c r="A7633" t="s">
        <v>7632</v>
      </c>
      <c r="B7633">
        <f>0*(1-0.8198)</f>
        <v>0</v>
      </c>
      <c r="C7633" s="1">
        <v>6</v>
      </c>
    </row>
    <row r="7634" spans="1:3" x14ac:dyDescent="0.3">
      <c r="A7634" t="s">
        <v>7633</v>
      </c>
      <c r="B7634">
        <f>0*(1-0.8198)</f>
        <v>0</v>
      </c>
      <c r="C7634" s="1">
        <v>4</v>
      </c>
    </row>
    <row r="7635" spans="1:3" x14ac:dyDescent="0.3">
      <c r="A7635" t="s">
        <v>7634</v>
      </c>
      <c r="B7635">
        <f>0*(1-0.8198)</f>
        <v>0</v>
      </c>
      <c r="C7635" s="1">
        <v>5</v>
      </c>
    </row>
    <row r="7636" spans="1:3" x14ac:dyDescent="0.3">
      <c r="A7636" t="s">
        <v>7635</v>
      </c>
      <c r="B7636">
        <f>0*(1-0.8198)</f>
        <v>0</v>
      </c>
      <c r="C7636" s="1">
        <v>4</v>
      </c>
    </row>
    <row r="7637" spans="1:3" x14ac:dyDescent="0.3">
      <c r="A7637" t="s">
        <v>7636</v>
      </c>
      <c r="B7637">
        <f>0*(1-0.8198)</f>
        <v>0</v>
      </c>
      <c r="C7637" s="1">
        <v>4</v>
      </c>
    </row>
    <row r="7638" spans="1:3" x14ac:dyDescent="0.3">
      <c r="A7638" t="s">
        <v>7637</v>
      </c>
      <c r="B7638">
        <f>0*(1-0.8198)</f>
        <v>0</v>
      </c>
      <c r="C7638" s="1">
        <v>4</v>
      </c>
    </row>
    <row r="7639" spans="1:3" x14ac:dyDescent="0.3">
      <c r="A7639" t="s">
        <v>7638</v>
      </c>
      <c r="B7639">
        <f>0*(1-0.8198)</f>
        <v>0</v>
      </c>
      <c r="C7639" s="1">
        <v>5</v>
      </c>
    </row>
    <row r="7640" spans="1:3" x14ac:dyDescent="0.3">
      <c r="A7640" t="s">
        <v>7639</v>
      </c>
      <c r="B7640">
        <f>0*(1-0.8198)</f>
        <v>0</v>
      </c>
      <c r="C7640" s="1">
        <v>4</v>
      </c>
    </row>
    <row r="7641" spans="1:3" x14ac:dyDescent="0.3">
      <c r="A7641" t="s">
        <v>7640</v>
      </c>
      <c r="B7641">
        <f>1.85199071142857*(1-0.8198)</f>
        <v>0.33372872619942867</v>
      </c>
      <c r="C7641" s="1">
        <v>10</v>
      </c>
    </row>
    <row r="7642" spans="1:3" x14ac:dyDescent="0.3">
      <c r="A7642" t="s">
        <v>7641</v>
      </c>
      <c r="B7642">
        <f>12.68316003*(1-0.8198)</f>
        <v>2.2855054374060004</v>
      </c>
      <c r="C7642" s="1">
        <v>15</v>
      </c>
    </row>
    <row r="7643" spans="1:3" x14ac:dyDescent="0.3">
      <c r="A7643" t="s">
        <v>7642</v>
      </c>
      <c r="B7643">
        <f>22.1523542285714*(1-0.8198)</f>
        <v>3.9918542319885719</v>
      </c>
      <c r="C7643" s="1">
        <v>17</v>
      </c>
    </row>
    <row r="7644" spans="1:3" x14ac:dyDescent="0.3">
      <c r="A7644" t="s">
        <v>7643</v>
      </c>
      <c r="B7644">
        <f>24.1368267114286*(1-0.8198)</f>
        <v>4.3494561733994299</v>
      </c>
      <c r="C7644" s="1">
        <v>17</v>
      </c>
    </row>
    <row r="7645" spans="1:3" x14ac:dyDescent="0.3">
      <c r="A7645" t="s">
        <v>7644</v>
      </c>
      <c r="B7645">
        <f>5.52808*(1-0.8198)</f>
        <v>0.99616001600000048</v>
      </c>
      <c r="C7645" s="1">
        <v>15</v>
      </c>
    </row>
    <row r="7646" spans="1:3" x14ac:dyDescent="0.3">
      <c r="A7646" t="s">
        <v>7645</v>
      </c>
      <c r="B7646">
        <f>8.65504*(1-0.8198)</f>
        <v>1.5596382080000004</v>
      </c>
      <c r="C7646" s="1">
        <v>15</v>
      </c>
    </row>
    <row r="7647" spans="1:3" x14ac:dyDescent="0.3">
      <c r="A7647" t="s">
        <v>7646</v>
      </c>
      <c r="B7647">
        <f>10.5411980814286*(1-0.8198)</f>
        <v>1.8995238942734292</v>
      </c>
      <c r="C7647" s="1">
        <v>17</v>
      </c>
    </row>
    <row r="7648" spans="1:3" x14ac:dyDescent="0.3">
      <c r="A7648" t="s">
        <v>7647</v>
      </c>
      <c r="B7648">
        <f>14.1832598114286*(1-0.8198)</f>
        <v>2.555823418019429</v>
      </c>
      <c r="C7648" s="1">
        <v>14</v>
      </c>
    </row>
    <row r="7649" spans="1:3" x14ac:dyDescent="0.3">
      <c r="A7649" t="s">
        <v>7648</v>
      </c>
      <c r="B7649">
        <f>5.93279256*(1-0.8198)</f>
        <v>1.0690892193120003</v>
      </c>
      <c r="C7649" s="1">
        <v>13</v>
      </c>
    </row>
    <row r="7650" spans="1:3" x14ac:dyDescent="0.3">
      <c r="A7650" t="s">
        <v>7649</v>
      </c>
      <c r="B7650">
        <f>0.269099958571429*(1-0.8198)</f>
        <v>4.8491812534571438E-2</v>
      </c>
      <c r="C7650" s="1">
        <v>11</v>
      </c>
    </row>
    <row r="7651" spans="1:3" x14ac:dyDescent="0.3">
      <c r="A7651" t="s">
        <v>7650</v>
      </c>
      <c r="B7651">
        <f>0*(1-0.8198)</f>
        <v>0</v>
      </c>
      <c r="C7651" s="1">
        <v>10</v>
      </c>
    </row>
    <row r="7652" spans="1:3" x14ac:dyDescent="0.3">
      <c r="A7652" t="s">
        <v>7651</v>
      </c>
      <c r="B7652">
        <f>0*(1-0.8198)</f>
        <v>0</v>
      </c>
      <c r="C7652" s="1">
        <v>8</v>
      </c>
    </row>
    <row r="7653" spans="1:3" x14ac:dyDescent="0.3">
      <c r="A7653" t="s">
        <v>7652</v>
      </c>
      <c r="B7653">
        <f>0*(1-0.8198)</f>
        <v>0</v>
      </c>
      <c r="C7653" s="1">
        <v>9</v>
      </c>
    </row>
    <row r="7654" spans="1:3" x14ac:dyDescent="0.3">
      <c r="A7654" t="s">
        <v>7653</v>
      </c>
      <c r="B7654">
        <f>0*(1-0.8198)</f>
        <v>0</v>
      </c>
      <c r="C7654" s="1">
        <v>8</v>
      </c>
    </row>
    <row r="7655" spans="1:3" x14ac:dyDescent="0.3">
      <c r="A7655" t="s">
        <v>7654</v>
      </c>
      <c r="B7655">
        <f>0*(1-0.8198)</f>
        <v>0</v>
      </c>
      <c r="C7655" s="1">
        <v>8</v>
      </c>
    </row>
    <row r="7656" spans="1:3" x14ac:dyDescent="0.3">
      <c r="A7656" t="s">
        <v>7655</v>
      </c>
      <c r="B7656">
        <f>0*(1-0.8198)</f>
        <v>0</v>
      </c>
      <c r="C7656" s="1">
        <v>6</v>
      </c>
    </row>
    <row r="7657" spans="1:3" x14ac:dyDescent="0.3">
      <c r="A7657" t="s">
        <v>7656</v>
      </c>
      <c r="B7657">
        <f>0*(1-0.8198)</f>
        <v>0</v>
      </c>
      <c r="C7657" s="1">
        <v>7</v>
      </c>
    </row>
    <row r="7658" spans="1:3" x14ac:dyDescent="0.3">
      <c r="A7658" t="s">
        <v>7657</v>
      </c>
      <c r="B7658">
        <f>0*(1-0.8198)</f>
        <v>0</v>
      </c>
      <c r="C7658" s="1">
        <v>4</v>
      </c>
    </row>
    <row r="7659" spans="1:3" x14ac:dyDescent="0.3">
      <c r="A7659" t="s">
        <v>7658</v>
      </c>
      <c r="B7659">
        <f>0*(1-0.8198)</f>
        <v>0</v>
      </c>
      <c r="C7659" s="1">
        <v>4</v>
      </c>
    </row>
    <row r="7660" spans="1:3" x14ac:dyDescent="0.3">
      <c r="A7660" t="s">
        <v>7659</v>
      </c>
      <c r="B7660">
        <f>0*(1-0.8198)</f>
        <v>0</v>
      </c>
      <c r="C7660" s="1">
        <v>4</v>
      </c>
    </row>
    <row r="7661" spans="1:3" x14ac:dyDescent="0.3">
      <c r="A7661" t="s">
        <v>7660</v>
      </c>
      <c r="B7661">
        <f>0*(1-0.8198)</f>
        <v>0</v>
      </c>
      <c r="C7661" s="1">
        <v>4</v>
      </c>
    </row>
    <row r="7662" spans="1:3" x14ac:dyDescent="0.3">
      <c r="A7662" t="s">
        <v>7661</v>
      </c>
      <c r="B7662">
        <f>0*(1-0.8198)</f>
        <v>0</v>
      </c>
      <c r="C7662" s="1">
        <v>5</v>
      </c>
    </row>
    <row r="7663" spans="1:3" x14ac:dyDescent="0.3">
      <c r="A7663" t="s">
        <v>7662</v>
      </c>
      <c r="B7663">
        <f>0*(1-0.8198)</f>
        <v>0</v>
      </c>
      <c r="C7663" s="1">
        <v>4</v>
      </c>
    </row>
    <row r="7664" spans="1:3" x14ac:dyDescent="0.3">
      <c r="A7664" t="s">
        <v>7663</v>
      </c>
      <c r="B7664">
        <f>0*(1-0.8198)</f>
        <v>0</v>
      </c>
      <c r="C7664" s="1">
        <v>4</v>
      </c>
    </row>
    <row r="7665" spans="1:3" x14ac:dyDescent="0.3">
      <c r="A7665" t="s">
        <v>7664</v>
      </c>
      <c r="B7665">
        <f>1.26788442428571*(1-0.8198)</f>
        <v>0.22847277325628579</v>
      </c>
      <c r="C7665" s="1">
        <v>4</v>
      </c>
    </row>
    <row r="7666" spans="1:3" x14ac:dyDescent="0.3">
      <c r="A7666" t="s">
        <v>7665</v>
      </c>
      <c r="B7666">
        <f>7.63436441857143*(1-0.8198)</f>
        <v>1.375712468226572</v>
      </c>
      <c r="C7666" s="1">
        <v>4</v>
      </c>
    </row>
    <row r="7667" spans="1:3" x14ac:dyDescent="0.3">
      <c r="A7667" t="s">
        <v>7666</v>
      </c>
      <c r="B7667">
        <f>9.50077659285714*(1-0.8198)</f>
        <v>1.7120399420328574</v>
      </c>
      <c r="C7667" s="1">
        <v>4</v>
      </c>
    </row>
    <row r="7668" spans="1:3" x14ac:dyDescent="0.3">
      <c r="A7668" t="s">
        <v>7667</v>
      </c>
      <c r="B7668">
        <f>18.1210486971429*(1-0.8198)</f>
        <v>3.2654129752251442</v>
      </c>
      <c r="C7668" s="1">
        <v>5</v>
      </c>
    </row>
    <row r="7669" spans="1:3" x14ac:dyDescent="0.3">
      <c r="A7669" t="s">
        <v>7668</v>
      </c>
      <c r="B7669">
        <f>16.0103898885714*(1-0.8198)</f>
        <v>2.8850722579205725</v>
      </c>
      <c r="C7669" s="1">
        <v>4</v>
      </c>
    </row>
    <row r="7670" spans="1:3" x14ac:dyDescent="0.3">
      <c r="A7670" t="s">
        <v>7669</v>
      </c>
      <c r="B7670">
        <f>29.8634431171429*(1-0.8198)</f>
        <v>5.3813924497091445</v>
      </c>
      <c r="C7670" s="1">
        <v>4</v>
      </c>
    </row>
    <row r="7671" spans="1:3" x14ac:dyDescent="0.3">
      <c r="A7671" t="s">
        <v>7670</v>
      </c>
      <c r="B7671">
        <f>11.0962294885714*(1-0.8198)</f>
        <v>1.9995405538405719</v>
      </c>
      <c r="C7671" s="1">
        <v>4</v>
      </c>
    </row>
    <row r="7672" spans="1:3" x14ac:dyDescent="0.3">
      <c r="A7672" t="s">
        <v>7671</v>
      </c>
      <c r="B7672">
        <f>12.96477563*(1-0.8198)</f>
        <v>2.3362525685260005</v>
      </c>
      <c r="C7672" s="1">
        <v>4</v>
      </c>
    </row>
    <row r="7673" spans="1:3" x14ac:dyDescent="0.3">
      <c r="A7673" t="s">
        <v>7672</v>
      </c>
      <c r="B7673">
        <f>9.10270102142857*(1-0.8198)</f>
        <v>1.6403067240614286</v>
      </c>
      <c r="C7673" s="1">
        <v>4</v>
      </c>
    </row>
    <row r="7674" spans="1:3" x14ac:dyDescent="0.3">
      <c r="A7674" t="s">
        <v>7673</v>
      </c>
      <c r="B7674">
        <f>0.433981615714286*(1-0.8198)</f>
        <v>7.8203487151714296E-2</v>
      </c>
      <c r="C7674" s="1">
        <v>4</v>
      </c>
    </row>
    <row r="7675" spans="1:3" x14ac:dyDescent="0.3">
      <c r="A7675" t="s">
        <v>7674</v>
      </c>
      <c r="B7675">
        <f>0*(1-0.8198)</f>
        <v>0</v>
      </c>
      <c r="C7675" s="1">
        <v>4</v>
      </c>
    </row>
    <row r="7676" spans="1:3" x14ac:dyDescent="0.3">
      <c r="A7676" t="s">
        <v>7675</v>
      </c>
      <c r="B7676">
        <f>0*(1-0.8198)</f>
        <v>0</v>
      </c>
      <c r="C7676" s="1">
        <v>5</v>
      </c>
    </row>
    <row r="7677" spans="1:3" x14ac:dyDescent="0.3">
      <c r="A7677" t="s">
        <v>7676</v>
      </c>
      <c r="B7677">
        <f>0*(1-0.8198)</f>
        <v>0</v>
      </c>
      <c r="C7677" s="1">
        <v>4</v>
      </c>
    </row>
    <row r="7678" spans="1:3" x14ac:dyDescent="0.3">
      <c r="A7678" t="s">
        <v>7677</v>
      </c>
      <c r="B7678">
        <f>0*(1-0.8198)</f>
        <v>0</v>
      </c>
      <c r="C7678" s="1">
        <v>4</v>
      </c>
    </row>
    <row r="7679" spans="1:3" x14ac:dyDescent="0.3">
      <c r="A7679" t="s">
        <v>7678</v>
      </c>
      <c r="B7679">
        <f>0*(1-0.8198)</f>
        <v>0</v>
      </c>
      <c r="C7679" s="1">
        <v>4</v>
      </c>
    </row>
    <row r="7680" spans="1:3" x14ac:dyDescent="0.3">
      <c r="A7680" t="s">
        <v>7679</v>
      </c>
      <c r="B7680">
        <f>0*(1-0.8198)</f>
        <v>0</v>
      </c>
      <c r="C7680" s="1">
        <v>4</v>
      </c>
    </row>
    <row r="7681" spans="1:3" x14ac:dyDescent="0.3">
      <c r="A7681" t="s">
        <v>7680</v>
      </c>
      <c r="B7681">
        <f>0*(1-0.8198)</f>
        <v>0</v>
      </c>
      <c r="C7681" s="1">
        <v>4</v>
      </c>
    </row>
    <row r="7682" spans="1:3" x14ac:dyDescent="0.3">
      <c r="A7682" t="s">
        <v>7681</v>
      </c>
      <c r="B7682">
        <f>0*(1-0.8198)</f>
        <v>0</v>
      </c>
      <c r="C7682" s="1">
        <v>4</v>
      </c>
    </row>
    <row r="7683" spans="1:3" x14ac:dyDescent="0.3">
      <c r="A7683" t="s">
        <v>7682</v>
      </c>
      <c r="B7683">
        <f>0*(1-0.8198)</f>
        <v>0</v>
      </c>
      <c r="C7683" s="1">
        <v>4</v>
      </c>
    </row>
    <row r="7684" spans="1:3" x14ac:dyDescent="0.3">
      <c r="A7684" t="s">
        <v>7683</v>
      </c>
      <c r="B7684">
        <f>0*(1-0.8198)</f>
        <v>0</v>
      </c>
      <c r="C7684" s="1">
        <v>4</v>
      </c>
    </row>
    <row r="7685" spans="1:3" x14ac:dyDescent="0.3">
      <c r="A7685" t="s">
        <v>7684</v>
      </c>
      <c r="B7685">
        <f>0*(1-0.8198)</f>
        <v>0</v>
      </c>
      <c r="C7685" s="1">
        <v>5</v>
      </c>
    </row>
    <row r="7686" spans="1:3" x14ac:dyDescent="0.3">
      <c r="A7686" t="s">
        <v>7685</v>
      </c>
      <c r="B7686">
        <f>0*(1-0.8198)</f>
        <v>0</v>
      </c>
      <c r="C7686" s="1">
        <v>4</v>
      </c>
    </row>
    <row r="7687" spans="1:3" x14ac:dyDescent="0.3">
      <c r="A7687" t="s">
        <v>7686</v>
      </c>
      <c r="B7687">
        <f>0*(1-0.8198)</f>
        <v>0</v>
      </c>
      <c r="C7687" s="1">
        <v>4</v>
      </c>
    </row>
    <row r="7688" spans="1:3" x14ac:dyDescent="0.3">
      <c r="A7688" t="s">
        <v>7687</v>
      </c>
      <c r="B7688">
        <f>0*(1-0.8198)</f>
        <v>0</v>
      </c>
      <c r="C7688" s="1">
        <v>4</v>
      </c>
    </row>
    <row r="7689" spans="1:3" x14ac:dyDescent="0.3">
      <c r="A7689" t="s">
        <v>7688</v>
      </c>
      <c r="B7689">
        <f>1.22165506285714*(1-0.8198)</f>
        <v>0.22014224232685717</v>
      </c>
      <c r="C7689" s="1">
        <v>4</v>
      </c>
    </row>
    <row r="7690" spans="1:3" x14ac:dyDescent="0.3">
      <c r="A7690" t="s">
        <v>7689</v>
      </c>
      <c r="B7690">
        <f>12.9993565371429*(1-0.8198)</f>
        <v>2.342484047993143</v>
      </c>
      <c r="C7690" s="1">
        <v>5</v>
      </c>
    </row>
    <row r="7691" spans="1:3" x14ac:dyDescent="0.3">
      <c r="A7691" t="s">
        <v>7690</v>
      </c>
      <c r="B7691">
        <f>22.3618746771429*(1-0.8198)</f>
        <v>4.0296098168211438</v>
      </c>
      <c r="C7691" s="1">
        <v>3</v>
      </c>
    </row>
    <row r="7692" spans="1:3" x14ac:dyDescent="0.3">
      <c r="A7692" t="s">
        <v>7691</v>
      </c>
      <c r="B7692">
        <f>31.3866814442857*(1-0.8198)</f>
        <v>5.6558799962602873</v>
      </c>
      <c r="C7692" s="1">
        <v>5</v>
      </c>
    </row>
    <row r="7693" spans="1:3" x14ac:dyDescent="0.3">
      <c r="A7693" t="s">
        <v>7692</v>
      </c>
      <c r="B7693">
        <f>35.6096654957143*(1-0.8198)</f>
        <v>6.4168617223277149</v>
      </c>
      <c r="C7693" s="1">
        <v>4</v>
      </c>
    </row>
    <row r="7694" spans="1:3" x14ac:dyDescent="0.3">
      <c r="A7694" t="s">
        <v>7693</v>
      </c>
      <c r="B7694">
        <f>34.6338027328571*(1-0.8198)</f>
        <v>6.2410112524608579</v>
      </c>
      <c r="C7694" s="1">
        <v>4</v>
      </c>
    </row>
    <row r="7695" spans="1:3" x14ac:dyDescent="0.3">
      <c r="A7695" t="s">
        <v>7694</v>
      </c>
      <c r="B7695">
        <f>24.3703348942857*(1-0.8198)</f>
        <v>4.3915343479502864</v>
      </c>
      <c r="C7695" s="1">
        <v>4</v>
      </c>
    </row>
    <row r="7696" spans="1:3" x14ac:dyDescent="0.3">
      <c r="A7696" t="s">
        <v>7695</v>
      </c>
      <c r="B7696">
        <f>19.1753856*(1-0.8198)</f>
        <v>3.4554044851200008</v>
      </c>
      <c r="C7696" s="1">
        <v>4</v>
      </c>
    </row>
    <row r="7697" spans="1:3" x14ac:dyDescent="0.3">
      <c r="A7697" t="s">
        <v>7696</v>
      </c>
      <c r="B7697">
        <f>9.02896591142857*(1-0.8198)</f>
        <v>1.6270196572394291</v>
      </c>
      <c r="C7697" s="1">
        <v>4</v>
      </c>
    </row>
    <row r="7698" spans="1:3" x14ac:dyDescent="0.3">
      <c r="A7698" t="s">
        <v>7697</v>
      </c>
      <c r="B7698">
        <f>0.43886402*(1-0.8198)</f>
        <v>7.9083296404000011E-2</v>
      </c>
      <c r="C7698" s="1">
        <v>4</v>
      </c>
    </row>
    <row r="7699" spans="1:3" x14ac:dyDescent="0.3">
      <c r="A7699" t="s">
        <v>7698</v>
      </c>
      <c r="B7699">
        <f>0*(1-0.8198)</f>
        <v>0</v>
      </c>
      <c r="C7699" s="1">
        <v>4</v>
      </c>
    </row>
    <row r="7700" spans="1:3" x14ac:dyDescent="0.3">
      <c r="A7700" t="s">
        <v>7699</v>
      </c>
      <c r="B7700">
        <f>0*(1-0.8198)</f>
        <v>0</v>
      </c>
      <c r="C7700" s="1">
        <v>4</v>
      </c>
    </row>
    <row r="7701" spans="1:3" x14ac:dyDescent="0.3">
      <c r="A7701" t="s">
        <v>7700</v>
      </c>
      <c r="B7701">
        <f>0*(1-0.8198)</f>
        <v>0</v>
      </c>
      <c r="C7701" s="1">
        <v>4</v>
      </c>
    </row>
    <row r="7702" spans="1:3" x14ac:dyDescent="0.3">
      <c r="A7702" t="s">
        <v>7701</v>
      </c>
      <c r="B7702">
        <f>0*(1-0.8198)</f>
        <v>0</v>
      </c>
      <c r="C7702" s="1">
        <v>4</v>
      </c>
    </row>
    <row r="7703" spans="1:3" x14ac:dyDescent="0.3">
      <c r="A7703" t="s">
        <v>7702</v>
      </c>
      <c r="B7703">
        <f>0*(1-0.8198)</f>
        <v>0</v>
      </c>
      <c r="C7703" s="1">
        <v>5</v>
      </c>
    </row>
    <row r="7704" spans="1:3" x14ac:dyDescent="0.3">
      <c r="A7704" t="s">
        <v>7703</v>
      </c>
      <c r="B7704">
        <f>0*(1-0.8198)</f>
        <v>0</v>
      </c>
      <c r="C7704" s="1">
        <v>4</v>
      </c>
    </row>
    <row r="7705" spans="1:3" x14ac:dyDescent="0.3">
      <c r="A7705" t="s">
        <v>7704</v>
      </c>
      <c r="B7705">
        <f>0*(1-0.8198)</f>
        <v>0</v>
      </c>
      <c r="C7705" s="1">
        <v>4</v>
      </c>
    </row>
    <row r="7706" spans="1:3" x14ac:dyDescent="0.3">
      <c r="A7706" t="s">
        <v>7705</v>
      </c>
      <c r="B7706">
        <f>0*(1-0.8198)</f>
        <v>0</v>
      </c>
      <c r="C7706" s="1">
        <v>4</v>
      </c>
    </row>
    <row r="7707" spans="1:3" x14ac:dyDescent="0.3">
      <c r="A7707" t="s">
        <v>7706</v>
      </c>
      <c r="B7707">
        <f>0*(1-0.8198)</f>
        <v>0</v>
      </c>
      <c r="C7707" s="1">
        <v>4</v>
      </c>
    </row>
    <row r="7708" spans="1:3" x14ac:dyDescent="0.3">
      <c r="A7708" t="s">
        <v>7707</v>
      </c>
      <c r="B7708">
        <f>0*(1-0.8198)</f>
        <v>0</v>
      </c>
      <c r="C7708" s="1">
        <v>4</v>
      </c>
    </row>
    <row r="7709" spans="1:3" x14ac:dyDescent="0.3">
      <c r="A7709" t="s">
        <v>7708</v>
      </c>
      <c r="B7709">
        <f>0*(1-0.8198)</f>
        <v>0</v>
      </c>
      <c r="C7709" s="1">
        <v>4</v>
      </c>
    </row>
    <row r="7710" spans="1:3" x14ac:dyDescent="0.3">
      <c r="A7710" t="s">
        <v>7709</v>
      </c>
      <c r="B7710">
        <f>0*(1-0.8198)</f>
        <v>0</v>
      </c>
      <c r="C7710" s="1">
        <v>5</v>
      </c>
    </row>
    <row r="7711" spans="1:3" x14ac:dyDescent="0.3">
      <c r="A7711" t="s">
        <v>7710</v>
      </c>
      <c r="B7711">
        <f>0*(1-0.8198)</f>
        <v>0</v>
      </c>
      <c r="C7711" s="1">
        <v>4</v>
      </c>
    </row>
    <row r="7712" spans="1:3" x14ac:dyDescent="0.3">
      <c r="A7712" t="s">
        <v>7711</v>
      </c>
      <c r="B7712">
        <f>0*(1-0.8198)</f>
        <v>0</v>
      </c>
      <c r="C7712" s="1">
        <v>5</v>
      </c>
    </row>
    <row r="7713" spans="1:3" x14ac:dyDescent="0.3">
      <c r="A7713" t="s">
        <v>7712</v>
      </c>
      <c r="B7713">
        <f>0.670581744285714*(1-0.8198)</f>
        <v>0.12083883032028575</v>
      </c>
      <c r="C7713" s="1">
        <v>7</v>
      </c>
    </row>
    <row r="7714" spans="1:3" x14ac:dyDescent="0.3">
      <c r="A7714" t="s">
        <v>7713</v>
      </c>
      <c r="B7714">
        <f>11.0764365271429*(1-0.8198)</f>
        <v>1.9959738621911438</v>
      </c>
      <c r="C7714" s="1">
        <v>9</v>
      </c>
    </row>
    <row r="7715" spans="1:3" x14ac:dyDescent="0.3">
      <c r="A7715" t="s">
        <v>7714</v>
      </c>
      <c r="B7715">
        <f>23.6001623242857*(1-0.8198)</f>
        <v>4.2527492508362874</v>
      </c>
      <c r="C7715" s="1">
        <v>16</v>
      </c>
    </row>
    <row r="7716" spans="1:3" x14ac:dyDescent="0.3">
      <c r="A7716" t="s">
        <v>7715</v>
      </c>
      <c r="B7716">
        <f>31.1422175985714*(1-0.8198)</f>
        <v>5.6118276112625729</v>
      </c>
      <c r="C7716" s="1">
        <v>16</v>
      </c>
    </row>
    <row r="7717" spans="1:3" x14ac:dyDescent="0.3">
      <c r="A7717" t="s">
        <v>7716</v>
      </c>
      <c r="B7717">
        <f>34.9400144557143*(1-0.8198)</f>
        <v>6.2961906049197163</v>
      </c>
      <c r="C7717" s="1">
        <v>13</v>
      </c>
    </row>
    <row r="7718" spans="1:3" x14ac:dyDescent="0.3">
      <c r="A7718" t="s">
        <v>7717</v>
      </c>
      <c r="B7718">
        <f>34.0536689085714*(1-0.8198)</f>
        <v>6.1364711373245733</v>
      </c>
      <c r="C7718" s="1">
        <v>15</v>
      </c>
    </row>
    <row r="7719" spans="1:3" x14ac:dyDescent="0.3">
      <c r="A7719" t="s">
        <v>7718</v>
      </c>
      <c r="B7719">
        <f>28.5567363885714*(1-0.8198)</f>
        <v>5.1459238972205723</v>
      </c>
      <c r="C7719" s="1">
        <v>15</v>
      </c>
    </row>
    <row r="7720" spans="1:3" x14ac:dyDescent="0.3">
      <c r="A7720" t="s">
        <v>7719</v>
      </c>
      <c r="B7720">
        <f>18.9052031471429*(1-0.8198)</f>
        <v>3.4067176071151439</v>
      </c>
      <c r="C7720" s="1">
        <v>11</v>
      </c>
    </row>
    <row r="7721" spans="1:3" x14ac:dyDescent="0.3">
      <c r="A7721" t="s">
        <v>7720</v>
      </c>
      <c r="B7721">
        <f>8.24427328571429*(1-0.8198)</f>
        <v>1.4856180460857149</v>
      </c>
      <c r="C7721" s="1">
        <v>11</v>
      </c>
    </row>
    <row r="7722" spans="1:3" x14ac:dyDescent="0.3">
      <c r="A7722" t="s">
        <v>7721</v>
      </c>
      <c r="B7722">
        <f>0.349997578571429*(1-0.8198)</f>
        <v>6.3069563658571456E-2</v>
      </c>
      <c r="C7722" s="1">
        <v>9</v>
      </c>
    </row>
    <row r="7723" spans="1:3" x14ac:dyDescent="0.3">
      <c r="A7723" t="s">
        <v>7722</v>
      </c>
      <c r="B7723">
        <f>0*(1-0.8198)</f>
        <v>0</v>
      </c>
      <c r="C7723" s="1">
        <v>9</v>
      </c>
    </row>
    <row r="7724" spans="1:3" x14ac:dyDescent="0.3">
      <c r="A7724" t="s">
        <v>7723</v>
      </c>
      <c r="B7724">
        <f>0*(1-0.8198)</f>
        <v>0</v>
      </c>
      <c r="C7724" s="1">
        <v>9</v>
      </c>
    </row>
    <row r="7725" spans="1:3" x14ac:dyDescent="0.3">
      <c r="A7725" t="s">
        <v>7724</v>
      </c>
      <c r="B7725">
        <f>0*(1-0.8198)</f>
        <v>0</v>
      </c>
      <c r="C7725" s="1">
        <v>9</v>
      </c>
    </row>
    <row r="7726" spans="1:3" x14ac:dyDescent="0.3">
      <c r="A7726" t="s">
        <v>7725</v>
      </c>
      <c r="B7726">
        <f>0*(1-0.8198)</f>
        <v>0</v>
      </c>
      <c r="C7726" s="1">
        <v>9</v>
      </c>
    </row>
    <row r="7727" spans="1:3" x14ac:dyDescent="0.3">
      <c r="A7727" t="s">
        <v>7726</v>
      </c>
      <c r="B7727">
        <f>0*(1-0.8198)</f>
        <v>0</v>
      </c>
      <c r="C7727" s="1">
        <v>7</v>
      </c>
    </row>
    <row r="7728" spans="1:3" x14ac:dyDescent="0.3">
      <c r="A7728" t="s">
        <v>7727</v>
      </c>
      <c r="B7728">
        <f>0*(1-0.8198)</f>
        <v>0</v>
      </c>
      <c r="C7728" s="1">
        <v>7</v>
      </c>
    </row>
    <row r="7729" spans="1:3" x14ac:dyDescent="0.3">
      <c r="A7729" t="s">
        <v>7728</v>
      </c>
      <c r="B7729">
        <f>0*(1-0.8198)</f>
        <v>0</v>
      </c>
      <c r="C7729" s="1">
        <v>7</v>
      </c>
    </row>
    <row r="7730" spans="1:3" x14ac:dyDescent="0.3">
      <c r="A7730" t="s">
        <v>7729</v>
      </c>
      <c r="B7730">
        <f>0*(1-0.8198)</f>
        <v>0</v>
      </c>
      <c r="C7730" s="1">
        <v>5</v>
      </c>
    </row>
    <row r="7731" spans="1:3" x14ac:dyDescent="0.3">
      <c r="A7731" t="s">
        <v>7730</v>
      </c>
      <c r="B7731">
        <f>0*(1-0.8198)</f>
        <v>0</v>
      </c>
      <c r="C7731" s="1">
        <v>4</v>
      </c>
    </row>
    <row r="7732" spans="1:3" x14ac:dyDescent="0.3">
      <c r="A7732" t="s">
        <v>7731</v>
      </c>
      <c r="B7732">
        <f>0*(1-0.8198)</f>
        <v>0</v>
      </c>
      <c r="C7732" s="1">
        <v>4</v>
      </c>
    </row>
    <row r="7733" spans="1:3" x14ac:dyDescent="0.3">
      <c r="A7733" t="s">
        <v>7732</v>
      </c>
      <c r="B7733">
        <f>0*(1-0.8198)</f>
        <v>0</v>
      </c>
      <c r="C7733" s="1">
        <v>4</v>
      </c>
    </row>
    <row r="7734" spans="1:3" x14ac:dyDescent="0.3">
      <c r="A7734" t="s">
        <v>7733</v>
      </c>
      <c r="B7734">
        <f>0*(1-0.8198)</f>
        <v>0</v>
      </c>
      <c r="C7734" s="1">
        <v>5</v>
      </c>
    </row>
    <row r="7735" spans="1:3" x14ac:dyDescent="0.3">
      <c r="A7735" t="s">
        <v>7734</v>
      </c>
      <c r="B7735">
        <f>0*(1-0.8198)</f>
        <v>0</v>
      </c>
      <c r="C7735" s="1">
        <v>4</v>
      </c>
    </row>
    <row r="7736" spans="1:3" x14ac:dyDescent="0.3">
      <c r="A7736" t="s">
        <v>7735</v>
      </c>
      <c r="B7736">
        <f>0*(1-0.8198)</f>
        <v>0</v>
      </c>
      <c r="C7736" s="1">
        <v>4</v>
      </c>
    </row>
    <row r="7737" spans="1:3" x14ac:dyDescent="0.3">
      <c r="A7737" t="s">
        <v>7736</v>
      </c>
      <c r="B7737">
        <f>1.42084101428571*(1-0.8198)</f>
        <v>0.25603555077428575</v>
      </c>
      <c r="C7737" s="1">
        <v>9</v>
      </c>
    </row>
    <row r="7738" spans="1:3" x14ac:dyDescent="0.3">
      <c r="A7738" t="s">
        <v>7737</v>
      </c>
      <c r="B7738">
        <f>12.9350283528571*(1-0.8198)</f>
        <v>2.330892109184858</v>
      </c>
      <c r="C7738" s="1">
        <v>11</v>
      </c>
    </row>
    <row r="7739" spans="1:3" x14ac:dyDescent="0.3">
      <c r="A7739" t="s">
        <v>7738</v>
      </c>
      <c r="B7739">
        <f>23.19298439*(1-0.8198)</f>
        <v>4.1793757870780013</v>
      </c>
      <c r="C7739" s="1">
        <v>16</v>
      </c>
    </row>
    <row r="7740" spans="1:3" x14ac:dyDescent="0.3">
      <c r="A7740" t="s">
        <v>7739</v>
      </c>
      <c r="B7740">
        <f>30.1444744085714*(1-0.8198)</f>
        <v>5.432034288424572</v>
      </c>
      <c r="C7740" s="1">
        <v>17</v>
      </c>
    </row>
    <row r="7741" spans="1:3" x14ac:dyDescent="0.3">
      <c r="A7741" t="s">
        <v>7740</v>
      </c>
      <c r="B7741">
        <f>34.16716016*(1-0.8198)</f>
        <v>6.1569222608320029</v>
      </c>
      <c r="C7741" s="1">
        <v>19</v>
      </c>
    </row>
    <row r="7742" spans="1:3" x14ac:dyDescent="0.3">
      <c r="A7742" t="s">
        <v>7741</v>
      </c>
      <c r="B7742">
        <f>33.7941624342857*(1-0.8198)</f>
        <v>6.0897080706582853</v>
      </c>
      <c r="C7742" s="1">
        <v>18</v>
      </c>
    </row>
    <row r="7743" spans="1:3" x14ac:dyDescent="0.3">
      <c r="A7743" t="s">
        <v>7742</v>
      </c>
      <c r="B7743">
        <f>28.4119923685714*(1-0.8198)</f>
        <v>5.1198410248165729</v>
      </c>
      <c r="C7743" s="1">
        <v>15</v>
      </c>
    </row>
    <row r="7744" spans="1:3" x14ac:dyDescent="0.3">
      <c r="A7744" t="s">
        <v>7743</v>
      </c>
      <c r="B7744">
        <f>19.1577010514286*(1-0.8198)</f>
        <v>3.4522177294674292</v>
      </c>
      <c r="C7744" s="1">
        <v>14</v>
      </c>
    </row>
    <row r="7745" spans="1:3" x14ac:dyDescent="0.3">
      <c r="A7745" t="s">
        <v>7744</v>
      </c>
      <c r="B7745">
        <f>8.67065164142857*(1-0.8198)</f>
        <v>1.5624514257854289</v>
      </c>
      <c r="C7745" s="1">
        <v>12</v>
      </c>
    </row>
    <row r="7746" spans="1:3" x14ac:dyDescent="0.3">
      <c r="A7746" t="s">
        <v>7745</v>
      </c>
      <c r="B7746">
        <f>0.23564*(1-0.8198)</f>
        <v>4.2462328000000008E-2</v>
      </c>
      <c r="C7746" s="1">
        <v>11</v>
      </c>
    </row>
    <row r="7747" spans="1:3" x14ac:dyDescent="0.3">
      <c r="A7747" t="s">
        <v>7746</v>
      </c>
      <c r="B7747">
        <f>0*(1-0.8198)</f>
        <v>0</v>
      </c>
      <c r="C7747" s="1">
        <v>9</v>
      </c>
    </row>
    <row r="7748" spans="1:3" x14ac:dyDescent="0.3">
      <c r="A7748" t="s">
        <v>7747</v>
      </c>
      <c r="B7748">
        <f>0*(1-0.8198)</f>
        <v>0</v>
      </c>
      <c r="C7748" s="1">
        <v>8</v>
      </c>
    </row>
    <row r="7749" spans="1:3" x14ac:dyDescent="0.3">
      <c r="A7749" t="s">
        <v>7748</v>
      </c>
      <c r="B7749">
        <f>0*(1-0.8198)</f>
        <v>0</v>
      </c>
      <c r="C7749" s="1">
        <v>9</v>
      </c>
    </row>
    <row r="7750" spans="1:3" x14ac:dyDescent="0.3">
      <c r="A7750" t="s">
        <v>7749</v>
      </c>
      <c r="B7750">
        <f>0*(1-0.8198)</f>
        <v>0</v>
      </c>
      <c r="C7750" s="1">
        <v>9</v>
      </c>
    </row>
    <row r="7751" spans="1:3" x14ac:dyDescent="0.3">
      <c r="A7751" t="s">
        <v>7750</v>
      </c>
      <c r="B7751">
        <f>0*(1-0.8198)</f>
        <v>0</v>
      </c>
      <c r="C7751" s="1">
        <v>7</v>
      </c>
    </row>
    <row r="7752" spans="1:3" x14ac:dyDescent="0.3">
      <c r="A7752" t="s">
        <v>7751</v>
      </c>
      <c r="B7752">
        <f>0*(1-0.8198)</f>
        <v>0</v>
      </c>
      <c r="C7752" s="1">
        <v>7</v>
      </c>
    </row>
    <row r="7753" spans="1:3" x14ac:dyDescent="0.3">
      <c r="A7753" t="s">
        <v>7752</v>
      </c>
      <c r="B7753">
        <f>0*(1-0.8198)</f>
        <v>0</v>
      </c>
      <c r="C7753" s="1">
        <v>6</v>
      </c>
    </row>
    <row r="7754" spans="1:3" x14ac:dyDescent="0.3">
      <c r="A7754" t="s">
        <v>7753</v>
      </c>
      <c r="B7754">
        <f>0*(1-0.8198)</f>
        <v>0</v>
      </c>
      <c r="C7754" s="1">
        <v>5</v>
      </c>
    </row>
    <row r="7755" spans="1:3" x14ac:dyDescent="0.3">
      <c r="A7755" t="s">
        <v>7754</v>
      </c>
      <c r="B7755">
        <f>0*(1-0.8198)</f>
        <v>0</v>
      </c>
      <c r="C7755" s="1">
        <v>5</v>
      </c>
    </row>
    <row r="7756" spans="1:3" x14ac:dyDescent="0.3">
      <c r="A7756" t="s">
        <v>7755</v>
      </c>
      <c r="B7756">
        <f>0*(1-0.8198)</f>
        <v>0</v>
      </c>
      <c r="C7756" s="1">
        <v>4</v>
      </c>
    </row>
    <row r="7757" spans="1:3" x14ac:dyDescent="0.3">
      <c r="A7757" t="s">
        <v>7756</v>
      </c>
      <c r="B7757">
        <f>0*(1-0.8198)</f>
        <v>0</v>
      </c>
      <c r="C7757" s="1">
        <v>4</v>
      </c>
    </row>
    <row r="7758" spans="1:3" x14ac:dyDescent="0.3">
      <c r="A7758" t="s">
        <v>7757</v>
      </c>
      <c r="B7758">
        <f>0*(1-0.8198)</f>
        <v>0</v>
      </c>
      <c r="C7758" s="1">
        <v>4</v>
      </c>
    </row>
    <row r="7759" spans="1:3" x14ac:dyDescent="0.3">
      <c r="A7759" t="s">
        <v>7758</v>
      </c>
      <c r="B7759">
        <f>0*(1-0.8198)</f>
        <v>0</v>
      </c>
      <c r="C7759" s="1">
        <v>5</v>
      </c>
    </row>
    <row r="7760" spans="1:3" x14ac:dyDescent="0.3">
      <c r="A7760" t="s">
        <v>7759</v>
      </c>
      <c r="B7760">
        <f>0*(1-0.8198)</f>
        <v>0</v>
      </c>
      <c r="C7760" s="1">
        <v>4</v>
      </c>
    </row>
    <row r="7761" spans="1:3" x14ac:dyDescent="0.3">
      <c r="A7761" t="s">
        <v>7760</v>
      </c>
      <c r="B7761">
        <f>1.18557898428571*(1-0.8198)</f>
        <v>0.21364133296828575</v>
      </c>
      <c r="C7761" s="1">
        <v>10</v>
      </c>
    </row>
    <row r="7762" spans="1:3" x14ac:dyDescent="0.3">
      <c r="A7762" t="s">
        <v>7761</v>
      </c>
      <c r="B7762">
        <f>11.4670711328571*(1-0.8198)</f>
        <v>2.0663662181408577</v>
      </c>
      <c r="C7762" s="1">
        <v>11</v>
      </c>
    </row>
    <row r="7763" spans="1:3" x14ac:dyDescent="0.3">
      <c r="A7763" t="s">
        <v>7762</v>
      </c>
      <c r="B7763">
        <f>22.7888068728571*(1-0.8198)</f>
        <v>4.1065429984888571</v>
      </c>
      <c r="C7763" s="1">
        <v>16</v>
      </c>
    </row>
    <row r="7764" spans="1:3" x14ac:dyDescent="0.3">
      <c r="A7764" t="s">
        <v>7763</v>
      </c>
      <c r="B7764">
        <f>30.0057459657143*(1-0.8198)</f>
        <v>5.4070354230217168</v>
      </c>
      <c r="C7764" s="1">
        <v>19</v>
      </c>
    </row>
    <row r="7765" spans="1:3" x14ac:dyDescent="0.3">
      <c r="A7765" t="s">
        <v>7764</v>
      </c>
      <c r="B7765">
        <f>33.8893034971429*(1-0.8198)</f>
        <v>6.1068524901851449</v>
      </c>
      <c r="C7765" s="1">
        <v>22</v>
      </c>
    </row>
    <row r="7766" spans="1:3" x14ac:dyDescent="0.3">
      <c r="A7766" t="s">
        <v>7765</v>
      </c>
      <c r="B7766">
        <f>33.5003651185714*(1-0.8198)</f>
        <v>6.0367657943665742</v>
      </c>
      <c r="C7766" s="1">
        <v>16</v>
      </c>
    </row>
    <row r="7767" spans="1:3" x14ac:dyDescent="0.3">
      <c r="A7767" t="s">
        <v>7766</v>
      </c>
      <c r="B7767">
        <f>28.0993060742857*(1-0.8198)</f>
        <v>5.0634949545862868</v>
      </c>
      <c r="C7767" s="1">
        <v>16</v>
      </c>
    </row>
    <row r="7768" spans="1:3" x14ac:dyDescent="0.3">
      <c r="A7768" t="s">
        <v>7767</v>
      </c>
      <c r="B7768">
        <f>19.4638340842857*(1-0.8198)</f>
        <v>3.5073829019882865</v>
      </c>
      <c r="C7768" s="1">
        <v>14</v>
      </c>
    </row>
    <row r="7769" spans="1:3" x14ac:dyDescent="0.3">
      <c r="A7769" t="s">
        <v>7768</v>
      </c>
      <c r="B7769">
        <f>8.75518245428572*(1-0.8198)</f>
        <v>1.5776838782622864</v>
      </c>
      <c r="C7769" s="1">
        <v>12</v>
      </c>
    </row>
    <row r="7770" spans="1:3" x14ac:dyDescent="0.3">
      <c r="A7770" t="s">
        <v>7769</v>
      </c>
      <c r="B7770">
        <f>0.1935*(1-0.8198)</f>
        <v>3.4868700000000009E-2</v>
      </c>
      <c r="C7770" s="1">
        <v>10</v>
      </c>
    </row>
    <row r="7771" spans="1:3" x14ac:dyDescent="0.3">
      <c r="A7771" t="s">
        <v>7770</v>
      </c>
      <c r="B7771">
        <f>0*(1-0.8198)</f>
        <v>0</v>
      </c>
      <c r="C7771" s="1">
        <v>8</v>
      </c>
    </row>
    <row r="7772" spans="1:3" x14ac:dyDescent="0.3">
      <c r="A7772" t="s">
        <v>7771</v>
      </c>
      <c r="B7772">
        <f>0*(1-0.8198)</f>
        <v>0</v>
      </c>
      <c r="C7772" s="1">
        <v>8</v>
      </c>
    </row>
    <row r="7773" spans="1:3" x14ac:dyDescent="0.3">
      <c r="A7773" t="s">
        <v>7772</v>
      </c>
      <c r="B7773">
        <f>0*(1-0.8198)</f>
        <v>0</v>
      </c>
      <c r="C7773" s="1">
        <v>7</v>
      </c>
    </row>
    <row r="7774" spans="1:3" x14ac:dyDescent="0.3">
      <c r="A7774" t="s">
        <v>7773</v>
      </c>
      <c r="B7774">
        <f>0*(1-0.8198)</f>
        <v>0</v>
      </c>
      <c r="C7774" s="1">
        <v>8</v>
      </c>
    </row>
    <row r="7775" spans="1:3" x14ac:dyDescent="0.3">
      <c r="A7775" t="s">
        <v>7774</v>
      </c>
      <c r="B7775">
        <f>0*(1-0.8198)</f>
        <v>0</v>
      </c>
      <c r="C7775" s="1">
        <v>7</v>
      </c>
    </row>
    <row r="7776" spans="1:3" x14ac:dyDescent="0.3">
      <c r="A7776" t="s">
        <v>7775</v>
      </c>
      <c r="B7776">
        <f>0*(1-0.8198)</f>
        <v>0</v>
      </c>
      <c r="C7776" s="1">
        <v>6</v>
      </c>
    </row>
    <row r="7777" spans="1:3" x14ac:dyDescent="0.3">
      <c r="A7777" t="s">
        <v>7776</v>
      </c>
      <c r="B7777">
        <f>0*(1-0.8198)</f>
        <v>0</v>
      </c>
      <c r="C7777" s="1">
        <v>7</v>
      </c>
    </row>
    <row r="7778" spans="1:3" x14ac:dyDescent="0.3">
      <c r="A7778" t="s">
        <v>7777</v>
      </c>
      <c r="B7778">
        <f>0*(1-0.8198)</f>
        <v>0</v>
      </c>
      <c r="C7778" s="1">
        <v>4</v>
      </c>
    </row>
    <row r="7779" spans="1:3" x14ac:dyDescent="0.3">
      <c r="A7779" t="s">
        <v>7778</v>
      </c>
      <c r="B7779">
        <f>0*(1-0.8198)</f>
        <v>0</v>
      </c>
      <c r="C7779" s="1">
        <v>4</v>
      </c>
    </row>
    <row r="7780" spans="1:3" x14ac:dyDescent="0.3">
      <c r="A7780" t="s">
        <v>7779</v>
      </c>
      <c r="B7780">
        <f>0*(1-0.8198)</f>
        <v>0</v>
      </c>
      <c r="C7780" s="1">
        <v>5</v>
      </c>
    </row>
    <row r="7781" spans="1:3" x14ac:dyDescent="0.3">
      <c r="A7781" t="s">
        <v>7780</v>
      </c>
      <c r="B7781">
        <f>0*(1-0.8198)</f>
        <v>0</v>
      </c>
      <c r="C7781" s="1">
        <v>5</v>
      </c>
    </row>
    <row r="7782" spans="1:3" x14ac:dyDescent="0.3">
      <c r="A7782" t="s">
        <v>7781</v>
      </c>
      <c r="B7782">
        <f>0*(1-0.8198)</f>
        <v>0</v>
      </c>
      <c r="C7782" s="1">
        <v>4</v>
      </c>
    </row>
    <row r="7783" spans="1:3" x14ac:dyDescent="0.3">
      <c r="A7783" t="s">
        <v>7782</v>
      </c>
      <c r="B7783">
        <f>0*(1-0.8198)</f>
        <v>0</v>
      </c>
      <c r="C7783" s="1">
        <v>4</v>
      </c>
    </row>
    <row r="7784" spans="1:3" x14ac:dyDescent="0.3">
      <c r="A7784" t="s">
        <v>7783</v>
      </c>
      <c r="B7784">
        <f>0*(1-0.8198)</f>
        <v>0</v>
      </c>
      <c r="C7784" s="1">
        <v>5</v>
      </c>
    </row>
    <row r="7785" spans="1:3" x14ac:dyDescent="0.3">
      <c r="A7785" t="s">
        <v>7784</v>
      </c>
      <c r="B7785">
        <f>0.758586404285714*(1-0.8198)</f>
        <v>0.13669727005228574</v>
      </c>
      <c r="C7785" s="1">
        <v>10</v>
      </c>
    </row>
    <row r="7786" spans="1:3" x14ac:dyDescent="0.3">
      <c r="A7786" t="s">
        <v>7785</v>
      </c>
      <c r="B7786">
        <f>3.44602946*(1-0.8198)</f>
        <v>0.62097450869200022</v>
      </c>
      <c r="C7786" s="1">
        <v>10</v>
      </c>
    </row>
    <row r="7787" spans="1:3" x14ac:dyDescent="0.3">
      <c r="A7787" t="s">
        <v>7786</v>
      </c>
      <c r="B7787">
        <f>20.6770087485714*(1-0.8198)</f>
        <v>3.7259969764925724</v>
      </c>
      <c r="C7787" s="1">
        <v>16</v>
      </c>
    </row>
    <row r="7788" spans="1:3" x14ac:dyDescent="0.3">
      <c r="A7788" t="s">
        <v>7787</v>
      </c>
      <c r="B7788">
        <f>30.8525971185714*(1-0.8198)</f>
        <v>5.5596380007665722</v>
      </c>
      <c r="C7788" s="1">
        <v>16</v>
      </c>
    </row>
    <row r="7789" spans="1:3" x14ac:dyDescent="0.3">
      <c r="A7789" t="s">
        <v>7788</v>
      </c>
      <c r="B7789">
        <f>35.06495329*(1-0.8198)</f>
        <v>6.3187045828580022</v>
      </c>
      <c r="C7789" s="1">
        <v>13</v>
      </c>
    </row>
    <row r="7790" spans="1:3" x14ac:dyDescent="0.3">
      <c r="A7790" t="s">
        <v>7789</v>
      </c>
      <c r="B7790">
        <f>34.3545351785714*(1-0.8198)</f>
        <v>6.1906872391785726</v>
      </c>
      <c r="C7790" s="1">
        <v>14</v>
      </c>
    </row>
    <row r="7791" spans="1:3" x14ac:dyDescent="0.3">
      <c r="A7791" t="s">
        <v>7790</v>
      </c>
      <c r="B7791">
        <f>28.5217810128571*(1-0.8198)</f>
        <v>5.1396249385168575</v>
      </c>
      <c r="C7791" s="1">
        <v>16</v>
      </c>
    </row>
    <row r="7792" spans="1:3" x14ac:dyDescent="0.3">
      <c r="A7792" t="s">
        <v>7791</v>
      </c>
      <c r="B7792">
        <f>19.8117981314286*(1-0.8198)</f>
        <v>3.5700860232834288</v>
      </c>
      <c r="C7792" s="1">
        <v>14</v>
      </c>
    </row>
    <row r="7793" spans="1:3" x14ac:dyDescent="0.3">
      <c r="A7793" t="s">
        <v>7792</v>
      </c>
      <c r="B7793">
        <f>8.84637974142857*(1-0.8198)</f>
        <v>1.5941176294054291</v>
      </c>
      <c r="C7793" s="1">
        <v>12</v>
      </c>
    </row>
    <row r="7794" spans="1:3" x14ac:dyDescent="0.3">
      <c r="A7794" t="s">
        <v>7793</v>
      </c>
      <c r="B7794">
        <f>0.15136*(1-0.8198)</f>
        <v>2.7275072000000004E-2</v>
      </c>
      <c r="C7794" s="1">
        <v>11</v>
      </c>
    </row>
    <row r="7795" spans="1:3" x14ac:dyDescent="0.3">
      <c r="A7795" t="s">
        <v>7794</v>
      </c>
      <c r="B7795">
        <f>0*(1-0.8198)</f>
        <v>0</v>
      </c>
      <c r="C7795" s="1">
        <v>9</v>
      </c>
    </row>
    <row r="7796" spans="1:3" x14ac:dyDescent="0.3">
      <c r="A7796" t="s">
        <v>7795</v>
      </c>
      <c r="B7796">
        <f>0*(1-0.8198)</f>
        <v>0</v>
      </c>
      <c r="C7796" s="1">
        <v>10</v>
      </c>
    </row>
    <row r="7797" spans="1:3" x14ac:dyDescent="0.3">
      <c r="A7797" t="s">
        <v>7796</v>
      </c>
      <c r="B7797">
        <f>0*(1-0.8198)</f>
        <v>0</v>
      </c>
      <c r="C7797" s="1">
        <v>8</v>
      </c>
    </row>
    <row r="7798" spans="1:3" x14ac:dyDescent="0.3">
      <c r="A7798" t="s">
        <v>7797</v>
      </c>
      <c r="B7798">
        <f>0*(1-0.8198)</f>
        <v>0</v>
      </c>
      <c r="C7798" s="1">
        <v>8</v>
      </c>
    </row>
    <row r="7799" spans="1:3" x14ac:dyDescent="0.3">
      <c r="A7799" t="s">
        <v>7798</v>
      </c>
      <c r="B7799">
        <f>0*(1-0.8198)</f>
        <v>0</v>
      </c>
      <c r="C7799" s="1">
        <v>7</v>
      </c>
    </row>
    <row r="7800" spans="1:3" x14ac:dyDescent="0.3">
      <c r="A7800" t="s">
        <v>7799</v>
      </c>
      <c r="B7800">
        <f>0*(1-0.8198)</f>
        <v>0</v>
      </c>
      <c r="C7800" s="1">
        <v>7</v>
      </c>
    </row>
    <row r="7801" spans="1:3" x14ac:dyDescent="0.3">
      <c r="A7801" t="s">
        <v>7800</v>
      </c>
      <c r="B7801">
        <f>0*(1-0.8198)</f>
        <v>0</v>
      </c>
      <c r="C7801" s="1">
        <v>6</v>
      </c>
    </row>
    <row r="7802" spans="1:3" x14ac:dyDescent="0.3">
      <c r="A7802" t="s">
        <v>7801</v>
      </c>
      <c r="B7802">
        <f>0*(1-0.8198)</f>
        <v>0</v>
      </c>
      <c r="C7802" s="1">
        <v>4</v>
      </c>
    </row>
    <row r="7803" spans="1:3" x14ac:dyDescent="0.3">
      <c r="A7803" t="s">
        <v>7802</v>
      </c>
      <c r="B7803">
        <f>0*(1-0.8198)</f>
        <v>0</v>
      </c>
      <c r="C7803" s="1">
        <v>4</v>
      </c>
    </row>
    <row r="7804" spans="1:3" x14ac:dyDescent="0.3">
      <c r="A7804" t="s">
        <v>7803</v>
      </c>
      <c r="B7804">
        <f>0*(1-0.8198)</f>
        <v>0</v>
      </c>
      <c r="C7804" s="1">
        <v>5</v>
      </c>
    </row>
    <row r="7805" spans="1:3" x14ac:dyDescent="0.3">
      <c r="A7805" t="s">
        <v>7804</v>
      </c>
      <c r="B7805">
        <f>0*(1-0.8198)</f>
        <v>0</v>
      </c>
      <c r="C7805" s="1">
        <v>4</v>
      </c>
    </row>
    <row r="7806" spans="1:3" x14ac:dyDescent="0.3">
      <c r="A7806" t="s">
        <v>7805</v>
      </c>
      <c r="B7806">
        <f>0*(1-0.8198)</f>
        <v>0</v>
      </c>
      <c r="C7806" s="1">
        <v>5</v>
      </c>
    </row>
    <row r="7807" spans="1:3" x14ac:dyDescent="0.3">
      <c r="A7807" t="s">
        <v>7806</v>
      </c>
      <c r="B7807">
        <f>0*(1-0.8198)</f>
        <v>0</v>
      </c>
      <c r="C7807" s="1">
        <v>4</v>
      </c>
    </row>
    <row r="7808" spans="1:3" x14ac:dyDescent="0.3">
      <c r="A7808" t="s">
        <v>7807</v>
      </c>
      <c r="B7808">
        <f>0*(1-0.8198)</f>
        <v>0</v>
      </c>
      <c r="C7808" s="1">
        <v>4</v>
      </c>
    </row>
    <row r="7809" spans="1:3" x14ac:dyDescent="0.3">
      <c r="A7809" t="s">
        <v>7808</v>
      </c>
      <c r="B7809">
        <f>0.959564165714286*(1-0.8198)</f>
        <v>0.17291346266171431</v>
      </c>
      <c r="C7809" s="1">
        <v>9</v>
      </c>
    </row>
    <row r="7810" spans="1:3" x14ac:dyDescent="0.3">
      <c r="A7810" t="s">
        <v>7809</v>
      </c>
      <c r="B7810">
        <f>12.6210722685714*(1-0.8198)</f>
        <v>2.2743172227965718</v>
      </c>
      <c r="C7810" s="1">
        <v>11</v>
      </c>
    </row>
    <row r="7811" spans="1:3" x14ac:dyDescent="0.3">
      <c r="A7811" t="s">
        <v>7810</v>
      </c>
      <c r="B7811">
        <f>23.5386859*(1-0.8198)</f>
        <v>4.2416711991799998</v>
      </c>
      <c r="C7811" s="1">
        <v>15</v>
      </c>
    </row>
    <row r="7812" spans="1:3" x14ac:dyDescent="0.3">
      <c r="A7812" t="s">
        <v>7811</v>
      </c>
      <c r="B7812">
        <f>31.2260239842857*(1-0.8198)</f>
        <v>5.6269295219682878</v>
      </c>
      <c r="C7812" s="1">
        <v>16</v>
      </c>
    </row>
    <row r="7813" spans="1:3" x14ac:dyDescent="0.3">
      <c r="A7813" t="s">
        <v>7812</v>
      </c>
      <c r="B7813">
        <f>34.7167679771429*(1-0.8198)</f>
        <v>6.2559615894811431</v>
      </c>
      <c r="C7813" s="1">
        <v>17</v>
      </c>
    </row>
    <row r="7814" spans="1:3" x14ac:dyDescent="0.3">
      <c r="A7814" t="s">
        <v>7813</v>
      </c>
      <c r="B7814">
        <f>31.2430911757143*(1-0.8198)</f>
        <v>5.6300050298637156</v>
      </c>
      <c r="C7814" s="1">
        <v>15</v>
      </c>
    </row>
    <row r="7815" spans="1:3" x14ac:dyDescent="0.3">
      <c r="A7815" t="s">
        <v>7814</v>
      </c>
      <c r="B7815">
        <f>28.7453719828571*(1-0.8198)</f>
        <v>5.1799160313108583</v>
      </c>
      <c r="C7815" s="1">
        <v>15</v>
      </c>
    </row>
    <row r="7816" spans="1:3" x14ac:dyDescent="0.3">
      <c r="A7816" t="s">
        <v>7815</v>
      </c>
      <c r="B7816">
        <f>20.0285263014286*(1-0.8198)</f>
        <v>3.6091404395174296</v>
      </c>
      <c r="C7816" s="1">
        <v>12</v>
      </c>
    </row>
    <row r="7817" spans="1:3" x14ac:dyDescent="0.3">
      <c r="A7817" t="s">
        <v>7816</v>
      </c>
      <c r="B7817">
        <f>8.78793371142857*(1-0.8198)</f>
        <v>1.5835856547994289</v>
      </c>
      <c r="C7817" s="1">
        <v>11</v>
      </c>
    </row>
    <row r="7818" spans="1:3" x14ac:dyDescent="0.3">
      <c r="A7818" t="s">
        <v>7817</v>
      </c>
      <c r="B7818">
        <f>0.15136*(1-0.8198)</f>
        <v>2.7275072000000004E-2</v>
      </c>
      <c r="C7818" s="1">
        <v>11</v>
      </c>
    </row>
    <row r="7819" spans="1:3" x14ac:dyDescent="0.3">
      <c r="A7819" t="s">
        <v>7818</v>
      </c>
      <c r="B7819">
        <f>0*(1-0.8198)</f>
        <v>0</v>
      </c>
      <c r="C7819" s="1">
        <v>8</v>
      </c>
    </row>
    <row r="7820" spans="1:3" x14ac:dyDescent="0.3">
      <c r="A7820" t="s">
        <v>7819</v>
      </c>
      <c r="B7820">
        <f>0*(1-0.8198)</f>
        <v>0</v>
      </c>
      <c r="C7820" s="1">
        <v>8</v>
      </c>
    </row>
    <row r="7821" spans="1:3" x14ac:dyDescent="0.3">
      <c r="A7821" t="s">
        <v>7820</v>
      </c>
      <c r="B7821">
        <f>0*(1-0.8198)</f>
        <v>0</v>
      </c>
      <c r="C7821" s="1">
        <v>9</v>
      </c>
    </row>
    <row r="7822" spans="1:3" x14ac:dyDescent="0.3">
      <c r="A7822" t="s">
        <v>7821</v>
      </c>
      <c r="B7822">
        <f>0*(1-0.8198)</f>
        <v>0</v>
      </c>
      <c r="C7822" s="1">
        <v>7</v>
      </c>
    </row>
    <row r="7823" spans="1:3" x14ac:dyDescent="0.3">
      <c r="A7823" t="s">
        <v>7822</v>
      </c>
      <c r="B7823">
        <f>0*(1-0.8198)</f>
        <v>0</v>
      </c>
      <c r="C7823" s="1">
        <v>7</v>
      </c>
    </row>
    <row r="7824" spans="1:3" x14ac:dyDescent="0.3">
      <c r="A7824" t="s">
        <v>7823</v>
      </c>
      <c r="B7824">
        <f>0*(1-0.8198)</f>
        <v>0</v>
      </c>
      <c r="C7824" s="1">
        <v>6</v>
      </c>
    </row>
    <row r="7825" spans="1:3" x14ac:dyDescent="0.3">
      <c r="A7825" t="s">
        <v>7824</v>
      </c>
      <c r="B7825">
        <f>0*(1-0.8198)</f>
        <v>0</v>
      </c>
      <c r="C7825" s="1">
        <v>6</v>
      </c>
    </row>
    <row r="7826" spans="1:3" x14ac:dyDescent="0.3">
      <c r="A7826" t="s">
        <v>7825</v>
      </c>
      <c r="B7826">
        <f>0*(1-0.8198)</f>
        <v>0</v>
      </c>
      <c r="C7826" s="1">
        <v>5</v>
      </c>
    </row>
    <row r="7827" spans="1:3" x14ac:dyDescent="0.3">
      <c r="A7827" t="s">
        <v>7826</v>
      </c>
      <c r="B7827">
        <f>0*(1-0.8198)</f>
        <v>0</v>
      </c>
      <c r="C7827" s="1">
        <v>4</v>
      </c>
    </row>
    <row r="7828" spans="1:3" x14ac:dyDescent="0.3">
      <c r="A7828" t="s">
        <v>7827</v>
      </c>
      <c r="B7828">
        <f>0*(1-0.8198)</f>
        <v>0</v>
      </c>
      <c r="C7828" s="1">
        <v>4</v>
      </c>
    </row>
    <row r="7829" spans="1:3" x14ac:dyDescent="0.3">
      <c r="A7829" t="s">
        <v>7828</v>
      </c>
      <c r="B7829">
        <f>0*(1-0.8198)</f>
        <v>0</v>
      </c>
      <c r="C7829" s="1">
        <v>5</v>
      </c>
    </row>
    <row r="7830" spans="1:3" x14ac:dyDescent="0.3">
      <c r="A7830" t="s">
        <v>7829</v>
      </c>
      <c r="B7830">
        <f>0*(1-0.8198)</f>
        <v>0</v>
      </c>
      <c r="C7830" s="1">
        <v>4</v>
      </c>
    </row>
    <row r="7831" spans="1:3" x14ac:dyDescent="0.3">
      <c r="A7831" t="s">
        <v>7830</v>
      </c>
      <c r="B7831">
        <f>0*(1-0.8198)</f>
        <v>0</v>
      </c>
      <c r="C7831" s="1">
        <v>4</v>
      </c>
    </row>
    <row r="7832" spans="1:3" x14ac:dyDescent="0.3">
      <c r="A7832" t="s">
        <v>7831</v>
      </c>
      <c r="B7832">
        <f>0*(1-0.8198)</f>
        <v>0</v>
      </c>
      <c r="C7832" s="1">
        <v>4</v>
      </c>
    </row>
    <row r="7833" spans="1:3" x14ac:dyDescent="0.3">
      <c r="A7833" t="s">
        <v>7832</v>
      </c>
      <c r="B7833">
        <f>0.81790042*(1-0.8198)</f>
        <v>0.14738565568400003</v>
      </c>
      <c r="C7833" s="1">
        <v>5</v>
      </c>
    </row>
    <row r="7834" spans="1:3" x14ac:dyDescent="0.3">
      <c r="A7834" t="s">
        <v>7833</v>
      </c>
      <c r="B7834">
        <f>12.7339884871429*(1-0.8198)</f>
        <v>2.2946647253831434</v>
      </c>
      <c r="C7834" s="1">
        <v>4</v>
      </c>
    </row>
    <row r="7835" spans="1:3" x14ac:dyDescent="0.3">
      <c r="A7835" t="s">
        <v>7834</v>
      </c>
      <c r="B7835">
        <f>23.6971785557143*(1-0.8198)</f>
        <v>4.2702315757397162</v>
      </c>
      <c r="C7835" s="1">
        <v>4</v>
      </c>
    </row>
    <row r="7836" spans="1:3" x14ac:dyDescent="0.3">
      <c r="A7836" t="s">
        <v>7835</v>
      </c>
      <c r="B7836">
        <f>31.5122618385714*(1-0.8198)</f>
        <v>5.6785095833105723</v>
      </c>
      <c r="C7836" s="1">
        <v>4</v>
      </c>
    </row>
    <row r="7837" spans="1:3" x14ac:dyDescent="0.3">
      <c r="A7837" t="s">
        <v>7836</v>
      </c>
      <c r="B7837">
        <f>35.1260448642857*(1-0.8198)</f>
        <v>6.3297132845442867</v>
      </c>
      <c r="C7837" s="1">
        <v>4</v>
      </c>
    </row>
    <row r="7838" spans="1:3" x14ac:dyDescent="0.3">
      <c r="A7838" t="s">
        <v>7837</v>
      </c>
      <c r="B7838">
        <f>34.5619080842857*(1-0.8198)</f>
        <v>6.228055836788287</v>
      </c>
      <c r="C7838" s="1">
        <v>5</v>
      </c>
    </row>
    <row r="7839" spans="1:3" x14ac:dyDescent="0.3">
      <c r="A7839" t="s">
        <v>7838</v>
      </c>
      <c r="B7839">
        <f>29.0097940942857*(1-0.8198)</f>
        <v>5.2275648957902865</v>
      </c>
      <c r="C7839" s="1">
        <v>4</v>
      </c>
    </row>
    <row r="7840" spans="1:3" x14ac:dyDescent="0.3">
      <c r="A7840" t="s">
        <v>7839</v>
      </c>
      <c r="B7840">
        <f>19.9946467242857*(1-0.8198)</f>
        <v>3.6030353397162869</v>
      </c>
      <c r="C7840" s="1">
        <v>4</v>
      </c>
    </row>
    <row r="7841" spans="1:3" x14ac:dyDescent="0.3">
      <c r="A7841" t="s">
        <v>7840</v>
      </c>
      <c r="B7841">
        <f>8.92261112428571*(1-0.8198)</f>
        <v>1.6078545245962859</v>
      </c>
      <c r="C7841" s="1">
        <v>4</v>
      </c>
    </row>
    <row r="7842" spans="1:3" x14ac:dyDescent="0.3">
      <c r="A7842" t="s">
        <v>7841</v>
      </c>
      <c r="B7842">
        <f>0.07396*(1-0.8198)</f>
        <v>1.3327592000000004E-2</v>
      </c>
      <c r="C7842" s="1">
        <v>4</v>
      </c>
    </row>
    <row r="7843" spans="1:3" x14ac:dyDescent="0.3">
      <c r="A7843" t="s">
        <v>7842</v>
      </c>
      <c r="B7843">
        <f>0*(1-0.8198)</f>
        <v>0</v>
      </c>
      <c r="C7843" s="1">
        <v>4</v>
      </c>
    </row>
    <row r="7844" spans="1:3" x14ac:dyDescent="0.3">
      <c r="A7844" t="s">
        <v>7843</v>
      </c>
      <c r="B7844">
        <f>0*(1-0.8198)</f>
        <v>0</v>
      </c>
      <c r="C7844" s="1">
        <v>4</v>
      </c>
    </row>
    <row r="7845" spans="1:3" x14ac:dyDescent="0.3">
      <c r="A7845" t="s">
        <v>7844</v>
      </c>
      <c r="B7845">
        <f>0*(1-0.8198)</f>
        <v>0</v>
      </c>
      <c r="C7845" s="1">
        <v>5</v>
      </c>
    </row>
    <row r="7846" spans="1:3" x14ac:dyDescent="0.3">
      <c r="A7846" t="s">
        <v>7845</v>
      </c>
      <c r="B7846">
        <f>0*(1-0.8198)</f>
        <v>0</v>
      </c>
      <c r="C7846" s="1">
        <v>4</v>
      </c>
    </row>
    <row r="7847" spans="1:3" x14ac:dyDescent="0.3">
      <c r="A7847" t="s">
        <v>7846</v>
      </c>
      <c r="B7847">
        <f>0*(1-0.8198)</f>
        <v>0</v>
      </c>
      <c r="C7847" s="1">
        <v>4</v>
      </c>
    </row>
    <row r="7848" spans="1:3" x14ac:dyDescent="0.3">
      <c r="A7848" t="s">
        <v>7847</v>
      </c>
      <c r="B7848">
        <f>0*(1-0.8198)</f>
        <v>0</v>
      </c>
      <c r="C7848" s="1">
        <v>4</v>
      </c>
    </row>
    <row r="7849" spans="1:3" x14ac:dyDescent="0.3">
      <c r="A7849" t="s">
        <v>7848</v>
      </c>
      <c r="B7849">
        <f>0*(1-0.8198)</f>
        <v>0</v>
      </c>
      <c r="C7849" s="1">
        <v>4</v>
      </c>
    </row>
    <row r="7850" spans="1:3" x14ac:dyDescent="0.3">
      <c r="A7850" t="s">
        <v>7849</v>
      </c>
      <c r="B7850">
        <f>0*(1-0.8198)</f>
        <v>0</v>
      </c>
      <c r="C7850" s="1">
        <v>5</v>
      </c>
    </row>
    <row r="7851" spans="1:3" x14ac:dyDescent="0.3">
      <c r="A7851" t="s">
        <v>7850</v>
      </c>
      <c r="B7851">
        <f>0*(1-0.8198)</f>
        <v>0</v>
      </c>
      <c r="C7851" s="1">
        <v>4</v>
      </c>
    </row>
    <row r="7852" spans="1:3" x14ac:dyDescent="0.3">
      <c r="A7852" t="s">
        <v>7851</v>
      </c>
      <c r="B7852">
        <f>0*(1-0.8198)</f>
        <v>0</v>
      </c>
      <c r="C7852" s="1">
        <v>4</v>
      </c>
    </row>
    <row r="7853" spans="1:3" x14ac:dyDescent="0.3">
      <c r="A7853" t="s">
        <v>7852</v>
      </c>
      <c r="B7853">
        <f>0*(1-0.8198)</f>
        <v>0</v>
      </c>
      <c r="C7853" s="1">
        <v>4</v>
      </c>
    </row>
    <row r="7854" spans="1:3" x14ac:dyDescent="0.3">
      <c r="A7854" t="s">
        <v>7853</v>
      </c>
      <c r="B7854">
        <f>0*(1-0.8198)</f>
        <v>0</v>
      </c>
      <c r="C7854" s="1">
        <v>4</v>
      </c>
    </row>
    <row r="7855" spans="1:3" x14ac:dyDescent="0.3">
      <c r="A7855" t="s">
        <v>7854</v>
      </c>
      <c r="B7855">
        <f>0*(1-0.8198)</f>
        <v>0</v>
      </c>
      <c r="C7855" s="1">
        <v>5</v>
      </c>
    </row>
    <row r="7856" spans="1:3" x14ac:dyDescent="0.3">
      <c r="A7856" t="s">
        <v>7855</v>
      </c>
      <c r="B7856">
        <f>0*(1-0.8198)</f>
        <v>0</v>
      </c>
      <c r="C7856" s="1">
        <v>4</v>
      </c>
    </row>
    <row r="7857" spans="1:3" x14ac:dyDescent="0.3">
      <c r="A7857" t="s">
        <v>7856</v>
      </c>
      <c r="B7857">
        <f>0*(1-0.8198)</f>
        <v>0</v>
      </c>
      <c r="C7857" s="1">
        <v>4</v>
      </c>
    </row>
    <row r="7858" spans="1:3" x14ac:dyDescent="0.3">
      <c r="A7858" t="s">
        <v>7857</v>
      </c>
      <c r="B7858">
        <f>6.01890718571429*(1-0.8198)</f>
        <v>1.0846070748657144</v>
      </c>
      <c r="C7858" s="1">
        <v>4</v>
      </c>
    </row>
    <row r="7859" spans="1:3" x14ac:dyDescent="0.3">
      <c r="A7859" t="s">
        <v>7858</v>
      </c>
      <c r="B7859">
        <f>11.3483647185714*(1-0.8198)</f>
        <v>2.0449753222865716</v>
      </c>
      <c r="C7859" s="1">
        <v>4</v>
      </c>
    </row>
    <row r="7860" spans="1:3" x14ac:dyDescent="0.3">
      <c r="A7860" t="s">
        <v>7859</v>
      </c>
      <c r="B7860">
        <f>16.5427585757143*(1-0.8198)</f>
        <v>2.9810050953437153</v>
      </c>
      <c r="C7860" s="1">
        <v>4</v>
      </c>
    </row>
    <row r="7861" spans="1:3" x14ac:dyDescent="0.3">
      <c r="A7861" t="s">
        <v>7860</v>
      </c>
      <c r="B7861">
        <f>34.1995594314286*(1-0.8198)</f>
        <v>6.1627606095434304</v>
      </c>
      <c r="C7861" s="1">
        <v>4</v>
      </c>
    </row>
    <row r="7862" spans="1:3" x14ac:dyDescent="0.3">
      <c r="A7862" t="s">
        <v>7861</v>
      </c>
      <c r="B7862">
        <f>33.0758411685714*(1-0.8198)</f>
        <v>5.9602665785765723</v>
      </c>
      <c r="C7862" s="1">
        <v>5</v>
      </c>
    </row>
    <row r="7863" spans="1:3" x14ac:dyDescent="0.3">
      <c r="A7863" t="s">
        <v>7862</v>
      </c>
      <c r="B7863">
        <f>25.2180367714286*(1-0.8198)</f>
        <v>4.5442902262114311</v>
      </c>
      <c r="C7863" s="1">
        <v>4</v>
      </c>
    </row>
    <row r="7864" spans="1:3" x14ac:dyDescent="0.3">
      <c r="A7864" t="s">
        <v>7863</v>
      </c>
      <c r="B7864">
        <f>11.3529831642857*(1-0.8198)</f>
        <v>2.0458075662042865</v>
      </c>
      <c r="C7864" s="1">
        <v>5</v>
      </c>
    </row>
    <row r="7865" spans="1:3" x14ac:dyDescent="0.3">
      <c r="A7865" t="s">
        <v>7864</v>
      </c>
      <c r="B7865">
        <f>1.13692*(1-0.8198)</f>
        <v>0.20487298400000006</v>
      </c>
      <c r="C7865" s="1">
        <v>4</v>
      </c>
    </row>
    <row r="7866" spans="1:3" x14ac:dyDescent="0.3">
      <c r="A7866" t="s">
        <v>7865</v>
      </c>
      <c r="B7866">
        <f>0*(1-0.8198)</f>
        <v>0</v>
      </c>
      <c r="C7866" s="1">
        <v>4</v>
      </c>
    </row>
    <row r="7867" spans="1:3" x14ac:dyDescent="0.3">
      <c r="A7867" t="s">
        <v>7866</v>
      </c>
      <c r="B7867">
        <f>0*(1-0.8198)</f>
        <v>0</v>
      </c>
      <c r="C7867" s="1">
        <v>4</v>
      </c>
    </row>
    <row r="7868" spans="1:3" x14ac:dyDescent="0.3">
      <c r="A7868" t="s">
        <v>7867</v>
      </c>
      <c r="B7868">
        <f>0*(1-0.8198)</f>
        <v>0</v>
      </c>
      <c r="C7868" s="1">
        <v>4</v>
      </c>
    </row>
    <row r="7869" spans="1:3" x14ac:dyDescent="0.3">
      <c r="A7869" t="s">
        <v>7868</v>
      </c>
      <c r="B7869">
        <f>0*(1-0.8198)</f>
        <v>0</v>
      </c>
      <c r="C7869" s="1">
        <v>4</v>
      </c>
    </row>
    <row r="7870" spans="1:3" x14ac:dyDescent="0.3">
      <c r="A7870" t="s">
        <v>7869</v>
      </c>
      <c r="B7870">
        <f>0*(1-0.8198)</f>
        <v>0</v>
      </c>
      <c r="C7870" s="1">
        <v>4</v>
      </c>
    </row>
    <row r="7871" spans="1:3" x14ac:dyDescent="0.3">
      <c r="A7871" t="s">
        <v>7870</v>
      </c>
      <c r="B7871">
        <f>0*(1-0.8198)</f>
        <v>0</v>
      </c>
      <c r="C7871" s="1">
        <v>4</v>
      </c>
    </row>
    <row r="7872" spans="1:3" x14ac:dyDescent="0.3">
      <c r="A7872" t="s">
        <v>7871</v>
      </c>
      <c r="B7872">
        <f>0*(1-0.8198)</f>
        <v>0</v>
      </c>
      <c r="C7872" s="1">
        <v>5</v>
      </c>
    </row>
    <row r="7873" spans="1:3" x14ac:dyDescent="0.3">
      <c r="A7873" t="s">
        <v>7872</v>
      </c>
      <c r="B7873">
        <f>0*(1-0.8198)</f>
        <v>0</v>
      </c>
      <c r="C7873" s="1">
        <v>4</v>
      </c>
    </row>
    <row r="7874" spans="1:3" x14ac:dyDescent="0.3">
      <c r="A7874" t="s">
        <v>7873</v>
      </c>
      <c r="B7874">
        <f>0*(1-0.8198)</f>
        <v>0</v>
      </c>
      <c r="C7874" s="1">
        <v>3</v>
      </c>
    </row>
    <row r="7875" spans="1:3" x14ac:dyDescent="0.3">
      <c r="A7875" t="s">
        <v>7874</v>
      </c>
      <c r="B7875">
        <f>0*(1-0.8198)</f>
        <v>0</v>
      </c>
      <c r="C7875" s="1">
        <v>5</v>
      </c>
    </row>
    <row r="7876" spans="1:3" x14ac:dyDescent="0.3">
      <c r="A7876" t="s">
        <v>7875</v>
      </c>
      <c r="B7876">
        <f>0*(1-0.8198)</f>
        <v>0</v>
      </c>
      <c r="C7876" s="1">
        <v>4</v>
      </c>
    </row>
    <row r="7877" spans="1:3" x14ac:dyDescent="0.3">
      <c r="A7877" t="s">
        <v>7876</v>
      </c>
      <c r="B7877">
        <f>0*(1-0.8198)</f>
        <v>0</v>
      </c>
      <c r="C7877" s="1">
        <v>4</v>
      </c>
    </row>
    <row r="7878" spans="1:3" x14ac:dyDescent="0.3">
      <c r="A7878" t="s">
        <v>7877</v>
      </c>
      <c r="B7878">
        <f>0*(1-0.8198)</f>
        <v>0</v>
      </c>
      <c r="C7878" s="1">
        <v>4</v>
      </c>
    </row>
    <row r="7879" spans="1:3" x14ac:dyDescent="0.3">
      <c r="A7879" t="s">
        <v>7878</v>
      </c>
      <c r="B7879">
        <f>0*(1-0.8198)</f>
        <v>0</v>
      </c>
      <c r="C7879" s="1">
        <v>4</v>
      </c>
    </row>
    <row r="7880" spans="1:3" x14ac:dyDescent="0.3">
      <c r="A7880" t="s">
        <v>7879</v>
      </c>
      <c r="B7880">
        <f>0*(1-0.8198)</f>
        <v>0</v>
      </c>
      <c r="C7880" s="1">
        <v>4</v>
      </c>
    </row>
    <row r="7881" spans="1:3" x14ac:dyDescent="0.3">
      <c r="A7881" t="s">
        <v>7880</v>
      </c>
      <c r="B7881">
        <f>0.165030375714286*(1-0.8198)</f>
        <v>2.973847370371429E-2</v>
      </c>
      <c r="C7881" s="1">
        <v>11</v>
      </c>
    </row>
    <row r="7882" spans="1:3" x14ac:dyDescent="0.3">
      <c r="A7882" t="s">
        <v>7881</v>
      </c>
      <c r="B7882">
        <f>11.5449122514286*(1-0.8198)</f>
        <v>2.0803931877074295</v>
      </c>
      <c r="C7882" s="1">
        <v>13</v>
      </c>
    </row>
    <row r="7883" spans="1:3" x14ac:dyDescent="0.3">
      <c r="A7883" t="s">
        <v>7882</v>
      </c>
      <c r="B7883">
        <f>22.4024937671429*(1-0.8198)</f>
        <v>4.0369293768391445</v>
      </c>
      <c r="C7883" s="1">
        <v>19</v>
      </c>
    </row>
    <row r="7884" spans="1:3" x14ac:dyDescent="0.3">
      <c r="A7884" t="s">
        <v>7883</v>
      </c>
      <c r="B7884">
        <f>23.1392229028571*(1-0.8198)</f>
        <v>4.1696879670948581</v>
      </c>
      <c r="C7884" s="1">
        <v>18</v>
      </c>
    </row>
    <row r="7885" spans="1:3" x14ac:dyDescent="0.3">
      <c r="A7885" t="s">
        <v>7884</v>
      </c>
      <c r="B7885">
        <f>20.7905308985714*(1-0.8198)</f>
        <v>3.7464536679225735</v>
      </c>
      <c r="C7885" s="1">
        <v>18</v>
      </c>
    </row>
    <row r="7886" spans="1:3" x14ac:dyDescent="0.3">
      <c r="A7886" t="s">
        <v>7885</v>
      </c>
      <c r="B7886">
        <f>28.0093231685714*(1-0.8198)</f>
        <v>5.0472800349765725</v>
      </c>
      <c r="C7886" s="1">
        <v>14</v>
      </c>
    </row>
    <row r="7887" spans="1:3" x14ac:dyDescent="0.3">
      <c r="A7887" t="s">
        <v>7886</v>
      </c>
      <c r="B7887">
        <f>25.39943393*(1-0.8198)</f>
        <v>4.5769779941860005</v>
      </c>
      <c r="C7887" s="1">
        <v>17</v>
      </c>
    </row>
    <row r="7888" spans="1:3" x14ac:dyDescent="0.3">
      <c r="A7888" t="s">
        <v>7887</v>
      </c>
      <c r="B7888">
        <f>8.48643239285714*(1-0.8198)</f>
        <v>1.5292551171928574</v>
      </c>
      <c r="C7888" s="1">
        <v>13</v>
      </c>
    </row>
    <row r="7889" spans="1:3" x14ac:dyDescent="0.3">
      <c r="A7889" t="s">
        <v>7888</v>
      </c>
      <c r="B7889">
        <f>7.36518036428571*(1-0.8198)</f>
        <v>1.3272055016442856</v>
      </c>
      <c r="C7889" s="1">
        <v>12</v>
      </c>
    </row>
    <row r="7890" spans="1:3" x14ac:dyDescent="0.3">
      <c r="A7890" t="s">
        <v>7889</v>
      </c>
      <c r="B7890">
        <f>0.04042*(1-0.8198)</f>
        <v>7.2836840000000003E-3</v>
      </c>
      <c r="C7890" s="1">
        <v>11</v>
      </c>
    </row>
    <row r="7891" spans="1:3" x14ac:dyDescent="0.3">
      <c r="A7891" t="s">
        <v>7890</v>
      </c>
      <c r="B7891">
        <f>0*(1-0.8198)</f>
        <v>0</v>
      </c>
      <c r="C7891" s="1">
        <v>9</v>
      </c>
    </row>
    <row r="7892" spans="1:3" x14ac:dyDescent="0.3">
      <c r="A7892" t="s">
        <v>7891</v>
      </c>
      <c r="B7892">
        <f>0*(1-0.8198)</f>
        <v>0</v>
      </c>
      <c r="C7892" s="1">
        <v>8</v>
      </c>
    </row>
    <row r="7893" spans="1:3" x14ac:dyDescent="0.3">
      <c r="A7893" t="s">
        <v>7892</v>
      </c>
      <c r="B7893">
        <f>0*(1-0.8198)</f>
        <v>0</v>
      </c>
      <c r="C7893" s="1">
        <v>8</v>
      </c>
    </row>
    <row r="7894" spans="1:3" x14ac:dyDescent="0.3">
      <c r="A7894" t="s">
        <v>7893</v>
      </c>
      <c r="B7894">
        <f>0*(1-0.8198)</f>
        <v>0</v>
      </c>
      <c r="C7894" s="1">
        <v>8</v>
      </c>
    </row>
    <row r="7895" spans="1:3" x14ac:dyDescent="0.3">
      <c r="A7895" t="s">
        <v>7894</v>
      </c>
      <c r="B7895">
        <f>0*(1-0.8198)</f>
        <v>0</v>
      </c>
      <c r="C7895" s="1">
        <v>7</v>
      </c>
    </row>
    <row r="7896" spans="1:3" x14ac:dyDescent="0.3">
      <c r="A7896" t="s">
        <v>7895</v>
      </c>
      <c r="B7896">
        <f>0*(1-0.8198)</f>
        <v>0</v>
      </c>
      <c r="C7896" s="1">
        <v>7</v>
      </c>
    </row>
    <row r="7897" spans="1:3" x14ac:dyDescent="0.3">
      <c r="A7897" t="s">
        <v>7896</v>
      </c>
      <c r="B7897">
        <f>0*(1-0.8198)</f>
        <v>0</v>
      </c>
      <c r="C7897" s="1">
        <v>6</v>
      </c>
    </row>
    <row r="7898" spans="1:3" x14ac:dyDescent="0.3">
      <c r="A7898" t="s">
        <v>7897</v>
      </c>
      <c r="B7898">
        <f>0*(1-0.8198)</f>
        <v>0</v>
      </c>
      <c r="C7898" s="1">
        <v>5</v>
      </c>
    </row>
    <row r="7899" spans="1:3" x14ac:dyDescent="0.3">
      <c r="A7899" t="s">
        <v>7898</v>
      </c>
      <c r="B7899">
        <f>0*(1-0.8198)</f>
        <v>0</v>
      </c>
      <c r="C7899" s="1">
        <v>4</v>
      </c>
    </row>
    <row r="7900" spans="1:3" x14ac:dyDescent="0.3">
      <c r="A7900" t="s">
        <v>7899</v>
      </c>
      <c r="B7900">
        <f>0*(1-0.8198)</f>
        <v>0</v>
      </c>
      <c r="C7900" s="1">
        <v>5</v>
      </c>
    </row>
    <row r="7901" spans="1:3" x14ac:dyDescent="0.3">
      <c r="A7901" t="s">
        <v>7900</v>
      </c>
      <c r="B7901">
        <f>0*(1-0.8198)</f>
        <v>0</v>
      </c>
      <c r="C7901" s="1">
        <v>4</v>
      </c>
    </row>
    <row r="7902" spans="1:3" x14ac:dyDescent="0.3">
      <c r="A7902" t="s">
        <v>7901</v>
      </c>
      <c r="B7902">
        <f>0*(1-0.8198)</f>
        <v>0</v>
      </c>
      <c r="C7902" s="1">
        <v>4</v>
      </c>
    </row>
    <row r="7903" spans="1:3" x14ac:dyDescent="0.3">
      <c r="A7903" t="s">
        <v>7902</v>
      </c>
      <c r="B7903">
        <f>0*(1-0.8198)</f>
        <v>0</v>
      </c>
      <c r="C7903" s="1">
        <v>5</v>
      </c>
    </row>
    <row r="7904" spans="1:3" x14ac:dyDescent="0.3">
      <c r="A7904" t="s">
        <v>7903</v>
      </c>
      <c r="B7904">
        <f>0*(1-0.8198)</f>
        <v>0</v>
      </c>
      <c r="C7904" s="1">
        <v>4</v>
      </c>
    </row>
    <row r="7905" spans="1:3" x14ac:dyDescent="0.3">
      <c r="A7905" t="s">
        <v>7904</v>
      </c>
      <c r="B7905">
        <f>0.0423669171428571*(1-0.8198)</f>
        <v>7.634518469142859E-3</v>
      </c>
      <c r="C7905" s="1">
        <v>11</v>
      </c>
    </row>
    <row r="7906" spans="1:3" x14ac:dyDescent="0.3">
      <c r="A7906" t="s">
        <v>7905</v>
      </c>
      <c r="B7906">
        <f>6.80470743*(1-0.8198)</f>
        <v>1.226208278886</v>
      </c>
      <c r="C7906" s="1">
        <v>12</v>
      </c>
    </row>
    <row r="7907" spans="1:3" x14ac:dyDescent="0.3">
      <c r="A7907" t="s">
        <v>7906</v>
      </c>
      <c r="B7907">
        <f>9.84374791*(1-0.8198)</f>
        <v>1.7738433733820005</v>
      </c>
      <c r="C7907" s="1">
        <v>16</v>
      </c>
    </row>
    <row r="7908" spans="1:3" x14ac:dyDescent="0.3">
      <c r="A7908" t="s">
        <v>7907</v>
      </c>
      <c r="B7908">
        <f>8.2345*(1-0.8198)</f>
        <v>1.4838569000000004</v>
      </c>
      <c r="C7908" s="1">
        <v>18</v>
      </c>
    </row>
    <row r="7909" spans="1:3" x14ac:dyDescent="0.3">
      <c r="A7909" t="s">
        <v>7908</v>
      </c>
      <c r="B7909">
        <f>12.4465766714286*(1-0.8198)</f>
        <v>2.2428731161914293</v>
      </c>
      <c r="C7909" s="1">
        <v>17</v>
      </c>
    </row>
    <row r="7910" spans="1:3" x14ac:dyDescent="0.3">
      <c r="A7910" t="s">
        <v>7909</v>
      </c>
      <c r="B7910">
        <f>6.58416*(1-0.8198)</f>
        <v>1.1864656320000004</v>
      </c>
      <c r="C7910" s="1">
        <v>14</v>
      </c>
    </row>
    <row r="7911" spans="1:3" x14ac:dyDescent="0.3">
      <c r="A7911" t="s">
        <v>7910</v>
      </c>
      <c r="B7911">
        <f>11.2480140828571*(1-0.8198)</f>
        <v>2.0268921377308575</v>
      </c>
      <c r="C7911" s="1">
        <v>16</v>
      </c>
    </row>
    <row r="7912" spans="1:3" x14ac:dyDescent="0.3">
      <c r="A7912" t="s">
        <v>7911</v>
      </c>
      <c r="B7912">
        <f>14.8309951028571*(1-0.8198)</f>
        <v>2.6725453175348579</v>
      </c>
      <c r="C7912" s="1">
        <v>13</v>
      </c>
    </row>
    <row r="7913" spans="1:3" x14ac:dyDescent="0.3">
      <c r="A7913" t="s">
        <v>7912</v>
      </c>
      <c r="B7913">
        <f>7.02907977142857*(1-0.8198)</f>
        <v>1.2666401748114289</v>
      </c>
      <c r="C7913" s="1">
        <v>13</v>
      </c>
    </row>
    <row r="7914" spans="1:3" x14ac:dyDescent="0.3">
      <c r="A7914" t="s">
        <v>7913</v>
      </c>
      <c r="B7914">
        <f>0.00688*(1-0.8198)</f>
        <v>1.2397760000000004E-3</v>
      </c>
      <c r="C7914" s="1">
        <v>12</v>
      </c>
    </row>
    <row r="7915" spans="1:3" x14ac:dyDescent="0.3">
      <c r="A7915" t="s">
        <v>7914</v>
      </c>
      <c r="B7915">
        <f>0*(1-0.8198)</f>
        <v>0</v>
      </c>
      <c r="C7915" s="1">
        <v>9</v>
      </c>
    </row>
    <row r="7916" spans="1:3" x14ac:dyDescent="0.3">
      <c r="A7916" t="s">
        <v>7915</v>
      </c>
      <c r="B7916">
        <f>0*(1-0.8198)</f>
        <v>0</v>
      </c>
      <c r="C7916" s="1">
        <v>9</v>
      </c>
    </row>
    <row r="7917" spans="1:3" x14ac:dyDescent="0.3">
      <c r="A7917" t="s">
        <v>7916</v>
      </c>
      <c r="B7917">
        <f>0*(1-0.8198)</f>
        <v>0</v>
      </c>
      <c r="C7917" s="1">
        <v>9</v>
      </c>
    </row>
    <row r="7918" spans="1:3" x14ac:dyDescent="0.3">
      <c r="A7918" t="s">
        <v>7917</v>
      </c>
      <c r="B7918">
        <f>0*(1-0.8198)</f>
        <v>0</v>
      </c>
      <c r="C7918" s="1">
        <v>9</v>
      </c>
    </row>
    <row r="7919" spans="1:3" x14ac:dyDescent="0.3">
      <c r="A7919" t="s">
        <v>7918</v>
      </c>
      <c r="B7919">
        <f>0*(1-0.8198)</f>
        <v>0</v>
      </c>
      <c r="C7919" s="1">
        <v>7</v>
      </c>
    </row>
    <row r="7920" spans="1:3" x14ac:dyDescent="0.3">
      <c r="A7920" t="s">
        <v>7919</v>
      </c>
      <c r="B7920">
        <f>0*(1-0.8198)</f>
        <v>0</v>
      </c>
      <c r="C7920" s="1">
        <v>6</v>
      </c>
    </row>
    <row r="7921" spans="1:3" x14ac:dyDescent="0.3">
      <c r="A7921" t="s">
        <v>7920</v>
      </c>
      <c r="B7921">
        <f>0*(1-0.8198)</f>
        <v>0</v>
      </c>
      <c r="C7921" s="1">
        <v>6</v>
      </c>
    </row>
    <row r="7922" spans="1:3" x14ac:dyDescent="0.3">
      <c r="A7922" t="s">
        <v>7921</v>
      </c>
      <c r="B7922">
        <f>0*(1-0.8198)</f>
        <v>0</v>
      </c>
      <c r="C7922" s="1">
        <v>4</v>
      </c>
    </row>
    <row r="7923" spans="1:3" x14ac:dyDescent="0.3">
      <c r="A7923" t="s">
        <v>7922</v>
      </c>
      <c r="B7923">
        <f>0*(1-0.8198)</f>
        <v>0</v>
      </c>
      <c r="C7923" s="1">
        <v>4</v>
      </c>
    </row>
    <row r="7924" spans="1:3" x14ac:dyDescent="0.3">
      <c r="A7924" t="s">
        <v>7923</v>
      </c>
      <c r="B7924">
        <f>0*(1-0.8198)</f>
        <v>0</v>
      </c>
      <c r="C7924" s="1">
        <v>4</v>
      </c>
    </row>
    <row r="7925" spans="1:3" x14ac:dyDescent="0.3">
      <c r="A7925" t="s">
        <v>7924</v>
      </c>
      <c r="B7925">
        <f>0*(1-0.8198)</f>
        <v>0</v>
      </c>
      <c r="C7925" s="1">
        <v>5</v>
      </c>
    </row>
    <row r="7926" spans="1:3" x14ac:dyDescent="0.3">
      <c r="A7926" t="s">
        <v>7925</v>
      </c>
      <c r="B7926">
        <f>0*(1-0.8198)</f>
        <v>0</v>
      </c>
      <c r="C7926" s="1">
        <v>3</v>
      </c>
    </row>
    <row r="7927" spans="1:3" x14ac:dyDescent="0.3">
      <c r="A7927" t="s">
        <v>7926</v>
      </c>
      <c r="B7927">
        <f>0*(1-0.8198)</f>
        <v>0</v>
      </c>
      <c r="C7927" s="1">
        <v>4</v>
      </c>
    </row>
    <row r="7928" spans="1:3" x14ac:dyDescent="0.3">
      <c r="A7928" t="s">
        <v>7927</v>
      </c>
      <c r="B7928">
        <f>0*(1-0.8198)</f>
        <v>0</v>
      </c>
      <c r="C7928" s="1">
        <v>4</v>
      </c>
    </row>
    <row r="7929" spans="1:3" x14ac:dyDescent="0.3">
      <c r="A7929" t="s">
        <v>7928</v>
      </c>
      <c r="B7929">
        <f>0.08084*(1-0.8198)</f>
        <v>1.4567368000000001E-2</v>
      </c>
      <c r="C7929" s="1">
        <v>12</v>
      </c>
    </row>
    <row r="7930" spans="1:3" x14ac:dyDescent="0.3">
      <c r="A7930" t="s">
        <v>7929</v>
      </c>
      <c r="B7930">
        <f>10.0024816728571*(1-0.8198)</f>
        <v>1.8024471974488576</v>
      </c>
      <c r="C7930" s="1">
        <v>12</v>
      </c>
    </row>
    <row r="7931" spans="1:3" x14ac:dyDescent="0.3">
      <c r="A7931" t="s">
        <v>7930</v>
      </c>
      <c r="B7931">
        <f>16.8908663657143*(1-0.8198)</f>
        <v>3.0437341191017153</v>
      </c>
      <c r="C7931" s="1">
        <v>18</v>
      </c>
    </row>
    <row r="7932" spans="1:3" x14ac:dyDescent="0.3">
      <c r="A7932" t="s">
        <v>7931</v>
      </c>
      <c r="B7932">
        <f>20.4771195014286*(1-0.8198)</f>
        <v>3.6899769341574293</v>
      </c>
      <c r="C7932" s="1">
        <v>19</v>
      </c>
    </row>
    <row r="7933" spans="1:3" x14ac:dyDescent="0.3">
      <c r="A7933" t="s">
        <v>7932</v>
      </c>
      <c r="B7933">
        <f>8.2216*(1-0.8198)</f>
        <v>1.4815323200000003</v>
      </c>
      <c r="C7933" s="1">
        <v>17</v>
      </c>
    </row>
    <row r="7934" spans="1:3" x14ac:dyDescent="0.3">
      <c r="A7934" t="s">
        <v>7933</v>
      </c>
      <c r="B7934">
        <f>12.4500257628571*(1-0.8198)</f>
        <v>2.2434946424668576</v>
      </c>
      <c r="C7934" s="1">
        <v>15</v>
      </c>
    </row>
    <row r="7935" spans="1:3" x14ac:dyDescent="0.3">
      <c r="A7935" t="s">
        <v>7934</v>
      </c>
      <c r="B7935">
        <f>19.5284798542857*(1-0.8198)</f>
        <v>3.5190320697422868</v>
      </c>
      <c r="C7935" s="1">
        <v>17</v>
      </c>
    </row>
    <row r="7936" spans="1:3" x14ac:dyDescent="0.3">
      <c r="A7936" t="s">
        <v>7935</v>
      </c>
      <c r="B7936">
        <f>15.7083494728571*(1-0.8198)</f>
        <v>2.8306445750088582</v>
      </c>
      <c r="C7936" s="1">
        <v>14</v>
      </c>
    </row>
    <row r="7937" spans="1:3" x14ac:dyDescent="0.3">
      <c r="A7937" t="s">
        <v>7936</v>
      </c>
      <c r="B7937">
        <f>8.07619715857143*(1-0.8198)</f>
        <v>1.4553307279745715</v>
      </c>
      <c r="C7937" s="1">
        <v>12</v>
      </c>
    </row>
    <row r="7938" spans="1:3" x14ac:dyDescent="0.3">
      <c r="A7938" t="s">
        <v>7937</v>
      </c>
      <c r="B7938">
        <f>0*(1-0.8198)</f>
        <v>0</v>
      </c>
      <c r="C7938" s="1">
        <v>11</v>
      </c>
    </row>
    <row r="7939" spans="1:3" x14ac:dyDescent="0.3">
      <c r="A7939" t="s">
        <v>7938</v>
      </c>
      <c r="B7939">
        <f>0*(1-0.8198)</f>
        <v>0</v>
      </c>
      <c r="C7939" s="1">
        <v>9</v>
      </c>
    </row>
    <row r="7940" spans="1:3" x14ac:dyDescent="0.3">
      <c r="A7940" t="s">
        <v>7939</v>
      </c>
      <c r="B7940">
        <f>0*(1-0.8198)</f>
        <v>0</v>
      </c>
      <c r="C7940" s="1">
        <v>8</v>
      </c>
    </row>
    <row r="7941" spans="1:3" x14ac:dyDescent="0.3">
      <c r="A7941" t="s">
        <v>7940</v>
      </c>
      <c r="B7941">
        <f>0*(1-0.8198)</f>
        <v>0</v>
      </c>
      <c r="C7941" s="1">
        <v>9</v>
      </c>
    </row>
    <row r="7942" spans="1:3" x14ac:dyDescent="0.3">
      <c r="A7942" t="s">
        <v>7941</v>
      </c>
      <c r="B7942">
        <f>0*(1-0.8198)</f>
        <v>0</v>
      </c>
      <c r="C7942" s="1">
        <v>8</v>
      </c>
    </row>
    <row r="7943" spans="1:3" x14ac:dyDescent="0.3">
      <c r="A7943" t="s">
        <v>7942</v>
      </c>
      <c r="B7943">
        <f>0*(1-0.8198)</f>
        <v>0</v>
      </c>
      <c r="C7943" s="1">
        <v>7</v>
      </c>
    </row>
    <row r="7944" spans="1:3" x14ac:dyDescent="0.3">
      <c r="A7944" t="s">
        <v>7943</v>
      </c>
      <c r="B7944">
        <f>0*(1-0.8198)</f>
        <v>0</v>
      </c>
      <c r="C7944" s="1">
        <v>7</v>
      </c>
    </row>
    <row r="7945" spans="1:3" x14ac:dyDescent="0.3">
      <c r="A7945" t="s">
        <v>7944</v>
      </c>
      <c r="B7945">
        <f>0*(1-0.8198)</f>
        <v>0</v>
      </c>
      <c r="C7945" s="1">
        <v>6</v>
      </c>
    </row>
    <row r="7946" spans="1:3" x14ac:dyDescent="0.3">
      <c r="A7946" t="s">
        <v>7945</v>
      </c>
      <c r="B7946">
        <f>0*(1-0.8198)</f>
        <v>0</v>
      </c>
      <c r="C7946" s="1">
        <v>5</v>
      </c>
    </row>
    <row r="7947" spans="1:3" x14ac:dyDescent="0.3">
      <c r="A7947" t="s">
        <v>7946</v>
      </c>
      <c r="B7947">
        <f>0*(1-0.8198)</f>
        <v>0</v>
      </c>
      <c r="C7947" s="1">
        <v>4</v>
      </c>
    </row>
    <row r="7948" spans="1:3" x14ac:dyDescent="0.3">
      <c r="A7948" t="s">
        <v>7947</v>
      </c>
      <c r="B7948">
        <f>0*(1-0.8198)</f>
        <v>0</v>
      </c>
      <c r="C7948" s="1">
        <v>5</v>
      </c>
    </row>
    <row r="7949" spans="1:3" x14ac:dyDescent="0.3">
      <c r="A7949" t="s">
        <v>7948</v>
      </c>
      <c r="B7949">
        <f>0*(1-0.8198)</f>
        <v>0</v>
      </c>
      <c r="C7949" s="1">
        <v>4</v>
      </c>
    </row>
    <row r="7950" spans="1:3" x14ac:dyDescent="0.3">
      <c r="A7950" t="s">
        <v>7949</v>
      </c>
      <c r="B7950">
        <f>0*(1-0.8198)</f>
        <v>0</v>
      </c>
      <c r="C7950" s="1">
        <v>5</v>
      </c>
    </row>
    <row r="7951" spans="1:3" x14ac:dyDescent="0.3">
      <c r="A7951" t="s">
        <v>7950</v>
      </c>
      <c r="B7951">
        <f>0*(1-0.8198)</f>
        <v>0</v>
      </c>
      <c r="C7951" s="1">
        <v>4</v>
      </c>
    </row>
    <row r="7952" spans="1:3" x14ac:dyDescent="0.3">
      <c r="A7952" t="s">
        <v>7951</v>
      </c>
      <c r="B7952">
        <f>0*(1-0.8198)</f>
        <v>0</v>
      </c>
      <c r="C7952" s="1">
        <v>5</v>
      </c>
    </row>
    <row r="7953" spans="1:3" x14ac:dyDescent="0.3">
      <c r="A7953" t="s">
        <v>7952</v>
      </c>
      <c r="B7953">
        <f>0*(1-0.8198)</f>
        <v>0</v>
      </c>
      <c r="C7953" s="1">
        <v>10</v>
      </c>
    </row>
    <row r="7954" spans="1:3" x14ac:dyDescent="0.3">
      <c r="A7954" t="s">
        <v>7953</v>
      </c>
      <c r="B7954">
        <f>4.71454057857143*(1-0.8198)</f>
        <v>0.84956021225857159</v>
      </c>
      <c r="C7954" s="1">
        <v>12</v>
      </c>
    </row>
    <row r="7955" spans="1:3" x14ac:dyDescent="0.3">
      <c r="A7955" t="s">
        <v>7954</v>
      </c>
      <c r="B7955">
        <f>14.2262413214286*(1-0.8198)</f>
        <v>2.5635686861214291</v>
      </c>
      <c r="C7955" s="1">
        <v>17</v>
      </c>
    </row>
    <row r="7956" spans="1:3" x14ac:dyDescent="0.3">
      <c r="A7956" t="s">
        <v>7955</v>
      </c>
      <c r="B7956">
        <f>23.3552064971429*(1-0.8198)</f>
        <v>4.208608210785143</v>
      </c>
      <c r="C7956" s="1">
        <v>18</v>
      </c>
    </row>
    <row r="7957" spans="1:3" x14ac:dyDescent="0.3">
      <c r="A7957" t="s">
        <v>7956</v>
      </c>
      <c r="B7957">
        <f>33.14138742*(1-0.8198)</f>
        <v>5.9720780130840012</v>
      </c>
      <c r="C7957" s="1">
        <v>18</v>
      </c>
    </row>
    <row r="7958" spans="1:3" x14ac:dyDescent="0.3">
      <c r="A7958" t="s">
        <v>7957</v>
      </c>
      <c r="B7958">
        <f>32.4661512942857*(1-0.8198)</f>
        <v>5.8504004632302866</v>
      </c>
      <c r="C7958" s="1">
        <v>16</v>
      </c>
    </row>
    <row r="7959" spans="1:3" x14ac:dyDescent="0.3">
      <c r="A7959" t="s">
        <v>7958</v>
      </c>
      <c r="B7959">
        <f>25.9867256571429*(1-0.8198)</f>
        <v>4.6828079634171438</v>
      </c>
      <c r="C7959" s="1">
        <v>14</v>
      </c>
    </row>
    <row r="7960" spans="1:3" x14ac:dyDescent="0.3">
      <c r="A7960" t="s">
        <v>7959</v>
      </c>
      <c r="B7960">
        <f>18.6948849257143*(1-0.8198)</f>
        <v>3.3688182636137149</v>
      </c>
      <c r="C7960" s="1">
        <v>14</v>
      </c>
    </row>
    <row r="7961" spans="1:3" x14ac:dyDescent="0.3">
      <c r="A7961" t="s">
        <v>7960</v>
      </c>
      <c r="B7961">
        <f>8.55178747857143*(1-0.8198)</f>
        <v>1.5410321036385719</v>
      </c>
      <c r="C7961" s="1">
        <v>12</v>
      </c>
    </row>
    <row r="7962" spans="1:3" x14ac:dyDescent="0.3">
      <c r="A7962" t="s">
        <v>7961</v>
      </c>
      <c r="B7962">
        <f>0*(1-0.8198)</f>
        <v>0</v>
      </c>
      <c r="C7962" s="1">
        <v>12</v>
      </c>
    </row>
    <row r="7963" spans="1:3" x14ac:dyDescent="0.3">
      <c r="A7963" t="s">
        <v>7962</v>
      </c>
      <c r="B7963">
        <f>0*(1-0.8198)</f>
        <v>0</v>
      </c>
      <c r="C7963" s="1">
        <v>9</v>
      </c>
    </row>
    <row r="7964" spans="1:3" x14ac:dyDescent="0.3">
      <c r="A7964" t="s">
        <v>7963</v>
      </c>
      <c r="B7964">
        <f>0*(1-0.8198)</f>
        <v>0</v>
      </c>
      <c r="C7964" s="1">
        <v>9</v>
      </c>
    </row>
    <row r="7965" spans="1:3" x14ac:dyDescent="0.3">
      <c r="A7965" t="s">
        <v>7964</v>
      </c>
      <c r="B7965">
        <f>0*(1-0.8198)</f>
        <v>0</v>
      </c>
      <c r="C7965" s="1">
        <v>9</v>
      </c>
    </row>
    <row r="7966" spans="1:3" x14ac:dyDescent="0.3">
      <c r="A7966" t="s">
        <v>7965</v>
      </c>
      <c r="B7966">
        <f>0*(1-0.8198)</f>
        <v>0</v>
      </c>
      <c r="C7966" s="1">
        <v>9</v>
      </c>
    </row>
    <row r="7967" spans="1:3" x14ac:dyDescent="0.3">
      <c r="A7967" t="s">
        <v>7966</v>
      </c>
      <c r="B7967">
        <f>0*(1-0.8198)</f>
        <v>0</v>
      </c>
      <c r="C7967" s="1">
        <v>7</v>
      </c>
    </row>
    <row r="7968" spans="1:3" x14ac:dyDescent="0.3">
      <c r="A7968" t="s">
        <v>7967</v>
      </c>
      <c r="B7968">
        <f>0*(1-0.8198)</f>
        <v>0</v>
      </c>
      <c r="C7968" s="1">
        <v>7</v>
      </c>
    </row>
    <row r="7969" spans="1:3" x14ac:dyDescent="0.3">
      <c r="A7969" t="s">
        <v>7968</v>
      </c>
      <c r="B7969">
        <f>0*(1-0.8198)</f>
        <v>0</v>
      </c>
      <c r="C7969" s="1">
        <v>6</v>
      </c>
    </row>
    <row r="7970" spans="1:3" x14ac:dyDescent="0.3">
      <c r="A7970" t="s">
        <v>7969</v>
      </c>
      <c r="B7970">
        <f>0*(1-0.8198)</f>
        <v>0</v>
      </c>
      <c r="C7970" s="1">
        <v>5</v>
      </c>
    </row>
    <row r="7971" spans="1:3" x14ac:dyDescent="0.3">
      <c r="A7971" t="s">
        <v>7970</v>
      </c>
      <c r="B7971">
        <f>0*(1-0.8198)</f>
        <v>0</v>
      </c>
      <c r="C7971" s="1">
        <v>5</v>
      </c>
    </row>
    <row r="7972" spans="1:3" x14ac:dyDescent="0.3">
      <c r="A7972" t="s">
        <v>7971</v>
      </c>
      <c r="B7972">
        <f>0*(1-0.8198)</f>
        <v>0</v>
      </c>
      <c r="C7972" s="1">
        <v>4</v>
      </c>
    </row>
    <row r="7973" spans="1:3" x14ac:dyDescent="0.3">
      <c r="A7973" t="s">
        <v>7972</v>
      </c>
      <c r="B7973">
        <f>0*(1-0.8198)</f>
        <v>0</v>
      </c>
      <c r="C7973" s="1">
        <v>4</v>
      </c>
    </row>
    <row r="7974" spans="1:3" x14ac:dyDescent="0.3">
      <c r="A7974" t="s">
        <v>7973</v>
      </c>
      <c r="B7974">
        <f>0*(1-0.8198)</f>
        <v>0</v>
      </c>
      <c r="C7974" s="1">
        <v>4</v>
      </c>
    </row>
    <row r="7975" spans="1:3" x14ac:dyDescent="0.3">
      <c r="A7975" t="s">
        <v>7974</v>
      </c>
      <c r="B7975">
        <f>0*(1-0.8198)</f>
        <v>0</v>
      </c>
      <c r="C7975" s="1">
        <v>4</v>
      </c>
    </row>
    <row r="7976" spans="1:3" x14ac:dyDescent="0.3">
      <c r="A7976" t="s">
        <v>7975</v>
      </c>
      <c r="B7976">
        <f>0*(1-0.8198)</f>
        <v>0</v>
      </c>
      <c r="C7976" s="1">
        <v>4</v>
      </c>
    </row>
    <row r="7977" spans="1:3" x14ac:dyDescent="0.3">
      <c r="A7977" t="s">
        <v>7976</v>
      </c>
      <c r="B7977">
        <f>0*(1-0.8198)</f>
        <v>0</v>
      </c>
      <c r="C7977" s="1">
        <v>9</v>
      </c>
    </row>
    <row r="7978" spans="1:3" x14ac:dyDescent="0.3">
      <c r="A7978" t="s">
        <v>7977</v>
      </c>
      <c r="B7978">
        <f>2.1973*(1-0.8198)</f>
        <v>0.39595346000000003</v>
      </c>
      <c r="C7978" s="1">
        <v>14</v>
      </c>
    </row>
    <row r="7979" spans="1:3" x14ac:dyDescent="0.3">
      <c r="A7979" t="s">
        <v>7978</v>
      </c>
      <c r="B7979">
        <f>1.67442*(1-0.8198)</f>
        <v>0.30173048400000002</v>
      </c>
      <c r="C7979" s="1">
        <v>18</v>
      </c>
    </row>
    <row r="7980" spans="1:3" x14ac:dyDescent="0.3">
      <c r="A7980" t="s">
        <v>7979</v>
      </c>
      <c r="B7980">
        <f>2.92228*(1-0.8198)</f>
        <v>0.526594856</v>
      </c>
      <c r="C7980" s="1">
        <v>16</v>
      </c>
    </row>
    <row r="7981" spans="1:3" x14ac:dyDescent="0.3">
      <c r="A7981" t="s">
        <v>7980</v>
      </c>
      <c r="B7981">
        <f>5.1514*(1-0.8198)</f>
        <v>0.92828228000000024</v>
      </c>
      <c r="C7981" s="1">
        <v>17</v>
      </c>
    </row>
    <row r="7982" spans="1:3" x14ac:dyDescent="0.3">
      <c r="A7982" t="s">
        <v>7981</v>
      </c>
      <c r="B7982">
        <f>5.92454*(1-0.8198)</f>
        <v>1.0676021080000004</v>
      </c>
      <c r="C7982" s="1">
        <v>15</v>
      </c>
    </row>
    <row r="7983" spans="1:3" x14ac:dyDescent="0.3">
      <c r="A7983" t="s">
        <v>7982</v>
      </c>
      <c r="B7983">
        <f>12.9993355285714*(1-0.8198)</f>
        <v>2.3424802622485719</v>
      </c>
      <c r="C7983" s="1">
        <v>15</v>
      </c>
    </row>
    <row r="7984" spans="1:3" x14ac:dyDescent="0.3">
      <c r="A7984" t="s">
        <v>7983</v>
      </c>
      <c r="B7984">
        <f>14.8866625957143*(1-0.8198)</f>
        <v>2.6825765997477147</v>
      </c>
      <c r="C7984" s="1">
        <v>12</v>
      </c>
    </row>
    <row r="7985" spans="1:3" x14ac:dyDescent="0.3">
      <c r="A7985" t="s">
        <v>7984</v>
      </c>
      <c r="B7985">
        <f>7.11293898571429*(1-0.8198)</f>
        <v>1.2817516052257147</v>
      </c>
      <c r="C7985" s="1">
        <v>12</v>
      </c>
    </row>
    <row r="7986" spans="1:3" x14ac:dyDescent="0.3">
      <c r="A7986" t="s">
        <v>7985</v>
      </c>
      <c r="B7986">
        <f>0*(1-0.8198)</f>
        <v>0</v>
      </c>
      <c r="C7986" s="1">
        <v>11</v>
      </c>
    </row>
    <row r="7987" spans="1:3" x14ac:dyDescent="0.3">
      <c r="A7987" t="s">
        <v>7986</v>
      </c>
      <c r="B7987">
        <f>0*(1-0.8198)</f>
        <v>0</v>
      </c>
      <c r="C7987" s="1">
        <v>9</v>
      </c>
    </row>
    <row r="7988" spans="1:3" x14ac:dyDescent="0.3">
      <c r="A7988" t="s">
        <v>7987</v>
      </c>
      <c r="B7988">
        <f>0*(1-0.8198)</f>
        <v>0</v>
      </c>
      <c r="C7988" s="1">
        <v>8</v>
      </c>
    </row>
    <row r="7989" spans="1:3" x14ac:dyDescent="0.3">
      <c r="A7989" t="s">
        <v>7988</v>
      </c>
      <c r="B7989">
        <f>0*(1-0.8198)</f>
        <v>0</v>
      </c>
      <c r="C7989" s="1">
        <v>8</v>
      </c>
    </row>
    <row r="7990" spans="1:3" x14ac:dyDescent="0.3">
      <c r="A7990" t="s">
        <v>7989</v>
      </c>
      <c r="B7990">
        <f>0*(1-0.8198)</f>
        <v>0</v>
      </c>
      <c r="C7990" s="1">
        <v>6</v>
      </c>
    </row>
    <row r="7991" spans="1:3" x14ac:dyDescent="0.3">
      <c r="A7991" t="s">
        <v>7990</v>
      </c>
      <c r="B7991">
        <f>0*(1-0.8198)</f>
        <v>0</v>
      </c>
      <c r="C7991" s="1">
        <v>6</v>
      </c>
    </row>
    <row r="7992" spans="1:3" x14ac:dyDescent="0.3">
      <c r="A7992" t="s">
        <v>7991</v>
      </c>
      <c r="B7992">
        <f>0*(1-0.8198)</f>
        <v>0</v>
      </c>
      <c r="C7992" s="1">
        <v>4</v>
      </c>
    </row>
    <row r="7993" spans="1:3" x14ac:dyDescent="0.3">
      <c r="A7993" t="s">
        <v>7992</v>
      </c>
      <c r="B7993">
        <f>0*(1-0.8198)</f>
        <v>0</v>
      </c>
      <c r="C7993" s="1">
        <v>4</v>
      </c>
    </row>
    <row r="7994" spans="1:3" x14ac:dyDescent="0.3">
      <c r="A7994" t="s">
        <v>7993</v>
      </c>
      <c r="B7994">
        <f>0*(1-0.8198)</f>
        <v>0</v>
      </c>
      <c r="C7994" s="1">
        <v>4</v>
      </c>
    </row>
    <row r="7995" spans="1:3" x14ac:dyDescent="0.3">
      <c r="A7995" t="s">
        <v>7994</v>
      </c>
      <c r="B7995">
        <f>0*(1-0.8198)</f>
        <v>0</v>
      </c>
      <c r="C7995" s="1">
        <v>5</v>
      </c>
    </row>
    <row r="7996" spans="1:3" x14ac:dyDescent="0.3">
      <c r="A7996" t="s">
        <v>7995</v>
      </c>
      <c r="B7996">
        <f>0*(1-0.8198)</f>
        <v>0</v>
      </c>
      <c r="C7996" s="1">
        <v>4</v>
      </c>
    </row>
    <row r="7997" spans="1:3" x14ac:dyDescent="0.3">
      <c r="A7997" t="s">
        <v>7996</v>
      </c>
      <c r="B7997">
        <f>0*(1-0.8198)</f>
        <v>0</v>
      </c>
      <c r="C7997" s="1">
        <v>4</v>
      </c>
    </row>
    <row r="7998" spans="1:3" x14ac:dyDescent="0.3">
      <c r="A7998" t="s">
        <v>7997</v>
      </c>
      <c r="B7998">
        <f>0*(1-0.8198)</f>
        <v>0</v>
      </c>
      <c r="C7998" s="1">
        <v>4</v>
      </c>
    </row>
    <row r="7999" spans="1:3" x14ac:dyDescent="0.3">
      <c r="A7999" t="s">
        <v>7998</v>
      </c>
      <c r="B7999">
        <f>0*(1-0.8198)</f>
        <v>0</v>
      </c>
      <c r="C7999" s="1">
        <v>4</v>
      </c>
    </row>
    <row r="8000" spans="1:3" x14ac:dyDescent="0.3">
      <c r="A8000" t="s">
        <v>7999</v>
      </c>
      <c r="B8000">
        <f>0*(1-0.8198)</f>
        <v>0</v>
      </c>
      <c r="C8000" s="1">
        <v>4</v>
      </c>
    </row>
    <row r="8001" spans="1:3" x14ac:dyDescent="0.3">
      <c r="A8001" t="s">
        <v>8000</v>
      </c>
      <c r="B8001">
        <f>0*(1-0.8198)</f>
        <v>0</v>
      </c>
      <c r="C8001" s="1">
        <v>5</v>
      </c>
    </row>
    <row r="8002" spans="1:3" x14ac:dyDescent="0.3">
      <c r="A8002" t="s">
        <v>8001</v>
      </c>
      <c r="B8002">
        <f>8.34080546*(1-0.8198)</f>
        <v>1.5030131438920007</v>
      </c>
      <c r="C8002" s="1">
        <v>4</v>
      </c>
    </row>
    <row r="8003" spans="1:3" x14ac:dyDescent="0.3">
      <c r="A8003" t="s">
        <v>8002</v>
      </c>
      <c r="B8003">
        <f>12.9810206*(1-0.8198)</f>
        <v>2.339179912120001</v>
      </c>
      <c r="C8003" s="1">
        <v>4</v>
      </c>
    </row>
    <row r="8004" spans="1:3" x14ac:dyDescent="0.3">
      <c r="A8004" t="s">
        <v>8003</v>
      </c>
      <c r="B8004">
        <f>27.2695665257143*(1-0.8198)</f>
        <v>4.9139758879337148</v>
      </c>
      <c r="C8004" s="1">
        <v>4</v>
      </c>
    </row>
    <row r="8005" spans="1:3" x14ac:dyDescent="0.3">
      <c r="A8005" t="s">
        <v>8004</v>
      </c>
      <c r="B8005">
        <f>31.7942311442857*(1-0.8198)</f>
        <v>5.7293204522002874</v>
      </c>
      <c r="C8005" s="1">
        <v>4</v>
      </c>
    </row>
    <row r="8006" spans="1:3" x14ac:dyDescent="0.3">
      <c r="A8006" t="s">
        <v>8005</v>
      </c>
      <c r="B8006">
        <f>30.7433316614286*(1-0.8198)</f>
        <v>5.5399483653894315</v>
      </c>
      <c r="C8006" s="1">
        <v>4</v>
      </c>
    </row>
    <row r="8007" spans="1:3" x14ac:dyDescent="0.3">
      <c r="A8007" t="s">
        <v>8006</v>
      </c>
      <c r="B8007">
        <f>23.1635535314286*(1-0.8198)</f>
        <v>4.1740723463634284</v>
      </c>
      <c r="C8007" s="1">
        <v>4</v>
      </c>
    </row>
    <row r="8008" spans="1:3" x14ac:dyDescent="0.3">
      <c r="A8008" t="s">
        <v>8007</v>
      </c>
      <c r="B8008">
        <f>18.1608572985714*(1-0.8198)</f>
        <v>3.2725864852025719</v>
      </c>
      <c r="C8008" s="1">
        <v>4</v>
      </c>
    </row>
    <row r="8009" spans="1:3" x14ac:dyDescent="0.3">
      <c r="A8009" t="s">
        <v>8008</v>
      </c>
      <c r="B8009">
        <f>3.60981424857143*(1-0.8198)</f>
        <v>0.65048852759257159</v>
      </c>
      <c r="C8009" s="1">
        <v>4</v>
      </c>
    </row>
    <row r="8010" spans="1:3" x14ac:dyDescent="0.3">
      <c r="A8010" t="s">
        <v>8009</v>
      </c>
      <c r="B8010">
        <f>0*(1-0.8198)</f>
        <v>0</v>
      </c>
      <c r="C8010" s="1">
        <v>4</v>
      </c>
    </row>
    <row r="8011" spans="1:3" x14ac:dyDescent="0.3">
      <c r="A8011" t="s">
        <v>8010</v>
      </c>
      <c r="B8011">
        <f>0*(1-0.8198)</f>
        <v>0</v>
      </c>
      <c r="C8011" s="1">
        <v>4</v>
      </c>
    </row>
    <row r="8012" spans="1:3" x14ac:dyDescent="0.3">
      <c r="A8012" t="s">
        <v>8011</v>
      </c>
      <c r="B8012">
        <f>0*(1-0.8198)</f>
        <v>0</v>
      </c>
      <c r="C8012" s="1">
        <v>4</v>
      </c>
    </row>
    <row r="8013" spans="1:3" x14ac:dyDescent="0.3">
      <c r="A8013" t="s">
        <v>8012</v>
      </c>
      <c r="B8013">
        <f>0*(1-0.8198)</f>
        <v>0</v>
      </c>
      <c r="C8013" s="1">
        <v>4</v>
      </c>
    </row>
    <row r="8014" spans="1:3" x14ac:dyDescent="0.3">
      <c r="A8014" t="s">
        <v>8013</v>
      </c>
      <c r="B8014">
        <f>0*(1-0.8198)</f>
        <v>0</v>
      </c>
      <c r="C8014" s="1">
        <v>4</v>
      </c>
    </row>
    <row r="8015" spans="1:3" x14ac:dyDescent="0.3">
      <c r="A8015" t="s">
        <v>8014</v>
      </c>
      <c r="B8015">
        <f>0*(1-0.8198)</f>
        <v>0</v>
      </c>
      <c r="C8015" s="1">
        <v>4</v>
      </c>
    </row>
    <row r="8016" spans="1:3" x14ac:dyDescent="0.3">
      <c r="A8016" t="s">
        <v>8015</v>
      </c>
      <c r="B8016">
        <f>0*(1-0.8198)</f>
        <v>0</v>
      </c>
      <c r="C8016" s="1">
        <v>4</v>
      </c>
    </row>
    <row r="8017" spans="1:3" x14ac:dyDescent="0.3">
      <c r="A8017" t="s">
        <v>8016</v>
      </c>
      <c r="B8017">
        <f>0*(1-0.8198)</f>
        <v>0</v>
      </c>
      <c r="C8017" s="1">
        <v>5</v>
      </c>
    </row>
    <row r="8018" spans="1:3" x14ac:dyDescent="0.3">
      <c r="A8018" t="s">
        <v>8017</v>
      </c>
      <c r="B8018">
        <f>0*(1-0.8198)</f>
        <v>0</v>
      </c>
      <c r="C8018" s="1">
        <v>4</v>
      </c>
    </row>
    <row r="8019" spans="1:3" x14ac:dyDescent="0.3">
      <c r="A8019" t="s">
        <v>8018</v>
      </c>
      <c r="B8019">
        <f>0*(1-0.8198)</f>
        <v>0</v>
      </c>
      <c r="C8019" s="1">
        <v>4</v>
      </c>
    </row>
    <row r="8020" spans="1:3" x14ac:dyDescent="0.3">
      <c r="A8020" t="s">
        <v>8019</v>
      </c>
      <c r="B8020">
        <f>0*(1-0.8198)</f>
        <v>0</v>
      </c>
      <c r="C8020" s="1">
        <v>4</v>
      </c>
    </row>
    <row r="8021" spans="1:3" x14ac:dyDescent="0.3">
      <c r="A8021" t="s">
        <v>8020</v>
      </c>
      <c r="B8021">
        <f>0*(1-0.8198)</f>
        <v>0</v>
      </c>
      <c r="C8021" s="1">
        <v>4</v>
      </c>
    </row>
    <row r="8022" spans="1:3" x14ac:dyDescent="0.3">
      <c r="A8022" t="s">
        <v>8021</v>
      </c>
      <c r="B8022">
        <f>0*(1-0.8198)</f>
        <v>0</v>
      </c>
      <c r="C8022" s="1">
        <v>4</v>
      </c>
    </row>
    <row r="8023" spans="1:3" x14ac:dyDescent="0.3">
      <c r="A8023" t="s">
        <v>8022</v>
      </c>
      <c r="B8023">
        <f>0*(1-0.8198)</f>
        <v>0</v>
      </c>
      <c r="C8023" s="1">
        <v>4</v>
      </c>
    </row>
    <row r="8024" spans="1:3" x14ac:dyDescent="0.3">
      <c r="A8024" t="s">
        <v>8023</v>
      </c>
      <c r="B8024">
        <f>0*(1-0.8198)</f>
        <v>0</v>
      </c>
      <c r="C8024" s="1">
        <v>4</v>
      </c>
    </row>
    <row r="8025" spans="1:3" x14ac:dyDescent="0.3">
      <c r="A8025" t="s">
        <v>8024</v>
      </c>
      <c r="B8025">
        <f>0*(1-0.8198)</f>
        <v>0</v>
      </c>
      <c r="C8025" s="1">
        <v>4</v>
      </c>
    </row>
    <row r="8026" spans="1:3" x14ac:dyDescent="0.3">
      <c r="A8026" t="s">
        <v>8025</v>
      </c>
      <c r="B8026">
        <f>0.28638*(1-0.8198)</f>
        <v>5.160567600000001E-2</v>
      </c>
      <c r="C8026" s="1">
        <v>4</v>
      </c>
    </row>
    <row r="8027" spans="1:3" x14ac:dyDescent="0.3">
      <c r="A8027" t="s">
        <v>8026</v>
      </c>
      <c r="B8027">
        <f>10.9650344*(1-0.8198)</f>
        <v>1.9758991988800003</v>
      </c>
      <c r="C8027" s="1">
        <v>4</v>
      </c>
    </row>
    <row r="8028" spans="1:3" x14ac:dyDescent="0.3">
      <c r="A8028" t="s">
        <v>8027</v>
      </c>
      <c r="B8028">
        <f>7.27216*(1-0.8198)</f>
        <v>1.3104432320000003</v>
      </c>
      <c r="C8028" s="1">
        <v>4</v>
      </c>
    </row>
    <row r="8029" spans="1:3" x14ac:dyDescent="0.3">
      <c r="A8029" t="s">
        <v>8028</v>
      </c>
      <c r="B8029">
        <f>4.859*(1-0.8198)</f>
        <v>0.87559180000000014</v>
      </c>
      <c r="C8029" s="1">
        <v>5</v>
      </c>
    </row>
    <row r="8030" spans="1:3" x14ac:dyDescent="0.3">
      <c r="A8030" t="s">
        <v>8029</v>
      </c>
      <c r="B8030">
        <f>4.3172*(1-0.8198)</f>
        <v>0.77795944000000017</v>
      </c>
      <c r="C8030" s="1">
        <v>4</v>
      </c>
    </row>
    <row r="8031" spans="1:3" x14ac:dyDescent="0.3">
      <c r="A8031" t="s">
        <v>8030</v>
      </c>
      <c r="B8031">
        <f>14.38818141*(1-0.8198)</f>
        <v>2.5927502900820003</v>
      </c>
      <c r="C8031" s="1">
        <v>3</v>
      </c>
    </row>
    <row r="8032" spans="1:3" x14ac:dyDescent="0.3">
      <c r="A8032" t="s">
        <v>8031</v>
      </c>
      <c r="B8032">
        <f>2.96872*(1-0.8198)</f>
        <v>0.53496334400000012</v>
      </c>
      <c r="C8032" s="1">
        <v>5</v>
      </c>
    </row>
    <row r="8033" spans="1:3" x14ac:dyDescent="0.3">
      <c r="A8033" t="s">
        <v>8032</v>
      </c>
      <c r="B8033">
        <f>3.54891599*(1-0.8198)</f>
        <v>0.63951466139800017</v>
      </c>
      <c r="C8033" s="1">
        <v>4</v>
      </c>
    </row>
    <row r="8034" spans="1:3" x14ac:dyDescent="0.3">
      <c r="A8034" t="s">
        <v>8033</v>
      </c>
      <c r="B8034">
        <f>0*(1-0.8198)</f>
        <v>0</v>
      </c>
      <c r="C8034" s="1">
        <v>4</v>
      </c>
    </row>
    <row r="8035" spans="1:3" x14ac:dyDescent="0.3">
      <c r="A8035" t="s">
        <v>8034</v>
      </c>
      <c r="B8035">
        <f>0*(1-0.8198)</f>
        <v>0</v>
      </c>
      <c r="C8035" s="1">
        <v>4</v>
      </c>
    </row>
    <row r="8036" spans="1:3" x14ac:dyDescent="0.3">
      <c r="A8036" t="s">
        <v>8035</v>
      </c>
      <c r="B8036">
        <f>0*(1-0.8198)</f>
        <v>0</v>
      </c>
      <c r="C8036" s="1">
        <v>4</v>
      </c>
    </row>
    <row r="8037" spans="1:3" x14ac:dyDescent="0.3">
      <c r="A8037" t="s">
        <v>8036</v>
      </c>
      <c r="B8037">
        <f>0*(1-0.8198)</f>
        <v>0</v>
      </c>
      <c r="C8037" s="1">
        <v>4</v>
      </c>
    </row>
    <row r="8038" spans="1:3" x14ac:dyDescent="0.3">
      <c r="A8038" t="s">
        <v>8037</v>
      </c>
      <c r="B8038">
        <f>0*(1-0.8198)</f>
        <v>0</v>
      </c>
      <c r="C8038" s="1">
        <v>4</v>
      </c>
    </row>
    <row r="8039" spans="1:3" x14ac:dyDescent="0.3">
      <c r="A8039" t="s">
        <v>8038</v>
      </c>
      <c r="B8039">
        <f>0*(1-0.8198)</f>
        <v>0</v>
      </c>
      <c r="C8039" s="1">
        <v>4</v>
      </c>
    </row>
    <row r="8040" spans="1:3" x14ac:dyDescent="0.3">
      <c r="A8040" t="s">
        <v>8039</v>
      </c>
      <c r="B8040">
        <f>0*(1-0.8198)</f>
        <v>0</v>
      </c>
      <c r="C8040" s="1">
        <v>4</v>
      </c>
    </row>
    <row r="8041" spans="1:3" x14ac:dyDescent="0.3">
      <c r="A8041" t="s">
        <v>8040</v>
      </c>
      <c r="B8041">
        <f>0*(1-0.8198)</f>
        <v>0</v>
      </c>
      <c r="C8041" s="1">
        <v>4</v>
      </c>
    </row>
    <row r="8042" spans="1:3" x14ac:dyDescent="0.3">
      <c r="A8042" t="s">
        <v>8041</v>
      </c>
      <c r="B8042">
        <f>0*(1-0.8198)</f>
        <v>0</v>
      </c>
      <c r="C8042" s="1">
        <v>4</v>
      </c>
    </row>
    <row r="8043" spans="1:3" x14ac:dyDescent="0.3">
      <c r="A8043" t="s">
        <v>8042</v>
      </c>
      <c r="B8043">
        <f>0*(1-0.8198)</f>
        <v>0</v>
      </c>
      <c r="C8043" s="1">
        <v>4</v>
      </c>
    </row>
    <row r="8044" spans="1:3" x14ac:dyDescent="0.3">
      <c r="A8044" t="s">
        <v>8043</v>
      </c>
      <c r="B8044">
        <f>0*(1-0.8198)</f>
        <v>0</v>
      </c>
      <c r="C8044" s="1">
        <v>3</v>
      </c>
    </row>
    <row r="8045" spans="1:3" x14ac:dyDescent="0.3">
      <c r="A8045" t="s">
        <v>8044</v>
      </c>
      <c r="B8045">
        <f>0*(1-0.8198)</f>
        <v>0</v>
      </c>
      <c r="C8045" s="1">
        <v>5</v>
      </c>
    </row>
    <row r="8046" spans="1:3" x14ac:dyDescent="0.3">
      <c r="A8046" t="s">
        <v>8045</v>
      </c>
      <c r="B8046">
        <f>0*(1-0.8198)</f>
        <v>0</v>
      </c>
      <c r="C8046" s="1">
        <v>3</v>
      </c>
    </row>
    <row r="8047" spans="1:3" x14ac:dyDescent="0.3">
      <c r="A8047" t="s">
        <v>8046</v>
      </c>
      <c r="B8047">
        <f>0*(1-0.8198)</f>
        <v>0</v>
      </c>
      <c r="C8047" s="1">
        <v>4</v>
      </c>
    </row>
    <row r="8048" spans="1:3" x14ac:dyDescent="0.3">
      <c r="A8048" t="s">
        <v>8047</v>
      </c>
      <c r="B8048">
        <f>0*(1-0.8198)</f>
        <v>0</v>
      </c>
      <c r="C8048" s="1">
        <v>4</v>
      </c>
    </row>
    <row r="8049" spans="1:3" x14ac:dyDescent="0.3">
      <c r="A8049" t="s">
        <v>8048</v>
      </c>
      <c r="B8049">
        <f>0*(1-0.8198)</f>
        <v>0</v>
      </c>
      <c r="C8049" s="1">
        <v>10</v>
      </c>
    </row>
    <row r="8050" spans="1:3" x14ac:dyDescent="0.3">
      <c r="A8050" t="s">
        <v>8049</v>
      </c>
      <c r="B8050">
        <f>10.6412681114286*(1-0.8198)</f>
        <v>1.9175565136794286</v>
      </c>
      <c r="C8050" s="1">
        <v>12</v>
      </c>
    </row>
    <row r="8051" spans="1:3" x14ac:dyDescent="0.3">
      <c r="A8051" t="s">
        <v>8050</v>
      </c>
      <c r="B8051">
        <f>21.3043484028571*(1-0.8198)</f>
        <v>3.8390435821948588</v>
      </c>
      <c r="C8051" s="1">
        <v>19</v>
      </c>
    </row>
    <row r="8052" spans="1:3" x14ac:dyDescent="0.3">
      <c r="A8052" t="s">
        <v>8051</v>
      </c>
      <c r="B8052">
        <f>28.8588615757143*(1-0.8198)</f>
        <v>5.2003668559437157</v>
      </c>
      <c r="C8052" s="1">
        <v>16</v>
      </c>
    </row>
    <row r="8053" spans="1:3" x14ac:dyDescent="0.3">
      <c r="A8053" t="s">
        <v>8052</v>
      </c>
      <c r="B8053">
        <f>33.0257358485714*(1-0.8198)</f>
        <v>5.9512375999125728</v>
      </c>
      <c r="C8053" s="1">
        <v>15</v>
      </c>
    </row>
    <row r="8054" spans="1:3" x14ac:dyDescent="0.3">
      <c r="A8054" t="s">
        <v>8053</v>
      </c>
      <c r="B8054">
        <f>32.7333765757143*(1-0.8198)</f>
        <v>5.8985544589437167</v>
      </c>
      <c r="C8054" s="1">
        <v>15</v>
      </c>
    </row>
    <row r="8055" spans="1:3" x14ac:dyDescent="0.3">
      <c r="A8055" t="s">
        <v>8054</v>
      </c>
      <c r="B8055">
        <f>27.00075479*(1-0.8198)</f>
        <v>4.8655360131580014</v>
      </c>
      <c r="C8055" s="1">
        <v>14</v>
      </c>
    </row>
    <row r="8056" spans="1:3" x14ac:dyDescent="0.3">
      <c r="A8056" t="s">
        <v>8055</v>
      </c>
      <c r="B8056">
        <f>18.5697908*(1-0.8198)</f>
        <v>3.3462763021600006</v>
      </c>
      <c r="C8056" s="1">
        <v>14</v>
      </c>
    </row>
    <row r="8057" spans="1:3" x14ac:dyDescent="0.3">
      <c r="A8057" t="s">
        <v>8056</v>
      </c>
      <c r="B8057">
        <f>8.01198519714286*(1-0.8198)</f>
        <v>1.4437597325251432</v>
      </c>
      <c r="C8057" s="1">
        <v>12</v>
      </c>
    </row>
    <row r="8058" spans="1:3" x14ac:dyDescent="0.3">
      <c r="A8058" t="s">
        <v>8057</v>
      </c>
      <c r="B8058">
        <f>0*(1-0.8198)</f>
        <v>0</v>
      </c>
      <c r="C8058" s="1">
        <v>10</v>
      </c>
    </row>
    <row r="8059" spans="1:3" x14ac:dyDescent="0.3">
      <c r="A8059" t="s">
        <v>8058</v>
      </c>
      <c r="B8059">
        <f>0*(1-0.8198)</f>
        <v>0</v>
      </c>
      <c r="C8059" s="1">
        <v>9</v>
      </c>
    </row>
    <row r="8060" spans="1:3" x14ac:dyDescent="0.3">
      <c r="A8060" t="s">
        <v>8059</v>
      </c>
      <c r="B8060">
        <f>0*(1-0.8198)</f>
        <v>0</v>
      </c>
      <c r="C8060" s="1">
        <v>9</v>
      </c>
    </row>
    <row r="8061" spans="1:3" x14ac:dyDescent="0.3">
      <c r="A8061" t="s">
        <v>8060</v>
      </c>
      <c r="B8061">
        <f>0*(1-0.8198)</f>
        <v>0</v>
      </c>
      <c r="C8061" s="1">
        <v>9</v>
      </c>
    </row>
    <row r="8062" spans="1:3" x14ac:dyDescent="0.3">
      <c r="A8062" t="s">
        <v>8061</v>
      </c>
      <c r="B8062">
        <f>0*(1-0.8198)</f>
        <v>0</v>
      </c>
      <c r="C8062" s="1">
        <v>8</v>
      </c>
    </row>
    <row r="8063" spans="1:3" x14ac:dyDescent="0.3">
      <c r="A8063" t="s">
        <v>8062</v>
      </c>
      <c r="B8063">
        <f>0*(1-0.8198)</f>
        <v>0</v>
      </c>
      <c r="C8063" s="1">
        <v>7</v>
      </c>
    </row>
    <row r="8064" spans="1:3" x14ac:dyDescent="0.3">
      <c r="A8064" t="s">
        <v>8063</v>
      </c>
      <c r="B8064">
        <f>0*(1-0.8198)</f>
        <v>0</v>
      </c>
      <c r="C8064" s="1">
        <v>6</v>
      </c>
    </row>
    <row r="8065" spans="1:3" x14ac:dyDescent="0.3">
      <c r="A8065" t="s">
        <v>8064</v>
      </c>
      <c r="B8065">
        <f>0*(1-0.8198)</f>
        <v>0</v>
      </c>
      <c r="C8065" s="1">
        <v>6</v>
      </c>
    </row>
    <row r="8066" spans="1:3" x14ac:dyDescent="0.3">
      <c r="A8066" t="s">
        <v>8065</v>
      </c>
      <c r="B8066">
        <f>0*(1-0.8198)</f>
        <v>0</v>
      </c>
      <c r="C8066" s="1">
        <v>4</v>
      </c>
    </row>
    <row r="8067" spans="1:3" x14ac:dyDescent="0.3">
      <c r="A8067" t="s">
        <v>8066</v>
      </c>
      <c r="B8067">
        <f>0*(1-0.8198)</f>
        <v>0</v>
      </c>
      <c r="C8067" s="1">
        <v>5</v>
      </c>
    </row>
    <row r="8068" spans="1:3" x14ac:dyDescent="0.3">
      <c r="A8068" t="s">
        <v>8067</v>
      </c>
      <c r="B8068">
        <f>0*(1-0.8198)</f>
        <v>0</v>
      </c>
      <c r="C8068" s="1">
        <v>3</v>
      </c>
    </row>
    <row r="8069" spans="1:3" x14ac:dyDescent="0.3">
      <c r="A8069" t="s">
        <v>8068</v>
      </c>
      <c r="B8069">
        <f>0*(1-0.8198)</f>
        <v>0</v>
      </c>
      <c r="C8069" s="1">
        <v>5</v>
      </c>
    </row>
    <row r="8070" spans="1:3" x14ac:dyDescent="0.3">
      <c r="A8070" t="s">
        <v>8069</v>
      </c>
      <c r="B8070">
        <f>0*(1-0.8198)</f>
        <v>0</v>
      </c>
      <c r="C8070" s="1">
        <v>4</v>
      </c>
    </row>
    <row r="8071" spans="1:3" x14ac:dyDescent="0.3">
      <c r="A8071" t="s">
        <v>8070</v>
      </c>
      <c r="B8071">
        <f>0*(1-0.8198)</f>
        <v>0</v>
      </c>
      <c r="C8071" s="1">
        <v>4</v>
      </c>
    </row>
    <row r="8072" spans="1:3" x14ac:dyDescent="0.3">
      <c r="A8072" t="s">
        <v>8071</v>
      </c>
      <c r="B8072">
        <f>0*(1-0.8198)</f>
        <v>0</v>
      </c>
      <c r="C8072" s="1">
        <v>4</v>
      </c>
    </row>
    <row r="8073" spans="1:3" x14ac:dyDescent="0.3">
      <c r="A8073" t="s">
        <v>8072</v>
      </c>
      <c r="B8073">
        <f>0*(1-0.8198)</f>
        <v>0</v>
      </c>
      <c r="C8073" s="1">
        <v>10</v>
      </c>
    </row>
    <row r="8074" spans="1:3" x14ac:dyDescent="0.3">
      <c r="A8074" t="s">
        <v>8073</v>
      </c>
      <c r="B8074">
        <f>6.53117048571429*(1-0.8198)</f>
        <v>1.1769169215257147</v>
      </c>
      <c r="C8074" s="1">
        <v>15</v>
      </c>
    </row>
    <row r="8075" spans="1:3" x14ac:dyDescent="0.3">
      <c r="A8075" t="s">
        <v>8074</v>
      </c>
      <c r="B8075">
        <f>18.5412824142857*(1-0.8198)</f>
        <v>3.3411390910542869</v>
      </c>
      <c r="C8075" s="1">
        <v>16</v>
      </c>
    </row>
    <row r="8076" spans="1:3" x14ac:dyDescent="0.3">
      <c r="A8076" t="s">
        <v>8075</v>
      </c>
      <c r="B8076">
        <f>28.6739207257143*(1-0.8198)</f>
        <v>5.1670405147737153</v>
      </c>
      <c r="C8076" s="1">
        <v>18</v>
      </c>
    </row>
    <row r="8077" spans="1:3" x14ac:dyDescent="0.3">
      <c r="A8077" t="s">
        <v>8076</v>
      </c>
      <c r="B8077">
        <f>32.7367141128571*(1-0.8198)</f>
        <v>5.8991558831368582</v>
      </c>
      <c r="C8077" s="1">
        <v>16</v>
      </c>
    </row>
    <row r="8078" spans="1:3" x14ac:dyDescent="0.3">
      <c r="A8078" t="s">
        <v>8077</v>
      </c>
      <c r="B8078">
        <f>32.6514752742857*(1-0.8198)</f>
        <v>5.8837958444262881</v>
      </c>
      <c r="C8078" s="1">
        <v>16</v>
      </c>
    </row>
    <row r="8079" spans="1:3" x14ac:dyDescent="0.3">
      <c r="A8079" t="s">
        <v>8078</v>
      </c>
      <c r="B8079">
        <f>26.5710423371429*(1-0.8198)</f>
        <v>4.7881018291531445</v>
      </c>
      <c r="C8079" s="1">
        <v>15</v>
      </c>
    </row>
    <row r="8080" spans="1:3" x14ac:dyDescent="0.3">
      <c r="A8080" t="s">
        <v>8079</v>
      </c>
      <c r="B8080">
        <f>18.8121445742857*(1-0.8198)</f>
        <v>3.3899484522862862</v>
      </c>
      <c r="C8080" s="1">
        <v>14</v>
      </c>
    </row>
    <row r="8081" spans="1:3" x14ac:dyDescent="0.3">
      <c r="A8081" t="s">
        <v>8080</v>
      </c>
      <c r="B8081">
        <f>8.00279843142857*(1-0.8198)</f>
        <v>1.4421042773434292</v>
      </c>
      <c r="C8081" s="1">
        <v>12</v>
      </c>
    </row>
    <row r="8082" spans="1:3" x14ac:dyDescent="0.3">
      <c r="A8082" t="s">
        <v>8081</v>
      </c>
      <c r="B8082">
        <f>0*(1-0.8198)</f>
        <v>0</v>
      </c>
      <c r="C8082" s="1">
        <v>12</v>
      </c>
    </row>
    <row r="8083" spans="1:3" x14ac:dyDescent="0.3">
      <c r="A8083" t="s">
        <v>8082</v>
      </c>
      <c r="B8083">
        <f>0*(1-0.8198)</f>
        <v>0</v>
      </c>
      <c r="C8083" s="1">
        <v>9</v>
      </c>
    </row>
    <row r="8084" spans="1:3" x14ac:dyDescent="0.3">
      <c r="A8084" t="s">
        <v>8083</v>
      </c>
      <c r="B8084">
        <f>0*(1-0.8198)</f>
        <v>0</v>
      </c>
      <c r="C8084" s="1">
        <v>8</v>
      </c>
    </row>
    <row r="8085" spans="1:3" x14ac:dyDescent="0.3">
      <c r="A8085" t="s">
        <v>8084</v>
      </c>
      <c r="B8085">
        <f>0*(1-0.8198)</f>
        <v>0</v>
      </c>
      <c r="C8085" s="1">
        <v>8</v>
      </c>
    </row>
    <row r="8086" spans="1:3" x14ac:dyDescent="0.3">
      <c r="A8086" t="s">
        <v>8085</v>
      </c>
      <c r="B8086">
        <f>0*(1-0.8198)</f>
        <v>0</v>
      </c>
      <c r="C8086" s="1">
        <v>8</v>
      </c>
    </row>
    <row r="8087" spans="1:3" x14ac:dyDescent="0.3">
      <c r="A8087" t="s">
        <v>8086</v>
      </c>
      <c r="B8087">
        <f>0*(1-0.8198)</f>
        <v>0</v>
      </c>
      <c r="C8087" s="1">
        <v>7</v>
      </c>
    </row>
    <row r="8088" spans="1:3" x14ac:dyDescent="0.3">
      <c r="A8088" t="s">
        <v>8087</v>
      </c>
      <c r="B8088">
        <f>0*(1-0.8198)</f>
        <v>0</v>
      </c>
      <c r="C8088" s="1">
        <v>6</v>
      </c>
    </row>
    <row r="8089" spans="1:3" x14ac:dyDescent="0.3">
      <c r="A8089" t="s">
        <v>8088</v>
      </c>
      <c r="B8089">
        <f>0*(1-0.8198)</f>
        <v>0</v>
      </c>
      <c r="C8089" s="1">
        <v>6</v>
      </c>
    </row>
    <row r="8090" spans="1:3" x14ac:dyDescent="0.3">
      <c r="A8090" t="s">
        <v>8089</v>
      </c>
      <c r="B8090">
        <f>0*(1-0.8198)</f>
        <v>0</v>
      </c>
      <c r="C8090" s="1">
        <v>4</v>
      </c>
    </row>
    <row r="8091" spans="1:3" x14ac:dyDescent="0.3">
      <c r="A8091" t="s">
        <v>8090</v>
      </c>
      <c r="B8091">
        <f>0*(1-0.8198)</f>
        <v>0</v>
      </c>
      <c r="C8091" s="1">
        <v>5</v>
      </c>
    </row>
    <row r="8092" spans="1:3" x14ac:dyDescent="0.3">
      <c r="A8092" t="s">
        <v>8091</v>
      </c>
      <c r="B8092">
        <f>0*(1-0.8198)</f>
        <v>0</v>
      </c>
      <c r="C8092" s="1">
        <v>4</v>
      </c>
    </row>
    <row r="8093" spans="1:3" x14ac:dyDescent="0.3">
      <c r="A8093" t="s">
        <v>8092</v>
      </c>
      <c r="B8093">
        <f>0*(1-0.8198)</f>
        <v>0</v>
      </c>
      <c r="C8093" s="1">
        <v>4</v>
      </c>
    </row>
    <row r="8094" spans="1:3" x14ac:dyDescent="0.3">
      <c r="A8094" t="s">
        <v>8093</v>
      </c>
      <c r="B8094">
        <f>0*(1-0.8198)</f>
        <v>0</v>
      </c>
      <c r="C8094" s="1">
        <v>4</v>
      </c>
    </row>
    <row r="8095" spans="1:3" x14ac:dyDescent="0.3">
      <c r="A8095" t="s">
        <v>8094</v>
      </c>
      <c r="B8095">
        <f>0*(1-0.8198)</f>
        <v>0</v>
      </c>
      <c r="C8095" s="1">
        <v>5</v>
      </c>
    </row>
    <row r="8096" spans="1:3" x14ac:dyDescent="0.3">
      <c r="A8096" t="s">
        <v>8095</v>
      </c>
      <c r="B8096">
        <f>0*(1-0.8198)</f>
        <v>0</v>
      </c>
      <c r="C8096" s="1">
        <v>4</v>
      </c>
    </row>
    <row r="8097" spans="1:3" x14ac:dyDescent="0.3">
      <c r="A8097" t="s">
        <v>8096</v>
      </c>
      <c r="B8097">
        <f>0*(1-0.8198)</f>
        <v>0</v>
      </c>
      <c r="C8097" s="1">
        <v>8</v>
      </c>
    </row>
    <row r="8098" spans="1:3" x14ac:dyDescent="0.3">
      <c r="A8098" t="s">
        <v>8097</v>
      </c>
      <c r="B8098">
        <f>7.54339454*(1-0.8198)</f>
        <v>1.3593196961080005</v>
      </c>
      <c r="C8098" s="1">
        <v>16</v>
      </c>
    </row>
    <row r="8099" spans="1:3" x14ac:dyDescent="0.3">
      <c r="A8099" t="s">
        <v>8098</v>
      </c>
      <c r="B8099">
        <f>13.98823497*(1-0.8198)</f>
        <v>2.520679941594</v>
      </c>
      <c r="C8099" s="1">
        <v>20</v>
      </c>
    </row>
    <row r="8100" spans="1:3" x14ac:dyDescent="0.3">
      <c r="A8100" t="s">
        <v>8099</v>
      </c>
      <c r="B8100">
        <f>20.2112581185714*(1-0.8198)</f>
        <v>3.6420687129665721</v>
      </c>
      <c r="C8100" s="1">
        <v>21</v>
      </c>
    </row>
    <row r="8101" spans="1:3" x14ac:dyDescent="0.3">
      <c r="A8101" t="s">
        <v>8100</v>
      </c>
      <c r="B8101">
        <f>29.5471044028572*(1-0.8198)</f>
        <v>5.324388213394859</v>
      </c>
      <c r="C8101" s="1">
        <v>19</v>
      </c>
    </row>
    <row r="8102" spans="1:3" x14ac:dyDescent="0.3">
      <c r="A8102" t="s">
        <v>8101</v>
      </c>
      <c r="B8102">
        <f>32.8035708814286*(1-0.8198)</f>
        <v>5.9112034728334288</v>
      </c>
      <c r="C8102" s="1">
        <v>15</v>
      </c>
    </row>
    <row r="8103" spans="1:3" x14ac:dyDescent="0.3">
      <c r="A8103" t="s">
        <v>8102</v>
      </c>
      <c r="B8103">
        <f>27.41555472*(1-0.8198)</f>
        <v>4.9402829605440024</v>
      </c>
      <c r="C8103" s="1">
        <v>16</v>
      </c>
    </row>
    <row r="8104" spans="1:3" x14ac:dyDescent="0.3">
      <c r="A8104" t="s">
        <v>8103</v>
      </c>
      <c r="B8104">
        <f>18.8593607857143*(1-0.8198)</f>
        <v>3.3984568135857143</v>
      </c>
      <c r="C8104" s="1">
        <v>13</v>
      </c>
    </row>
    <row r="8105" spans="1:3" x14ac:dyDescent="0.3">
      <c r="A8105" t="s">
        <v>8104</v>
      </c>
      <c r="B8105">
        <f>7.76224254857143*(1-0.8198)</f>
        <v>1.3987561072525716</v>
      </c>
      <c r="C8105" s="1">
        <v>12</v>
      </c>
    </row>
    <row r="8106" spans="1:3" x14ac:dyDescent="0.3">
      <c r="A8106" t="s">
        <v>8105</v>
      </c>
      <c r="B8106">
        <f>0*(1-0.8198)</f>
        <v>0</v>
      </c>
      <c r="C8106" s="1">
        <v>11</v>
      </c>
    </row>
    <row r="8107" spans="1:3" x14ac:dyDescent="0.3">
      <c r="A8107" t="s">
        <v>8106</v>
      </c>
      <c r="B8107">
        <f>0*(1-0.8198)</f>
        <v>0</v>
      </c>
      <c r="C8107" s="1">
        <v>9</v>
      </c>
    </row>
    <row r="8108" spans="1:3" x14ac:dyDescent="0.3">
      <c r="A8108" t="s">
        <v>8107</v>
      </c>
      <c r="B8108">
        <f>0*(1-0.8198)</f>
        <v>0</v>
      </c>
      <c r="C8108" s="1">
        <v>10</v>
      </c>
    </row>
    <row r="8109" spans="1:3" x14ac:dyDescent="0.3">
      <c r="A8109" t="s">
        <v>8108</v>
      </c>
      <c r="B8109">
        <f>0*(1-0.8198)</f>
        <v>0</v>
      </c>
      <c r="C8109" s="1">
        <v>8</v>
      </c>
    </row>
    <row r="8110" spans="1:3" x14ac:dyDescent="0.3">
      <c r="A8110" t="s">
        <v>8109</v>
      </c>
      <c r="B8110">
        <f>0*(1-0.8198)</f>
        <v>0</v>
      </c>
      <c r="C8110" s="1">
        <v>8</v>
      </c>
    </row>
    <row r="8111" spans="1:3" x14ac:dyDescent="0.3">
      <c r="A8111" t="s">
        <v>8110</v>
      </c>
      <c r="B8111">
        <f>0*(1-0.8198)</f>
        <v>0</v>
      </c>
      <c r="C8111" s="1">
        <v>8</v>
      </c>
    </row>
    <row r="8112" spans="1:3" x14ac:dyDescent="0.3">
      <c r="A8112" t="s">
        <v>8111</v>
      </c>
      <c r="B8112">
        <f>0*(1-0.8198)</f>
        <v>0</v>
      </c>
      <c r="C8112" s="1">
        <v>6</v>
      </c>
    </row>
    <row r="8113" spans="1:3" x14ac:dyDescent="0.3">
      <c r="A8113" t="s">
        <v>8112</v>
      </c>
      <c r="B8113">
        <f>0*(1-0.8198)</f>
        <v>0</v>
      </c>
      <c r="C8113" s="1">
        <v>6</v>
      </c>
    </row>
    <row r="8114" spans="1:3" x14ac:dyDescent="0.3">
      <c r="A8114" t="s">
        <v>8113</v>
      </c>
      <c r="B8114">
        <f>0*(1-0.8198)</f>
        <v>0</v>
      </c>
      <c r="C8114" s="1">
        <v>5</v>
      </c>
    </row>
    <row r="8115" spans="1:3" x14ac:dyDescent="0.3">
      <c r="A8115" t="s">
        <v>8114</v>
      </c>
      <c r="B8115">
        <f>0*(1-0.8198)</f>
        <v>0</v>
      </c>
      <c r="C8115" s="1">
        <v>4</v>
      </c>
    </row>
    <row r="8116" spans="1:3" x14ac:dyDescent="0.3">
      <c r="A8116" t="s">
        <v>8115</v>
      </c>
      <c r="B8116">
        <f>0*(1-0.8198)</f>
        <v>0</v>
      </c>
      <c r="C8116" s="1">
        <v>4</v>
      </c>
    </row>
    <row r="8117" spans="1:3" x14ac:dyDescent="0.3">
      <c r="A8117" t="s">
        <v>8116</v>
      </c>
      <c r="B8117">
        <f>0*(1-0.8198)</f>
        <v>0</v>
      </c>
      <c r="C8117" s="1">
        <v>5</v>
      </c>
    </row>
    <row r="8118" spans="1:3" x14ac:dyDescent="0.3">
      <c r="A8118" t="s">
        <v>8117</v>
      </c>
      <c r="B8118">
        <f>0*(1-0.8198)</f>
        <v>0</v>
      </c>
      <c r="C8118" s="1">
        <v>4</v>
      </c>
    </row>
    <row r="8119" spans="1:3" x14ac:dyDescent="0.3">
      <c r="A8119" t="s">
        <v>8118</v>
      </c>
      <c r="B8119">
        <f>0*(1-0.8198)</f>
        <v>0</v>
      </c>
      <c r="C8119" s="1">
        <v>4</v>
      </c>
    </row>
    <row r="8120" spans="1:3" x14ac:dyDescent="0.3">
      <c r="A8120" t="s">
        <v>8119</v>
      </c>
      <c r="B8120">
        <f>0*(1-0.8198)</f>
        <v>0</v>
      </c>
      <c r="C8120" s="1">
        <v>5</v>
      </c>
    </row>
    <row r="8121" spans="1:3" x14ac:dyDescent="0.3">
      <c r="A8121" t="s">
        <v>8120</v>
      </c>
      <c r="B8121">
        <f>0*(1-0.8198)</f>
        <v>0</v>
      </c>
      <c r="C8121" s="1">
        <v>11</v>
      </c>
    </row>
    <row r="8122" spans="1:3" x14ac:dyDescent="0.3">
      <c r="A8122" t="s">
        <v>8121</v>
      </c>
      <c r="B8122">
        <f>10.0166119642857*(1-0.8198)</f>
        <v>1.8049934759642865</v>
      </c>
      <c r="C8122" s="1">
        <v>14</v>
      </c>
    </row>
    <row r="8123" spans="1:3" x14ac:dyDescent="0.3">
      <c r="A8123" t="s">
        <v>8122</v>
      </c>
      <c r="B8123">
        <f>20.6981799828571*(1-0.8198)</f>
        <v>3.7298120329108579</v>
      </c>
      <c r="C8123" s="1">
        <v>19</v>
      </c>
    </row>
    <row r="8124" spans="1:3" x14ac:dyDescent="0.3">
      <c r="A8124" t="s">
        <v>8123</v>
      </c>
      <c r="B8124">
        <f>25.001791*(1-0.8198)</f>
        <v>4.5053227382000012</v>
      </c>
      <c r="C8124" s="1">
        <v>15</v>
      </c>
    </row>
    <row r="8125" spans="1:3" x14ac:dyDescent="0.3">
      <c r="A8125" t="s">
        <v>8124</v>
      </c>
      <c r="B8125">
        <f>29.4798430042857*(1-0.8198)</f>
        <v>5.3122677093722865</v>
      </c>
      <c r="C8125" s="1">
        <v>17</v>
      </c>
    </row>
    <row r="8126" spans="1:3" x14ac:dyDescent="0.3">
      <c r="A8126" t="s">
        <v>8125</v>
      </c>
      <c r="B8126">
        <f>29.5194252414286*(1-0.8198)</f>
        <v>5.3194004285054302</v>
      </c>
      <c r="C8126" s="1">
        <v>15</v>
      </c>
    </row>
    <row r="8127" spans="1:3" x14ac:dyDescent="0.3">
      <c r="A8127" t="s">
        <v>8126</v>
      </c>
      <c r="B8127">
        <f>17.52968358*(1-0.8198)</f>
        <v>3.1588489811160003</v>
      </c>
      <c r="C8127" s="1">
        <v>16</v>
      </c>
    </row>
    <row r="8128" spans="1:3" x14ac:dyDescent="0.3">
      <c r="A8128" t="s">
        <v>8127</v>
      </c>
      <c r="B8128">
        <f>14.6331831242857*(1-0.8198)</f>
        <v>2.636899598996286</v>
      </c>
      <c r="C8128" s="1">
        <v>15</v>
      </c>
    </row>
    <row r="8129" spans="1:3" x14ac:dyDescent="0.3">
      <c r="A8129" t="s">
        <v>8128</v>
      </c>
      <c r="B8129">
        <f>5.03639287571429*(1-0.8198)</f>
        <v>0.90755799620371436</v>
      </c>
      <c r="C8129" s="1">
        <v>12</v>
      </c>
    </row>
    <row r="8130" spans="1:3" x14ac:dyDescent="0.3">
      <c r="A8130" t="s">
        <v>8129</v>
      </c>
      <c r="B8130">
        <f>0*(1-0.8198)</f>
        <v>0</v>
      </c>
      <c r="C8130" s="1">
        <v>11</v>
      </c>
    </row>
    <row r="8131" spans="1:3" x14ac:dyDescent="0.3">
      <c r="A8131" t="s">
        <v>8130</v>
      </c>
      <c r="B8131">
        <f>0*(1-0.8198)</f>
        <v>0</v>
      </c>
      <c r="C8131" s="1">
        <v>9</v>
      </c>
    </row>
    <row r="8132" spans="1:3" x14ac:dyDescent="0.3">
      <c r="A8132" t="s">
        <v>8131</v>
      </c>
      <c r="B8132">
        <f>0*(1-0.8198)</f>
        <v>0</v>
      </c>
      <c r="C8132" s="1">
        <v>10</v>
      </c>
    </row>
    <row r="8133" spans="1:3" x14ac:dyDescent="0.3">
      <c r="A8133" t="s">
        <v>8132</v>
      </c>
      <c r="B8133">
        <f>0*(1-0.8198)</f>
        <v>0</v>
      </c>
      <c r="C8133" s="1">
        <v>10</v>
      </c>
    </row>
    <row r="8134" spans="1:3" x14ac:dyDescent="0.3">
      <c r="A8134" t="s">
        <v>8133</v>
      </c>
      <c r="B8134">
        <f>0*(1-0.8198)</f>
        <v>0</v>
      </c>
      <c r="C8134" s="1">
        <v>7</v>
      </c>
    </row>
    <row r="8135" spans="1:3" x14ac:dyDescent="0.3">
      <c r="A8135" t="s">
        <v>8134</v>
      </c>
      <c r="B8135">
        <f>0*(1-0.8198)</f>
        <v>0</v>
      </c>
      <c r="C8135" s="1">
        <v>7</v>
      </c>
    </row>
    <row r="8136" spans="1:3" x14ac:dyDescent="0.3">
      <c r="A8136" t="s">
        <v>8135</v>
      </c>
      <c r="B8136">
        <f>0*(1-0.8198)</f>
        <v>0</v>
      </c>
      <c r="C8136" s="1">
        <v>8</v>
      </c>
    </row>
    <row r="8137" spans="1:3" x14ac:dyDescent="0.3">
      <c r="A8137" t="s">
        <v>8136</v>
      </c>
      <c r="B8137">
        <f>0*(1-0.8198)</f>
        <v>0</v>
      </c>
      <c r="C8137" s="1">
        <v>6</v>
      </c>
    </row>
    <row r="8138" spans="1:3" x14ac:dyDescent="0.3">
      <c r="A8138" t="s">
        <v>8137</v>
      </c>
      <c r="B8138">
        <f>0*(1-0.8198)</f>
        <v>0</v>
      </c>
      <c r="C8138" s="1">
        <v>5</v>
      </c>
    </row>
    <row r="8139" spans="1:3" x14ac:dyDescent="0.3">
      <c r="A8139" t="s">
        <v>8138</v>
      </c>
      <c r="B8139">
        <f>0*(1-0.8198)</f>
        <v>0</v>
      </c>
      <c r="C8139" s="1">
        <v>4</v>
      </c>
    </row>
    <row r="8140" spans="1:3" x14ac:dyDescent="0.3">
      <c r="A8140" t="s">
        <v>8139</v>
      </c>
      <c r="B8140">
        <f>0*(1-0.8198)</f>
        <v>0</v>
      </c>
      <c r="C8140" s="1">
        <v>5</v>
      </c>
    </row>
    <row r="8141" spans="1:3" x14ac:dyDescent="0.3">
      <c r="A8141" t="s">
        <v>8140</v>
      </c>
      <c r="B8141">
        <f>0*(1-0.8198)</f>
        <v>0</v>
      </c>
      <c r="C8141" s="1">
        <v>4</v>
      </c>
    </row>
    <row r="8142" spans="1:3" x14ac:dyDescent="0.3">
      <c r="A8142" t="s">
        <v>8141</v>
      </c>
      <c r="B8142">
        <f>0*(1-0.8198)</f>
        <v>0</v>
      </c>
      <c r="C8142" s="1">
        <v>5</v>
      </c>
    </row>
    <row r="8143" spans="1:3" x14ac:dyDescent="0.3">
      <c r="A8143" t="s">
        <v>8142</v>
      </c>
      <c r="B8143">
        <f>0*(1-0.8198)</f>
        <v>0</v>
      </c>
      <c r="C8143" s="1">
        <v>4</v>
      </c>
    </row>
    <row r="8144" spans="1:3" x14ac:dyDescent="0.3">
      <c r="A8144" t="s">
        <v>8143</v>
      </c>
      <c r="B8144">
        <f>0*(1-0.8198)</f>
        <v>0</v>
      </c>
      <c r="C8144" s="1">
        <v>4</v>
      </c>
    </row>
    <row r="8145" spans="1:3" x14ac:dyDescent="0.3">
      <c r="A8145" t="s">
        <v>8144</v>
      </c>
      <c r="B8145">
        <f>0*(1-0.8198)</f>
        <v>0</v>
      </c>
      <c r="C8145" s="1">
        <v>5</v>
      </c>
    </row>
    <row r="8146" spans="1:3" x14ac:dyDescent="0.3">
      <c r="A8146" t="s">
        <v>8145</v>
      </c>
      <c r="B8146">
        <f>7.56292391142857*(1-0.8198)</f>
        <v>1.3628388888394287</v>
      </c>
      <c r="C8146" s="1">
        <v>4</v>
      </c>
    </row>
    <row r="8147" spans="1:3" x14ac:dyDescent="0.3">
      <c r="A8147" t="s">
        <v>8146</v>
      </c>
      <c r="B8147">
        <f>19.7380671985714*(1-0.8198)</f>
        <v>3.5567997091825725</v>
      </c>
      <c r="C8147" s="1">
        <v>5</v>
      </c>
    </row>
    <row r="8148" spans="1:3" x14ac:dyDescent="0.3">
      <c r="A8148" t="s">
        <v>8147</v>
      </c>
      <c r="B8148">
        <f>27.4997976785714*(1-0.8198)</f>
        <v>4.9554635416785722</v>
      </c>
      <c r="C8148" s="1">
        <v>4</v>
      </c>
    </row>
    <row r="8149" spans="1:3" x14ac:dyDescent="0.3">
      <c r="A8149" t="s">
        <v>8148</v>
      </c>
      <c r="B8149">
        <f>31.2383137528571*(1-0.8198)</f>
        <v>5.6291441382648584</v>
      </c>
      <c r="C8149" s="1">
        <v>5</v>
      </c>
    </row>
    <row r="8150" spans="1:3" x14ac:dyDescent="0.3">
      <c r="A8150" t="s">
        <v>8149</v>
      </c>
      <c r="B8150">
        <f>31.6313398957143*(1-0.8198)</f>
        <v>5.6999674492077164</v>
      </c>
      <c r="C8150" s="1">
        <v>4</v>
      </c>
    </row>
    <row r="8151" spans="1:3" x14ac:dyDescent="0.3">
      <c r="A8151" t="s">
        <v>8150</v>
      </c>
      <c r="B8151">
        <f>26.6479146657143*(1-0.8198)</f>
        <v>4.801954222761716</v>
      </c>
      <c r="C8151" s="1">
        <v>5</v>
      </c>
    </row>
    <row r="8152" spans="1:3" x14ac:dyDescent="0.3">
      <c r="A8152" t="s">
        <v>8151</v>
      </c>
      <c r="B8152">
        <f>18.4900006757143*(1-0.8198)</f>
        <v>3.3318981217637145</v>
      </c>
      <c r="C8152" s="1">
        <v>4</v>
      </c>
    </row>
    <row r="8153" spans="1:3" x14ac:dyDescent="0.3">
      <c r="A8153" t="s">
        <v>8152</v>
      </c>
      <c r="B8153">
        <f>8.2420551*(1-0.8198)</f>
        <v>1.4852183290200003</v>
      </c>
      <c r="C8153" s="1">
        <v>4</v>
      </c>
    </row>
    <row r="8154" spans="1:3" x14ac:dyDescent="0.3">
      <c r="A8154" t="s">
        <v>8153</v>
      </c>
      <c r="B8154">
        <f>0*(1-0.8198)</f>
        <v>0</v>
      </c>
      <c r="C8154" s="1">
        <v>5</v>
      </c>
    </row>
    <row r="8155" spans="1:3" x14ac:dyDescent="0.3">
      <c r="A8155" t="s">
        <v>8154</v>
      </c>
      <c r="B8155">
        <f>0*(1-0.8198)</f>
        <v>0</v>
      </c>
      <c r="C8155" s="1">
        <v>4</v>
      </c>
    </row>
    <row r="8156" spans="1:3" x14ac:dyDescent="0.3">
      <c r="A8156" t="s">
        <v>8155</v>
      </c>
      <c r="B8156">
        <f>0*(1-0.8198)</f>
        <v>0</v>
      </c>
      <c r="C8156" s="1">
        <v>5</v>
      </c>
    </row>
    <row r="8157" spans="1:3" x14ac:dyDescent="0.3">
      <c r="A8157" t="s">
        <v>8156</v>
      </c>
      <c r="B8157">
        <f>0*(1-0.8198)</f>
        <v>0</v>
      </c>
      <c r="C8157" s="1">
        <v>4</v>
      </c>
    </row>
    <row r="8158" spans="1:3" x14ac:dyDescent="0.3">
      <c r="A8158" t="s">
        <v>8157</v>
      </c>
      <c r="B8158">
        <f>0*(1-0.8198)</f>
        <v>0</v>
      </c>
      <c r="C8158" s="1">
        <v>5</v>
      </c>
    </row>
    <row r="8159" spans="1:3" x14ac:dyDescent="0.3">
      <c r="A8159" t="s">
        <v>8158</v>
      </c>
      <c r="B8159">
        <f>0*(1-0.8198)</f>
        <v>0</v>
      </c>
      <c r="C8159" s="1">
        <v>4</v>
      </c>
    </row>
    <row r="8160" spans="1:3" x14ac:dyDescent="0.3">
      <c r="A8160" t="s">
        <v>8159</v>
      </c>
      <c r="B8160">
        <f>0*(1-0.8198)</f>
        <v>0</v>
      </c>
      <c r="C8160" s="1">
        <v>5</v>
      </c>
    </row>
    <row r="8161" spans="1:3" x14ac:dyDescent="0.3">
      <c r="A8161" t="s">
        <v>8160</v>
      </c>
      <c r="B8161">
        <f>0*(1-0.8198)</f>
        <v>0</v>
      </c>
      <c r="C8161" s="1">
        <v>4</v>
      </c>
    </row>
    <row r="8162" spans="1:3" x14ac:dyDescent="0.3">
      <c r="A8162" t="s">
        <v>8161</v>
      </c>
      <c r="B8162">
        <f>0*(1-0.8198)</f>
        <v>0</v>
      </c>
      <c r="C8162" s="1">
        <v>4</v>
      </c>
    </row>
    <row r="8163" spans="1:3" x14ac:dyDescent="0.3">
      <c r="A8163" t="s">
        <v>8162</v>
      </c>
      <c r="B8163">
        <f>0*(1-0.8198)</f>
        <v>0</v>
      </c>
      <c r="C8163" s="1">
        <v>4</v>
      </c>
    </row>
    <row r="8164" spans="1:3" x14ac:dyDescent="0.3">
      <c r="A8164" t="s">
        <v>8163</v>
      </c>
      <c r="B8164">
        <f>0*(1-0.8198)</f>
        <v>0</v>
      </c>
      <c r="C8164" s="1">
        <v>5</v>
      </c>
    </row>
    <row r="8165" spans="1:3" x14ac:dyDescent="0.3">
      <c r="A8165" t="s">
        <v>8164</v>
      </c>
      <c r="B8165">
        <f>0*(1-0.8198)</f>
        <v>0</v>
      </c>
      <c r="C8165" s="1">
        <v>4</v>
      </c>
    </row>
    <row r="8166" spans="1:3" x14ac:dyDescent="0.3">
      <c r="A8166" t="s">
        <v>8165</v>
      </c>
      <c r="B8166">
        <f>0*(1-0.8198)</f>
        <v>0</v>
      </c>
      <c r="C8166" s="1">
        <v>4</v>
      </c>
    </row>
    <row r="8167" spans="1:3" x14ac:dyDescent="0.3">
      <c r="A8167" t="s">
        <v>8166</v>
      </c>
      <c r="B8167">
        <f>0*(1-0.8198)</f>
        <v>0</v>
      </c>
      <c r="C8167" s="1">
        <v>4</v>
      </c>
    </row>
    <row r="8168" spans="1:3" x14ac:dyDescent="0.3">
      <c r="A8168" t="s">
        <v>8167</v>
      </c>
      <c r="B8168">
        <f>0*(1-0.8198)</f>
        <v>0</v>
      </c>
      <c r="C8168" s="1">
        <v>4</v>
      </c>
    </row>
    <row r="8169" spans="1:3" x14ac:dyDescent="0.3">
      <c r="A8169" t="s">
        <v>8168</v>
      </c>
      <c r="B8169">
        <f>0*(1-0.8198)</f>
        <v>0</v>
      </c>
      <c r="C8169" s="1">
        <v>5</v>
      </c>
    </row>
    <row r="8170" spans="1:3" x14ac:dyDescent="0.3">
      <c r="A8170" t="s">
        <v>8169</v>
      </c>
      <c r="B8170">
        <f>8.14555149*(1-0.8198)</f>
        <v>1.4678283784980006</v>
      </c>
      <c r="C8170" s="1">
        <v>4</v>
      </c>
    </row>
    <row r="8171" spans="1:3" x14ac:dyDescent="0.3">
      <c r="A8171" t="s">
        <v>8170</v>
      </c>
      <c r="B8171">
        <f>19.6944636628571*(1-0.8198)</f>
        <v>3.5489423520468582</v>
      </c>
      <c r="C8171" s="1">
        <v>4</v>
      </c>
    </row>
    <row r="8172" spans="1:3" x14ac:dyDescent="0.3">
      <c r="A8172" t="s">
        <v>8171</v>
      </c>
      <c r="B8172">
        <f>24.64020787*(1-0.8198)</f>
        <v>4.4401654581740022</v>
      </c>
      <c r="C8172" s="1">
        <v>4</v>
      </c>
    </row>
    <row r="8173" spans="1:3" x14ac:dyDescent="0.3">
      <c r="A8173" t="s">
        <v>8172</v>
      </c>
      <c r="B8173">
        <f>29.8536550885714*(1-0.8198)</f>
        <v>5.3796286469605734</v>
      </c>
      <c r="C8173" s="1">
        <v>4</v>
      </c>
    </row>
    <row r="8174" spans="1:3" x14ac:dyDescent="0.3">
      <c r="A8174" t="s">
        <v>8173</v>
      </c>
      <c r="B8174">
        <f>25.7843022971429*(1-0.8198)</f>
        <v>4.6463312739451448</v>
      </c>
      <c r="C8174" s="1">
        <v>5</v>
      </c>
    </row>
    <row r="8175" spans="1:3" x14ac:dyDescent="0.3">
      <c r="A8175" t="s">
        <v>8174</v>
      </c>
      <c r="B8175">
        <f>26.44419633*(1-0.8198)</f>
        <v>4.7652441786660011</v>
      </c>
      <c r="C8175" s="1">
        <v>4</v>
      </c>
    </row>
    <row r="8176" spans="1:3" x14ac:dyDescent="0.3">
      <c r="A8176" t="s">
        <v>8175</v>
      </c>
      <c r="B8176">
        <f>18.3322099642857*(1-0.8198)</f>
        <v>3.3034642355642867</v>
      </c>
      <c r="C8176" s="1">
        <v>4</v>
      </c>
    </row>
    <row r="8177" spans="1:3" x14ac:dyDescent="0.3">
      <c r="A8177" t="s">
        <v>8176</v>
      </c>
      <c r="B8177">
        <f>7.23887130428571*(1-0.8198)</f>
        <v>1.3044446090322859</v>
      </c>
      <c r="C8177" s="1">
        <v>4</v>
      </c>
    </row>
    <row r="8178" spans="1:3" x14ac:dyDescent="0.3">
      <c r="A8178" t="s">
        <v>8177</v>
      </c>
      <c r="B8178">
        <f>0*(1-0.8198)</f>
        <v>0</v>
      </c>
      <c r="C8178" s="1">
        <v>5</v>
      </c>
    </row>
    <row r="8179" spans="1:3" x14ac:dyDescent="0.3">
      <c r="A8179" t="s">
        <v>8178</v>
      </c>
      <c r="B8179">
        <f>0*(1-0.8198)</f>
        <v>0</v>
      </c>
      <c r="C8179" s="1">
        <v>4</v>
      </c>
    </row>
    <row r="8180" spans="1:3" x14ac:dyDescent="0.3">
      <c r="A8180" t="s">
        <v>8179</v>
      </c>
      <c r="B8180">
        <f>0*(1-0.8198)</f>
        <v>0</v>
      </c>
      <c r="C8180" s="1">
        <v>4</v>
      </c>
    </row>
    <row r="8181" spans="1:3" x14ac:dyDescent="0.3">
      <c r="A8181" t="s">
        <v>8180</v>
      </c>
      <c r="B8181">
        <f>0*(1-0.8198)</f>
        <v>0</v>
      </c>
      <c r="C8181" s="1">
        <v>4</v>
      </c>
    </row>
    <row r="8182" spans="1:3" x14ac:dyDescent="0.3">
      <c r="A8182" t="s">
        <v>8181</v>
      </c>
      <c r="B8182">
        <f>0*(1-0.8198)</f>
        <v>0</v>
      </c>
      <c r="C8182" s="1">
        <v>5</v>
      </c>
    </row>
    <row r="8183" spans="1:3" x14ac:dyDescent="0.3">
      <c r="A8183" t="s">
        <v>8182</v>
      </c>
      <c r="B8183">
        <f>0*(1-0.8198)</f>
        <v>0</v>
      </c>
      <c r="C8183" s="1">
        <v>4</v>
      </c>
    </row>
    <row r="8184" spans="1:3" x14ac:dyDescent="0.3">
      <c r="A8184" t="s">
        <v>8183</v>
      </c>
      <c r="B8184">
        <f>0*(1-0.8198)</f>
        <v>0</v>
      </c>
      <c r="C8184" s="1">
        <v>4</v>
      </c>
    </row>
    <row r="8185" spans="1:3" x14ac:dyDescent="0.3">
      <c r="A8185" t="s">
        <v>8184</v>
      </c>
      <c r="B8185">
        <f>0*(1-0.8198)</f>
        <v>0</v>
      </c>
      <c r="C8185" s="1">
        <v>4</v>
      </c>
    </row>
    <row r="8186" spans="1:3" x14ac:dyDescent="0.3">
      <c r="A8186" t="s">
        <v>8185</v>
      </c>
      <c r="B8186">
        <f>0*(1-0.8198)</f>
        <v>0</v>
      </c>
      <c r="C8186" s="1">
        <v>4</v>
      </c>
    </row>
    <row r="8187" spans="1:3" x14ac:dyDescent="0.3">
      <c r="A8187" t="s">
        <v>8186</v>
      </c>
      <c r="B8187">
        <f>0*(1-0.8198)</f>
        <v>0</v>
      </c>
      <c r="C8187" s="1">
        <v>4</v>
      </c>
    </row>
    <row r="8188" spans="1:3" x14ac:dyDescent="0.3">
      <c r="A8188" t="s">
        <v>8187</v>
      </c>
      <c r="B8188">
        <f>0*(1-0.8198)</f>
        <v>0</v>
      </c>
      <c r="C8188" s="1">
        <v>5</v>
      </c>
    </row>
    <row r="8189" spans="1:3" x14ac:dyDescent="0.3">
      <c r="A8189" t="s">
        <v>8188</v>
      </c>
      <c r="B8189">
        <f>0*(1-0.8198)</f>
        <v>0</v>
      </c>
      <c r="C8189" s="1">
        <v>4</v>
      </c>
    </row>
    <row r="8190" spans="1:3" x14ac:dyDescent="0.3">
      <c r="A8190" t="s">
        <v>8189</v>
      </c>
      <c r="B8190">
        <f>0*(1-0.8198)</f>
        <v>0</v>
      </c>
      <c r="C8190" s="1">
        <v>4</v>
      </c>
    </row>
    <row r="8191" spans="1:3" x14ac:dyDescent="0.3">
      <c r="A8191" t="s">
        <v>8190</v>
      </c>
      <c r="B8191">
        <f>0*(1-0.8198)</f>
        <v>0</v>
      </c>
      <c r="C8191" s="1">
        <v>5</v>
      </c>
    </row>
    <row r="8192" spans="1:3" x14ac:dyDescent="0.3">
      <c r="A8192" t="s">
        <v>8191</v>
      </c>
      <c r="B8192">
        <f>0*(1-0.8198)</f>
        <v>0</v>
      </c>
      <c r="C8192" s="1">
        <v>4</v>
      </c>
    </row>
    <row r="8193" spans="1:3" x14ac:dyDescent="0.3">
      <c r="A8193" t="s">
        <v>8192</v>
      </c>
      <c r="B8193">
        <f>0*(1-0.8198)</f>
        <v>0</v>
      </c>
      <c r="C8193" s="1">
        <v>4</v>
      </c>
    </row>
    <row r="8194" spans="1:3" x14ac:dyDescent="0.3">
      <c r="A8194" t="s">
        <v>8193</v>
      </c>
      <c r="B8194">
        <f>8.39927987*(1-0.8198)</f>
        <v>1.5135502325740007</v>
      </c>
      <c r="C8194" s="1">
        <v>4</v>
      </c>
    </row>
    <row r="8195" spans="1:3" x14ac:dyDescent="0.3">
      <c r="A8195" t="s">
        <v>8194</v>
      </c>
      <c r="B8195">
        <f>14.4722419871429*(1-0.8198)</f>
        <v>2.6078980060831443</v>
      </c>
      <c r="C8195" s="1">
        <v>4</v>
      </c>
    </row>
    <row r="8196" spans="1:3" x14ac:dyDescent="0.3">
      <c r="A8196" t="s">
        <v>8195</v>
      </c>
      <c r="B8196">
        <f>22.07901607*(1-0.8198)</f>
        <v>3.9786386958140003</v>
      </c>
      <c r="C8196" s="1">
        <v>4</v>
      </c>
    </row>
    <row r="8197" spans="1:3" x14ac:dyDescent="0.3">
      <c r="A8197" t="s">
        <v>8196</v>
      </c>
      <c r="B8197">
        <f>21.1584404342857*(1-0.8198)</f>
        <v>3.8127509662582857</v>
      </c>
      <c r="C8197" s="1">
        <v>4</v>
      </c>
    </row>
    <row r="8198" spans="1:3" x14ac:dyDescent="0.3">
      <c r="A8198" t="s">
        <v>8197</v>
      </c>
      <c r="B8198">
        <f>30.48539266*(1-0.8198)</f>
        <v>5.4934677573319997</v>
      </c>
      <c r="C8198" s="1">
        <v>5</v>
      </c>
    </row>
    <row r="8199" spans="1:3" x14ac:dyDescent="0.3">
      <c r="A8199" t="s">
        <v>8198</v>
      </c>
      <c r="B8199">
        <f>24.4351178342857*(1-0.8198)</f>
        <v>4.4032082337382876</v>
      </c>
      <c r="C8199" s="1">
        <v>4</v>
      </c>
    </row>
    <row r="8200" spans="1:3" x14ac:dyDescent="0.3">
      <c r="A8200" t="s">
        <v>8199</v>
      </c>
      <c r="B8200">
        <f>18.2576459371429*(1-0.8198)</f>
        <v>3.2900277978731434</v>
      </c>
      <c r="C8200" s="1">
        <v>4</v>
      </c>
    </row>
    <row r="8201" spans="1:3" x14ac:dyDescent="0.3">
      <c r="A8201" t="s">
        <v>8200</v>
      </c>
      <c r="B8201">
        <f>7.44836374142857*(1-0.8198)</f>
        <v>1.3421951462054289</v>
      </c>
      <c r="C8201" s="1">
        <v>4</v>
      </c>
    </row>
    <row r="8202" spans="1:3" x14ac:dyDescent="0.3">
      <c r="A8202" t="s">
        <v>8201</v>
      </c>
      <c r="B8202">
        <f>0*(1-0.8198)</f>
        <v>0</v>
      </c>
      <c r="C8202" s="1">
        <v>4</v>
      </c>
    </row>
    <row r="8203" spans="1:3" x14ac:dyDescent="0.3">
      <c r="A8203" t="s">
        <v>8202</v>
      </c>
      <c r="B8203">
        <f>0*(1-0.8198)</f>
        <v>0</v>
      </c>
      <c r="C8203" s="1">
        <v>5</v>
      </c>
    </row>
    <row r="8204" spans="1:3" x14ac:dyDescent="0.3">
      <c r="A8204" t="s">
        <v>8203</v>
      </c>
      <c r="B8204">
        <f>0*(1-0.8198)</f>
        <v>0</v>
      </c>
      <c r="C8204" s="1">
        <v>4</v>
      </c>
    </row>
    <row r="8205" spans="1:3" x14ac:dyDescent="0.3">
      <c r="A8205" t="s">
        <v>8204</v>
      </c>
      <c r="B8205">
        <f>0*(1-0.8198)</f>
        <v>0</v>
      </c>
      <c r="C8205" s="1">
        <v>4</v>
      </c>
    </row>
    <row r="8206" spans="1:3" x14ac:dyDescent="0.3">
      <c r="A8206" t="s">
        <v>8205</v>
      </c>
      <c r="B8206">
        <f>0*(1-0.8198)</f>
        <v>0</v>
      </c>
      <c r="C8206" s="1">
        <v>4</v>
      </c>
    </row>
    <row r="8207" spans="1:3" x14ac:dyDescent="0.3">
      <c r="A8207" t="s">
        <v>8206</v>
      </c>
      <c r="B8207">
        <f>0*(1-0.8198)</f>
        <v>0</v>
      </c>
      <c r="C8207" s="1">
        <v>4</v>
      </c>
    </row>
    <row r="8208" spans="1:3" x14ac:dyDescent="0.3">
      <c r="A8208" t="s">
        <v>8207</v>
      </c>
      <c r="B8208">
        <f>0*(1-0.8198)</f>
        <v>0</v>
      </c>
      <c r="C8208" s="1">
        <v>5</v>
      </c>
    </row>
    <row r="8209" spans="1:3" x14ac:dyDescent="0.3">
      <c r="A8209" t="s">
        <v>8208</v>
      </c>
      <c r="B8209">
        <f>0*(1-0.8198)</f>
        <v>0</v>
      </c>
      <c r="C8209" s="1">
        <v>4</v>
      </c>
    </row>
    <row r="8210" spans="1:3" x14ac:dyDescent="0.3">
      <c r="A8210" t="s">
        <v>8209</v>
      </c>
      <c r="B8210">
        <f>0*(1-0.8198)</f>
        <v>0</v>
      </c>
      <c r="C8210" s="1">
        <v>4</v>
      </c>
    </row>
    <row r="8211" spans="1:3" x14ac:dyDescent="0.3">
      <c r="A8211" t="s">
        <v>8210</v>
      </c>
      <c r="B8211">
        <f>0*(1-0.8198)</f>
        <v>0</v>
      </c>
      <c r="C8211" s="1">
        <v>4</v>
      </c>
    </row>
    <row r="8212" spans="1:3" x14ac:dyDescent="0.3">
      <c r="A8212" t="s">
        <v>8211</v>
      </c>
      <c r="B8212">
        <f>0*(1-0.8198)</f>
        <v>0</v>
      </c>
      <c r="C8212" s="1">
        <v>4</v>
      </c>
    </row>
    <row r="8213" spans="1:3" x14ac:dyDescent="0.3">
      <c r="A8213" t="s">
        <v>8212</v>
      </c>
      <c r="B8213">
        <f>0*(1-0.8198)</f>
        <v>0</v>
      </c>
      <c r="C8213" s="1">
        <v>4</v>
      </c>
    </row>
    <row r="8214" spans="1:3" x14ac:dyDescent="0.3">
      <c r="A8214" t="s">
        <v>8213</v>
      </c>
      <c r="B8214">
        <f>0*(1-0.8198)</f>
        <v>0</v>
      </c>
      <c r="C8214" s="1">
        <v>4</v>
      </c>
    </row>
    <row r="8215" spans="1:3" x14ac:dyDescent="0.3">
      <c r="A8215" t="s">
        <v>8214</v>
      </c>
      <c r="B8215">
        <f>0*(1-0.8198)</f>
        <v>0</v>
      </c>
      <c r="C8215" s="1">
        <v>5</v>
      </c>
    </row>
    <row r="8216" spans="1:3" x14ac:dyDescent="0.3">
      <c r="A8216" t="s">
        <v>8215</v>
      </c>
      <c r="B8216">
        <f>0*(1-0.8198)</f>
        <v>0</v>
      </c>
      <c r="C8216" s="1">
        <v>4</v>
      </c>
    </row>
    <row r="8217" spans="1:3" x14ac:dyDescent="0.3">
      <c r="A8217" t="s">
        <v>8216</v>
      </c>
      <c r="B8217">
        <f>0*(1-0.8198)</f>
        <v>0</v>
      </c>
      <c r="C8217" s="1">
        <v>13</v>
      </c>
    </row>
    <row r="8218" spans="1:3" x14ac:dyDescent="0.3">
      <c r="A8218" t="s">
        <v>8217</v>
      </c>
      <c r="B8218">
        <f>9.01672178428572*(1-0.8198)</f>
        <v>1.6248132655282863</v>
      </c>
      <c r="C8218" s="1">
        <v>14</v>
      </c>
    </row>
    <row r="8219" spans="1:3" x14ac:dyDescent="0.3">
      <c r="A8219" t="s">
        <v>8218</v>
      </c>
      <c r="B8219">
        <f>6.00008141714286*(1-0.8198)</f>
        <v>1.0812146713691431</v>
      </c>
      <c r="C8219" s="1">
        <v>14</v>
      </c>
    </row>
    <row r="8220" spans="1:3" x14ac:dyDescent="0.3">
      <c r="A8220" t="s">
        <v>8219</v>
      </c>
      <c r="B8220">
        <f>24.5966212885714*(1-0.8198)</f>
        <v>4.4323111562005728</v>
      </c>
      <c r="C8220" s="1">
        <v>21</v>
      </c>
    </row>
    <row r="8221" spans="1:3" x14ac:dyDescent="0.3">
      <c r="A8221" t="s">
        <v>8220</v>
      </c>
      <c r="B8221">
        <f>27.9951361171429*(1-0.8198)</f>
        <v>5.0447235283091443</v>
      </c>
      <c r="C8221" s="1">
        <v>15</v>
      </c>
    </row>
    <row r="8222" spans="1:3" x14ac:dyDescent="0.3">
      <c r="A8222" t="s">
        <v>8221</v>
      </c>
      <c r="B8222">
        <f>27.91565031*(1-0.8198)</f>
        <v>5.0304001858620007</v>
      </c>
      <c r="C8222" s="1">
        <v>14</v>
      </c>
    </row>
    <row r="8223" spans="1:3" x14ac:dyDescent="0.3">
      <c r="A8223" t="s">
        <v>8222</v>
      </c>
      <c r="B8223">
        <f>23.6215536571429*(1-0.8198)</f>
        <v>4.256603969017144</v>
      </c>
      <c r="C8223" s="1">
        <v>18</v>
      </c>
    </row>
    <row r="8224" spans="1:3" x14ac:dyDescent="0.3">
      <c r="A8224" t="s">
        <v>8223</v>
      </c>
      <c r="B8224">
        <f>16.2518811442857*(1-0.8198)</f>
        <v>2.9285889822002868</v>
      </c>
      <c r="C8224" s="1">
        <v>12</v>
      </c>
    </row>
    <row r="8225" spans="1:3" x14ac:dyDescent="0.3">
      <c r="A8225" t="s">
        <v>8224</v>
      </c>
      <c r="B8225">
        <f>7.19614073*(1-0.8198)</f>
        <v>1.2967445595460001</v>
      </c>
      <c r="C8225" s="1">
        <v>12</v>
      </c>
    </row>
    <row r="8226" spans="1:3" x14ac:dyDescent="0.3">
      <c r="A8226" t="s">
        <v>8225</v>
      </c>
      <c r="B8226">
        <f>0*(1-0.8198)</f>
        <v>0</v>
      </c>
      <c r="C8226" s="1">
        <v>11</v>
      </c>
    </row>
    <row r="8227" spans="1:3" x14ac:dyDescent="0.3">
      <c r="A8227" t="s">
        <v>8226</v>
      </c>
      <c r="B8227">
        <f>0*(1-0.8198)</f>
        <v>0</v>
      </c>
      <c r="C8227" s="1">
        <v>9</v>
      </c>
    </row>
    <row r="8228" spans="1:3" x14ac:dyDescent="0.3">
      <c r="A8228" t="s">
        <v>8227</v>
      </c>
      <c r="B8228">
        <f>0*(1-0.8198)</f>
        <v>0</v>
      </c>
      <c r="C8228" s="1">
        <v>10</v>
      </c>
    </row>
    <row r="8229" spans="1:3" x14ac:dyDescent="0.3">
      <c r="A8229" t="s">
        <v>8228</v>
      </c>
      <c r="B8229">
        <f>0*(1-0.8198)</f>
        <v>0</v>
      </c>
      <c r="C8229" s="1">
        <v>9</v>
      </c>
    </row>
    <row r="8230" spans="1:3" x14ac:dyDescent="0.3">
      <c r="A8230" t="s">
        <v>8229</v>
      </c>
      <c r="B8230">
        <f>0*(1-0.8198)</f>
        <v>0</v>
      </c>
      <c r="C8230" s="1">
        <v>8</v>
      </c>
    </row>
    <row r="8231" spans="1:3" x14ac:dyDescent="0.3">
      <c r="A8231" t="s">
        <v>8230</v>
      </c>
      <c r="B8231">
        <f>0*(1-0.8198)</f>
        <v>0</v>
      </c>
      <c r="C8231" s="1">
        <v>8</v>
      </c>
    </row>
    <row r="8232" spans="1:3" x14ac:dyDescent="0.3">
      <c r="A8232" t="s">
        <v>8231</v>
      </c>
      <c r="B8232">
        <f>0*(1-0.8198)</f>
        <v>0</v>
      </c>
      <c r="C8232" s="1">
        <v>7</v>
      </c>
    </row>
    <row r="8233" spans="1:3" x14ac:dyDescent="0.3">
      <c r="A8233" t="s">
        <v>8232</v>
      </c>
      <c r="B8233">
        <f>0*(1-0.8198)</f>
        <v>0</v>
      </c>
      <c r="C8233" s="1">
        <v>6</v>
      </c>
    </row>
    <row r="8234" spans="1:3" x14ac:dyDescent="0.3">
      <c r="A8234" t="s">
        <v>8233</v>
      </c>
      <c r="B8234">
        <f>0*(1-0.8198)</f>
        <v>0</v>
      </c>
      <c r="C8234" s="1">
        <v>4</v>
      </c>
    </row>
    <row r="8235" spans="1:3" x14ac:dyDescent="0.3">
      <c r="A8235" t="s">
        <v>8234</v>
      </c>
      <c r="B8235">
        <f>0*(1-0.8198)</f>
        <v>0</v>
      </c>
      <c r="C8235" s="1">
        <v>5</v>
      </c>
    </row>
    <row r="8236" spans="1:3" x14ac:dyDescent="0.3">
      <c r="A8236" t="s">
        <v>8235</v>
      </c>
      <c r="B8236">
        <f>0*(1-0.8198)</f>
        <v>0</v>
      </c>
      <c r="C8236" s="1">
        <v>5</v>
      </c>
    </row>
    <row r="8237" spans="1:3" x14ac:dyDescent="0.3">
      <c r="A8237" t="s">
        <v>8236</v>
      </c>
      <c r="B8237">
        <f>0*(1-0.8198)</f>
        <v>0</v>
      </c>
      <c r="C8237" s="1">
        <v>4</v>
      </c>
    </row>
    <row r="8238" spans="1:3" x14ac:dyDescent="0.3">
      <c r="A8238" t="s">
        <v>8237</v>
      </c>
      <c r="B8238">
        <f>0*(1-0.8198)</f>
        <v>0</v>
      </c>
      <c r="C8238" s="1">
        <v>4</v>
      </c>
    </row>
    <row r="8239" spans="1:3" x14ac:dyDescent="0.3">
      <c r="A8239" t="s">
        <v>8238</v>
      </c>
      <c r="B8239">
        <f>0*(1-0.8198)</f>
        <v>0</v>
      </c>
      <c r="C8239" s="1">
        <v>4</v>
      </c>
    </row>
    <row r="8240" spans="1:3" x14ac:dyDescent="0.3">
      <c r="A8240" t="s">
        <v>8239</v>
      </c>
      <c r="B8240">
        <f>0*(1-0.8198)</f>
        <v>0</v>
      </c>
      <c r="C8240" s="1">
        <v>5</v>
      </c>
    </row>
    <row r="8241" spans="1:3" x14ac:dyDescent="0.3">
      <c r="A8241" t="s">
        <v>8240</v>
      </c>
      <c r="B8241">
        <f>0*(1-0.8198)</f>
        <v>0</v>
      </c>
      <c r="C8241" s="1">
        <v>10</v>
      </c>
    </row>
    <row r="8242" spans="1:3" x14ac:dyDescent="0.3">
      <c r="A8242" t="s">
        <v>8241</v>
      </c>
      <c r="B8242">
        <f>8.86325318714286*(1-0.8198)</f>
        <v>1.5971582243231428</v>
      </c>
      <c r="C8242" s="1">
        <v>14</v>
      </c>
    </row>
    <row r="8243" spans="1:3" x14ac:dyDescent="0.3">
      <c r="A8243" t="s">
        <v>8242</v>
      </c>
      <c r="B8243">
        <f>18.7966304814286*(1-0.8198)</f>
        <v>3.3871528127534294</v>
      </c>
      <c r="C8243" s="1">
        <v>20</v>
      </c>
    </row>
    <row r="8244" spans="1:3" x14ac:dyDescent="0.3">
      <c r="A8244" t="s">
        <v>8243</v>
      </c>
      <c r="B8244">
        <f>25.8663488157143*(1-0.8198)</f>
        <v>4.661116056591716</v>
      </c>
      <c r="C8244" s="1">
        <v>19</v>
      </c>
    </row>
    <row r="8245" spans="1:3" x14ac:dyDescent="0.3">
      <c r="A8245" t="s">
        <v>8244</v>
      </c>
      <c r="B8245">
        <f>28.9715282714286*(1-0.8198)</f>
        <v>5.2206693945114298</v>
      </c>
      <c r="C8245" s="1">
        <v>17</v>
      </c>
    </row>
    <row r="8246" spans="1:3" x14ac:dyDescent="0.3">
      <c r="A8246" t="s">
        <v>8245</v>
      </c>
      <c r="B8246">
        <f>28.97260966*(1-0.8198)</f>
        <v>5.2208642607320019</v>
      </c>
      <c r="C8246" s="1">
        <v>14</v>
      </c>
    </row>
    <row r="8247" spans="1:3" x14ac:dyDescent="0.3">
      <c r="A8247" t="s">
        <v>8246</v>
      </c>
      <c r="B8247">
        <f>23.8218758528571*(1-0.8198)</f>
        <v>4.2927020286848574</v>
      </c>
      <c r="C8247" s="1">
        <v>13</v>
      </c>
    </row>
    <row r="8248" spans="1:3" x14ac:dyDescent="0.3">
      <c r="A8248" t="s">
        <v>8247</v>
      </c>
      <c r="B8248">
        <f>14.38094408*(1-0.8198)</f>
        <v>2.5914461232160004</v>
      </c>
      <c r="C8248" s="1">
        <v>15</v>
      </c>
    </row>
    <row r="8249" spans="1:3" x14ac:dyDescent="0.3">
      <c r="A8249" t="s">
        <v>8248</v>
      </c>
      <c r="B8249">
        <f>6.90281033285714*(1-0.8198)</f>
        <v>1.2438864219808574</v>
      </c>
      <c r="C8249" s="1">
        <v>12</v>
      </c>
    </row>
    <row r="8250" spans="1:3" x14ac:dyDescent="0.3">
      <c r="A8250" t="s">
        <v>8249</v>
      </c>
      <c r="B8250">
        <f>0*(1-0.8198)</f>
        <v>0</v>
      </c>
      <c r="C8250" s="1">
        <v>11</v>
      </c>
    </row>
    <row r="8251" spans="1:3" x14ac:dyDescent="0.3">
      <c r="A8251" t="s">
        <v>8250</v>
      </c>
      <c r="B8251">
        <f>0*(1-0.8198)</f>
        <v>0</v>
      </c>
      <c r="C8251" s="1">
        <v>9</v>
      </c>
    </row>
    <row r="8252" spans="1:3" x14ac:dyDescent="0.3">
      <c r="A8252" t="s">
        <v>8251</v>
      </c>
      <c r="B8252">
        <f>0*(1-0.8198)</f>
        <v>0</v>
      </c>
      <c r="C8252" s="1">
        <v>9</v>
      </c>
    </row>
    <row r="8253" spans="1:3" x14ac:dyDescent="0.3">
      <c r="A8253" t="s">
        <v>8252</v>
      </c>
      <c r="B8253">
        <f>0*(1-0.8198)</f>
        <v>0</v>
      </c>
      <c r="C8253" s="1">
        <v>9</v>
      </c>
    </row>
    <row r="8254" spans="1:3" x14ac:dyDescent="0.3">
      <c r="A8254" t="s">
        <v>8253</v>
      </c>
      <c r="B8254">
        <f>0*(1-0.8198)</f>
        <v>0</v>
      </c>
      <c r="C8254" s="1">
        <v>8</v>
      </c>
    </row>
    <row r="8255" spans="1:3" x14ac:dyDescent="0.3">
      <c r="A8255" t="s">
        <v>8254</v>
      </c>
      <c r="B8255">
        <f>0*(1-0.8198)</f>
        <v>0</v>
      </c>
      <c r="C8255" s="1">
        <v>6</v>
      </c>
    </row>
    <row r="8256" spans="1:3" x14ac:dyDescent="0.3">
      <c r="A8256" t="s">
        <v>8255</v>
      </c>
      <c r="B8256">
        <f>0*(1-0.8198)</f>
        <v>0</v>
      </c>
      <c r="C8256" s="1">
        <v>7</v>
      </c>
    </row>
    <row r="8257" spans="1:3" x14ac:dyDescent="0.3">
      <c r="A8257" t="s">
        <v>8256</v>
      </c>
      <c r="B8257">
        <f>0*(1-0.8198)</f>
        <v>0</v>
      </c>
      <c r="C8257" s="1">
        <v>6</v>
      </c>
    </row>
    <row r="8258" spans="1:3" x14ac:dyDescent="0.3">
      <c r="A8258" t="s">
        <v>8257</v>
      </c>
      <c r="B8258">
        <f>0*(1-0.8198)</f>
        <v>0</v>
      </c>
      <c r="C8258" s="1">
        <v>4</v>
      </c>
    </row>
    <row r="8259" spans="1:3" x14ac:dyDescent="0.3">
      <c r="A8259" t="s">
        <v>8258</v>
      </c>
      <c r="B8259">
        <f>0*(1-0.8198)</f>
        <v>0</v>
      </c>
      <c r="C8259" s="1">
        <v>4</v>
      </c>
    </row>
    <row r="8260" spans="1:3" x14ac:dyDescent="0.3">
      <c r="A8260" t="s">
        <v>8259</v>
      </c>
      <c r="B8260">
        <f>0*(1-0.8198)</f>
        <v>0</v>
      </c>
      <c r="C8260" s="1">
        <v>4</v>
      </c>
    </row>
    <row r="8261" spans="1:3" x14ac:dyDescent="0.3">
      <c r="A8261" t="s">
        <v>8260</v>
      </c>
      <c r="B8261">
        <f>0*(1-0.8198)</f>
        <v>0</v>
      </c>
      <c r="C8261" s="1">
        <v>4</v>
      </c>
    </row>
    <row r="8262" spans="1:3" x14ac:dyDescent="0.3">
      <c r="A8262" t="s">
        <v>8261</v>
      </c>
      <c r="B8262">
        <f>0*(1-0.8198)</f>
        <v>0</v>
      </c>
      <c r="C8262" s="1">
        <v>5</v>
      </c>
    </row>
    <row r="8263" spans="1:3" x14ac:dyDescent="0.3">
      <c r="A8263" t="s">
        <v>8262</v>
      </c>
      <c r="B8263">
        <f>0*(1-0.8198)</f>
        <v>0</v>
      </c>
      <c r="C8263" s="1">
        <v>4</v>
      </c>
    </row>
    <row r="8264" spans="1:3" x14ac:dyDescent="0.3">
      <c r="A8264" t="s">
        <v>8263</v>
      </c>
      <c r="B8264">
        <f>0*(1-0.8198)</f>
        <v>0</v>
      </c>
      <c r="C8264" s="1">
        <v>4</v>
      </c>
    </row>
    <row r="8265" spans="1:3" x14ac:dyDescent="0.3">
      <c r="A8265" t="s">
        <v>8264</v>
      </c>
      <c r="B8265">
        <f>0*(1-0.8198)</f>
        <v>0</v>
      </c>
      <c r="C8265" s="1">
        <v>11</v>
      </c>
    </row>
    <row r="8266" spans="1:3" x14ac:dyDescent="0.3">
      <c r="A8266" t="s">
        <v>8265</v>
      </c>
      <c r="B8266">
        <f>5.98771977714286*(1-0.8198)</f>
        <v>1.0789871038411432</v>
      </c>
      <c r="C8266" s="1">
        <v>14</v>
      </c>
    </row>
    <row r="8267" spans="1:3" x14ac:dyDescent="0.3">
      <c r="A8267" t="s">
        <v>8266</v>
      </c>
      <c r="B8267">
        <f>12.4589986342857*(1-0.8198)</f>
        <v>2.245111553898286</v>
      </c>
      <c r="C8267" s="1">
        <v>20</v>
      </c>
    </row>
    <row r="8268" spans="1:3" x14ac:dyDescent="0.3">
      <c r="A8268" t="s">
        <v>8267</v>
      </c>
      <c r="B8268">
        <f>21.3661750928571*(1-0.8198)</f>
        <v>3.8501847517328578</v>
      </c>
      <c r="C8268" s="1">
        <v>21</v>
      </c>
    </row>
    <row r="8269" spans="1:3" x14ac:dyDescent="0.3">
      <c r="A8269" t="s">
        <v>8268</v>
      </c>
      <c r="B8269">
        <f>23.9949506071429*(1-0.8198)</f>
        <v>4.3238900994071434</v>
      </c>
      <c r="C8269" s="1">
        <v>21</v>
      </c>
    </row>
    <row r="8270" spans="1:3" x14ac:dyDescent="0.3">
      <c r="A8270" t="s">
        <v>8269</v>
      </c>
      <c r="B8270">
        <f>26.0496978057143*(1-0.8198)</f>
        <v>4.6941555445897158</v>
      </c>
      <c r="C8270" s="1">
        <v>17</v>
      </c>
    </row>
    <row r="8271" spans="1:3" x14ac:dyDescent="0.3">
      <c r="A8271" t="s">
        <v>8270</v>
      </c>
      <c r="B8271">
        <f>20.93036868*(1-0.8198)</f>
        <v>3.7716524361360015</v>
      </c>
      <c r="C8271" s="1">
        <v>17</v>
      </c>
    </row>
    <row r="8272" spans="1:3" x14ac:dyDescent="0.3">
      <c r="A8272" t="s">
        <v>8271</v>
      </c>
      <c r="B8272">
        <f>6.63004996857143*(1-0.8198)</f>
        <v>1.1947350043365719</v>
      </c>
      <c r="C8272" s="1">
        <v>15</v>
      </c>
    </row>
    <row r="8273" spans="1:3" x14ac:dyDescent="0.3">
      <c r="A8273" t="s">
        <v>8272</v>
      </c>
      <c r="B8273">
        <f>3.96479792285714*(1-0.8198)</f>
        <v>0.71445658569885717</v>
      </c>
      <c r="C8273" s="1">
        <v>12</v>
      </c>
    </row>
    <row r="8274" spans="1:3" x14ac:dyDescent="0.3">
      <c r="A8274" t="s">
        <v>8273</v>
      </c>
      <c r="B8274">
        <f>0*(1-0.8198)</f>
        <v>0</v>
      </c>
      <c r="C8274" s="1">
        <v>11</v>
      </c>
    </row>
    <row r="8275" spans="1:3" x14ac:dyDescent="0.3">
      <c r="A8275" t="s">
        <v>8274</v>
      </c>
      <c r="B8275">
        <f>0*(1-0.8198)</f>
        <v>0</v>
      </c>
      <c r="C8275" s="1">
        <v>10</v>
      </c>
    </row>
    <row r="8276" spans="1:3" x14ac:dyDescent="0.3">
      <c r="A8276" t="s">
        <v>8275</v>
      </c>
      <c r="B8276">
        <f>0*(1-0.8198)</f>
        <v>0</v>
      </c>
      <c r="C8276" s="1">
        <v>9</v>
      </c>
    </row>
    <row r="8277" spans="1:3" x14ac:dyDescent="0.3">
      <c r="A8277" t="s">
        <v>8276</v>
      </c>
      <c r="B8277">
        <f>0*(1-0.8198)</f>
        <v>0</v>
      </c>
      <c r="C8277" s="1">
        <v>9</v>
      </c>
    </row>
    <row r="8278" spans="1:3" x14ac:dyDescent="0.3">
      <c r="A8278" t="s">
        <v>8277</v>
      </c>
      <c r="B8278">
        <f>0*(1-0.8198)</f>
        <v>0</v>
      </c>
      <c r="C8278" s="1">
        <v>8</v>
      </c>
    </row>
    <row r="8279" spans="1:3" x14ac:dyDescent="0.3">
      <c r="A8279" t="s">
        <v>8278</v>
      </c>
      <c r="B8279">
        <f>0*(1-0.8198)</f>
        <v>0</v>
      </c>
      <c r="C8279" s="1">
        <v>7</v>
      </c>
    </row>
    <row r="8280" spans="1:3" x14ac:dyDescent="0.3">
      <c r="A8280" t="s">
        <v>8279</v>
      </c>
      <c r="B8280">
        <f>0*(1-0.8198)</f>
        <v>0</v>
      </c>
      <c r="C8280" s="1">
        <v>6</v>
      </c>
    </row>
    <row r="8281" spans="1:3" x14ac:dyDescent="0.3">
      <c r="A8281" t="s">
        <v>8280</v>
      </c>
      <c r="B8281">
        <f>0*(1-0.8198)</f>
        <v>0</v>
      </c>
      <c r="C8281" s="1">
        <v>6</v>
      </c>
    </row>
    <row r="8282" spans="1:3" x14ac:dyDescent="0.3">
      <c r="A8282" t="s">
        <v>8281</v>
      </c>
      <c r="B8282">
        <f>0*(1-0.8198)</f>
        <v>0</v>
      </c>
      <c r="C8282" s="1">
        <v>5</v>
      </c>
    </row>
    <row r="8283" spans="1:3" x14ac:dyDescent="0.3">
      <c r="A8283" t="s">
        <v>8282</v>
      </c>
      <c r="B8283">
        <f>0*(1-0.8198)</f>
        <v>0</v>
      </c>
      <c r="C8283" s="1">
        <v>4</v>
      </c>
    </row>
    <row r="8284" spans="1:3" x14ac:dyDescent="0.3">
      <c r="A8284" t="s">
        <v>8283</v>
      </c>
      <c r="B8284">
        <f>0*(1-0.8198)</f>
        <v>0</v>
      </c>
      <c r="C8284" s="1">
        <v>5</v>
      </c>
    </row>
    <row r="8285" spans="1:3" x14ac:dyDescent="0.3">
      <c r="A8285" t="s">
        <v>8284</v>
      </c>
      <c r="B8285">
        <f>0*(1-0.8198)</f>
        <v>0</v>
      </c>
      <c r="C8285" s="1">
        <v>4</v>
      </c>
    </row>
    <row r="8286" spans="1:3" x14ac:dyDescent="0.3">
      <c r="A8286" t="s">
        <v>8285</v>
      </c>
      <c r="B8286">
        <f>0*(1-0.8198)</f>
        <v>0</v>
      </c>
      <c r="C8286" s="1">
        <v>4</v>
      </c>
    </row>
    <row r="8287" spans="1:3" x14ac:dyDescent="0.3">
      <c r="A8287" t="s">
        <v>8286</v>
      </c>
      <c r="B8287">
        <f>0*(1-0.8198)</f>
        <v>0</v>
      </c>
      <c r="C8287" s="1">
        <v>4</v>
      </c>
    </row>
    <row r="8288" spans="1:3" x14ac:dyDescent="0.3">
      <c r="A8288" t="s">
        <v>8287</v>
      </c>
      <c r="B8288">
        <f>0*(1-0.8198)</f>
        <v>0</v>
      </c>
      <c r="C8288" s="1">
        <v>4</v>
      </c>
    </row>
    <row r="8289" spans="1:3" x14ac:dyDescent="0.3">
      <c r="A8289" t="s">
        <v>8288</v>
      </c>
      <c r="B8289">
        <f>0*(1-0.8198)</f>
        <v>0</v>
      </c>
      <c r="C8289" s="1">
        <v>11</v>
      </c>
    </row>
    <row r="8290" spans="1:3" x14ac:dyDescent="0.3">
      <c r="A8290" t="s">
        <v>8289</v>
      </c>
      <c r="B8290">
        <f>2.13243314857143*(1-0.8198)</f>
        <v>0.38426445337257154</v>
      </c>
      <c r="C8290" s="1">
        <v>15</v>
      </c>
    </row>
    <row r="8291" spans="1:3" x14ac:dyDescent="0.3">
      <c r="A8291" t="s">
        <v>8290</v>
      </c>
      <c r="B8291">
        <f>5.2669496*(1-0.8198)</f>
        <v>0.94910431792000016</v>
      </c>
      <c r="C8291" s="1">
        <v>22</v>
      </c>
    </row>
    <row r="8292" spans="1:3" x14ac:dyDescent="0.3">
      <c r="A8292" t="s">
        <v>8291</v>
      </c>
      <c r="B8292">
        <f>8.75574243714286*(1-0.8198)</f>
        <v>1.5777847871731434</v>
      </c>
      <c r="C8292" s="1">
        <v>20</v>
      </c>
    </row>
    <row r="8293" spans="1:3" x14ac:dyDescent="0.3">
      <c r="A8293" t="s">
        <v>8292</v>
      </c>
      <c r="B8293">
        <f>10.6762344214286*(1-0.8198)</f>
        <v>1.9238574427414288</v>
      </c>
      <c r="C8293" s="1">
        <v>16</v>
      </c>
    </row>
    <row r="8294" spans="1:3" x14ac:dyDescent="0.3">
      <c r="A8294" t="s">
        <v>8293</v>
      </c>
      <c r="B8294">
        <f>12.63386569*(1-0.8198)</f>
        <v>2.2766225973380005</v>
      </c>
      <c r="C8294" s="1">
        <v>16</v>
      </c>
    </row>
    <row r="8295" spans="1:3" x14ac:dyDescent="0.3">
      <c r="A8295" t="s">
        <v>8294</v>
      </c>
      <c r="B8295">
        <f>13.1235519014286*(1-0.8198)</f>
        <v>2.3648640526374294</v>
      </c>
      <c r="C8295" s="1">
        <v>15</v>
      </c>
    </row>
    <row r="8296" spans="1:3" x14ac:dyDescent="0.3">
      <c r="A8296" t="s">
        <v>8295</v>
      </c>
      <c r="B8296">
        <f>9.17789426142857*(1-0.8198)</f>
        <v>1.6538565459094292</v>
      </c>
      <c r="C8296" s="1">
        <v>15</v>
      </c>
    </row>
    <row r="8297" spans="1:3" x14ac:dyDescent="0.3">
      <c r="A8297" t="s">
        <v>8296</v>
      </c>
      <c r="B8297">
        <f>3.72967048285714*(1-0.8198)</f>
        <v>0.67208662101085714</v>
      </c>
      <c r="C8297" s="1">
        <v>12</v>
      </c>
    </row>
    <row r="8298" spans="1:3" x14ac:dyDescent="0.3">
      <c r="A8298" t="s">
        <v>8297</v>
      </c>
      <c r="B8298">
        <f>0*(1-0.8198)</f>
        <v>0</v>
      </c>
      <c r="C8298" s="1">
        <v>11</v>
      </c>
    </row>
    <row r="8299" spans="1:3" x14ac:dyDescent="0.3">
      <c r="A8299" t="s">
        <v>8298</v>
      </c>
      <c r="B8299">
        <f>0*(1-0.8198)</f>
        <v>0</v>
      </c>
      <c r="C8299" s="1">
        <v>11</v>
      </c>
    </row>
    <row r="8300" spans="1:3" x14ac:dyDescent="0.3">
      <c r="A8300" t="s">
        <v>8299</v>
      </c>
      <c r="B8300">
        <f>0*(1-0.8198)</f>
        <v>0</v>
      </c>
      <c r="C8300" s="1">
        <v>10</v>
      </c>
    </row>
    <row r="8301" spans="1:3" x14ac:dyDescent="0.3">
      <c r="A8301" t="s">
        <v>8300</v>
      </c>
      <c r="B8301">
        <f>0*(1-0.8198)</f>
        <v>0</v>
      </c>
      <c r="C8301" s="1">
        <v>9</v>
      </c>
    </row>
    <row r="8302" spans="1:3" x14ac:dyDescent="0.3">
      <c r="A8302" t="s">
        <v>8301</v>
      </c>
      <c r="B8302">
        <f>0*(1-0.8198)</f>
        <v>0</v>
      </c>
      <c r="C8302" s="1">
        <v>9</v>
      </c>
    </row>
    <row r="8303" spans="1:3" x14ac:dyDescent="0.3">
      <c r="A8303" t="s">
        <v>8302</v>
      </c>
      <c r="B8303">
        <f>0*(1-0.8198)</f>
        <v>0</v>
      </c>
      <c r="C8303" s="1">
        <v>7</v>
      </c>
    </row>
    <row r="8304" spans="1:3" x14ac:dyDescent="0.3">
      <c r="A8304" t="s">
        <v>8303</v>
      </c>
      <c r="B8304">
        <f>0*(1-0.8198)</f>
        <v>0</v>
      </c>
      <c r="C8304" s="1">
        <v>6</v>
      </c>
    </row>
    <row r="8305" spans="1:3" x14ac:dyDescent="0.3">
      <c r="A8305" t="s">
        <v>8304</v>
      </c>
      <c r="B8305">
        <f>0*(1-0.8198)</f>
        <v>0</v>
      </c>
      <c r="C8305" s="1">
        <v>7</v>
      </c>
    </row>
    <row r="8306" spans="1:3" x14ac:dyDescent="0.3">
      <c r="A8306" t="s">
        <v>8305</v>
      </c>
      <c r="B8306">
        <f>0*(1-0.8198)</f>
        <v>0</v>
      </c>
      <c r="C8306" s="1">
        <v>5</v>
      </c>
    </row>
    <row r="8307" spans="1:3" x14ac:dyDescent="0.3">
      <c r="A8307" t="s">
        <v>8306</v>
      </c>
      <c r="B8307">
        <f>0*(1-0.8198)</f>
        <v>0</v>
      </c>
      <c r="C8307" s="1">
        <v>4</v>
      </c>
    </row>
    <row r="8308" spans="1:3" x14ac:dyDescent="0.3">
      <c r="A8308" t="s">
        <v>8307</v>
      </c>
      <c r="B8308">
        <f>0*(1-0.8198)</f>
        <v>0</v>
      </c>
      <c r="C8308" s="1">
        <v>5</v>
      </c>
    </row>
    <row r="8309" spans="1:3" x14ac:dyDescent="0.3">
      <c r="A8309" t="s">
        <v>8308</v>
      </c>
      <c r="B8309">
        <f>0*(1-0.8198)</f>
        <v>0</v>
      </c>
      <c r="C8309" s="1">
        <v>4</v>
      </c>
    </row>
    <row r="8310" spans="1:3" x14ac:dyDescent="0.3">
      <c r="A8310" t="s">
        <v>8309</v>
      </c>
      <c r="B8310">
        <f>0*(1-0.8198)</f>
        <v>0</v>
      </c>
      <c r="C8310" s="1">
        <v>5</v>
      </c>
    </row>
    <row r="8311" spans="1:3" x14ac:dyDescent="0.3">
      <c r="A8311" t="s">
        <v>8310</v>
      </c>
      <c r="B8311">
        <f>0*(1-0.8198)</f>
        <v>0</v>
      </c>
      <c r="C8311" s="1">
        <v>4</v>
      </c>
    </row>
    <row r="8312" spans="1:3" x14ac:dyDescent="0.3">
      <c r="A8312" t="s">
        <v>8311</v>
      </c>
      <c r="B8312">
        <f>0*(1-0.8198)</f>
        <v>0</v>
      </c>
      <c r="C8312" s="1">
        <v>5</v>
      </c>
    </row>
    <row r="8313" spans="1:3" x14ac:dyDescent="0.3">
      <c r="A8313" t="s">
        <v>8312</v>
      </c>
      <c r="B8313">
        <f>0*(1-0.8198)</f>
        <v>0</v>
      </c>
      <c r="C8313" s="1">
        <v>10</v>
      </c>
    </row>
    <row r="8314" spans="1:3" x14ac:dyDescent="0.3">
      <c r="A8314" t="s">
        <v>8313</v>
      </c>
      <c r="B8314">
        <f>1.347276*(1-0.8198)</f>
        <v>0.24277913520000005</v>
      </c>
      <c r="C8314" s="1">
        <v>14</v>
      </c>
    </row>
    <row r="8315" spans="1:3" x14ac:dyDescent="0.3">
      <c r="A8315" t="s">
        <v>8314</v>
      </c>
      <c r="B8315">
        <f>3.66188*(1-0.8198)</f>
        <v>0.65987077600000021</v>
      </c>
      <c r="C8315" s="1">
        <v>19</v>
      </c>
    </row>
    <row r="8316" spans="1:3" x14ac:dyDescent="0.3">
      <c r="A8316" t="s">
        <v>8315</v>
      </c>
      <c r="B8316">
        <f>2.56882*(1-0.8198)</f>
        <v>0.46290136400000015</v>
      </c>
      <c r="C8316" s="1">
        <v>16</v>
      </c>
    </row>
    <row r="8317" spans="1:3" x14ac:dyDescent="0.3">
      <c r="A8317" t="s">
        <v>8316</v>
      </c>
      <c r="B8317">
        <f>14.4281858457143*(1-0.8198)</f>
        <v>2.5999590893977147</v>
      </c>
      <c r="C8317" s="1">
        <v>15</v>
      </c>
    </row>
    <row r="8318" spans="1:3" x14ac:dyDescent="0.3">
      <c r="A8318" t="s">
        <v>8317</v>
      </c>
      <c r="B8318">
        <f>17.9658839957143*(1-0.8198)</f>
        <v>3.2374522960277154</v>
      </c>
      <c r="C8318" s="1">
        <v>15</v>
      </c>
    </row>
    <row r="8319" spans="1:3" x14ac:dyDescent="0.3">
      <c r="A8319" t="s">
        <v>8318</v>
      </c>
      <c r="B8319">
        <f>12.8374899785714*(1-0.8198)</f>
        <v>2.3133156941385722</v>
      </c>
      <c r="C8319" s="1">
        <v>16</v>
      </c>
    </row>
    <row r="8320" spans="1:3" x14ac:dyDescent="0.3">
      <c r="A8320" t="s">
        <v>8319</v>
      </c>
      <c r="B8320">
        <f>11.3575598385714*(1-0.8198)</f>
        <v>2.0466322829105721</v>
      </c>
      <c r="C8320" s="1">
        <v>13</v>
      </c>
    </row>
    <row r="8321" spans="1:3" x14ac:dyDescent="0.3">
      <c r="A8321" t="s">
        <v>8320</v>
      </c>
      <c r="B8321">
        <f>6.87927348428572*(1-0.8198)</f>
        <v>1.239645081868286</v>
      </c>
      <c r="C8321" s="1">
        <v>12</v>
      </c>
    </row>
    <row r="8322" spans="1:3" x14ac:dyDescent="0.3">
      <c r="A8322" t="s">
        <v>8321</v>
      </c>
      <c r="B8322">
        <f>0*(1-0.8198)</f>
        <v>0</v>
      </c>
      <c r="C8322" s="1">
        <v>11</v>
      </c>
    </row>
    <row r="8323" spans="1:3" x14ac:dyDescent="0.3">
      <c r="A8323" t="s">
        <v>8322</v>
      </c>
      <c r="B8323">
        <f>0*(1-0.8198)</f>
        <v>0</v>
      </c>
      <c r="C8323" s="1">
        <v>9</v>
      </c>
    </row>
    <row r="8324" spans="1:3" x14ac:dyDescent="0.3">
      <c r="A8324" t="s">
        <v>8323</v>
      </c>
      <c r="B8324">
        <f>0*(1-0.8198)</f>
        <v>0</v>
      </c>
      <c r="C8324" s="1">
        <v>9</v>
      </c>
    </row>
    <row r="8325" spans="1:3" x14ac:dyDescent="0.3">
      <c r="A8325" t="s">
        <v>8324</v>
      </c>
      <c r="B8325">
        <f>0*(1-0.8198)</f>
        <v>0</v>
      </c>
      <c r="C8325" s="1">
        <v>8</v>
      </c>
    </row>
    <row r="8326" spans="1:3" x14ac:dyDescent="0.3">
      <c r="A8326" t="s">
        <v>8325</v>
      </c>
      <c r="B8326">
        <f>0*(1-0.8198)</f>
        <v>0</v>
      </c>
      <c r="C8326" s="1">
        <v>7</v>
      </c>
    </row>
    <row r="8327" spans="1:3" x14ac:dyDescent="0.3">
      <c r="A8327" t="s">
        <v>8326</v>
      </c>
      <c r="B8327">
        <f>0*(1-0.8198)</f>
        <v>0</v>
      </c>
      <c r="C8327" s="1">
        <v>8</v>
      </c>
    </row>
    <row r="8328" spans="1:3" x14ac:dyDescent="0.3">
      <c r="A8328" t="s">
        <v>8327</v>
      </c>
      <c r="B8328">
        <f>0*(1-0.8198)</f>
        <v>0</v>
      </c>
      <c r="C8328" s="1">
        <v>6</v>
      </c>
    </row>
    <row r="8329" spans="1:3" x14ac:dyDescent="0.3">
      <c r="A8329" t="s">
        <v>8328</v>
      </c>
      <c r="B8329">
        <f>0*(1-0.8198)</f>
        <v>0</v>
      </c>
      <c r="C8329" s="1">
        <v>6</v>
      </c>
    </row>
    <row r="8330" spans="1:3" x14ac:dyDescent="0.3">
      <c r="A8330" t="s">
        <v>8329</v>
      </c>
      <c r="B8330">
        <f>0*(1-0.8198)</f>
        <v>0</v>
      </c>
      <c r="C8330" s="1">
        <v>4</v>
      </c>
    </row>
    <row r="8331" spans="1:3" x14ac:dyDescent="0.3">
      <c r="A8331" t="s">
        <v>8330</v>
      </c>
      <c r="B8331">
        <f>0*(1-0.8198)</f>
        <v>0</v>
      </c>
      <c r="C8331" s="1">
        <v>5</v>
      </c>
    </row>
    <row r="8332" spans="1:3" x14ac:dyDescent="0.3">
      <c r="A8332" t="s">
        <v>8331</v>
      </c>
      <c r="B8332">
        <f>0*(1-0.8198)</f>
        <v>0</v>
      </c>
      <c r="C8332" s="1">
        <v>3</v>
      </c>
    </row>
    <row r="8333" spans="1:3" x14ac:dyDescent="0.3">
      <c r="A8333" t="s">
        <v>8332</v>
      </c>
      <c r="B8333">
        <f>0*(1-0.8198)</f>
        <v>0</v>
      </c>
      <c r="C8333" s="1">
        <v>4</v>
      </c>
    </row>
    <row r="8334" spans="1:3" x14ac:dyDescent="0.3">
      <c r="A8334" t="s">
        <v>8333</v>
      </c>
      <c r="B8334">
        <f>0*(1-0.8198)</f>
        <v>0</v>
      </c>
      <c r="C8334" s="1">
        <v>4</v>
      </c>
    </row>
    <row r="8335" spans="1:3" x14ac:dyDescent="0.3">
      <c r="A8335" t="s">
        <v>8334</v>
      </c>
      <c r="B8335">
        <f>0*(1-0.8198)</f>
        <v>0</v>
      </c>
      <c r="C8335" s="1">
        <v>4</v>
      </c>
    </row>
    <row r="8336" spans="1:3" x14ac:dyDescent="0.3">
      <c r="A8336" t="s">
        <v>8335</v>
      </c>
      <c r="B8336">
        <f>0*(1-0.8198)</f>
        <v>0</v>
      </c>
      <c r="C8336" s="1">
        <v>4</v>
      </c>
    </row>
    <row r="8337" spans="1:3" x14ac:dyDescent="0.3">
      <c r="A8337" t="s">
        <v>8336</v>
      </c>
      <c r="B8337">
        <f>0*(1-0.8198)</f>
        <v>0</v>
      </c>
      <c r="C8337" s="1">
        <v>4</v>
      </c>
    </row>
    <row r="8338" spans="1:3" x14ac:dyDescent="0.3">
      <c r="A8338" t="s">
        <v>8337</v>
      </c>
      <c r="B8338">
        <f>8.82060584857143*(1-0.8198)</f>
        <v>1.5894731739125716</v>
      </c>
      <c r="C8338" s="1">
        <v>4</v>
      </c>
    </row>
    <row r="8339" spans="1:3" x14ac:dyDescent="0.3">
      <c r="A8339" t="s">
        <v>8338</v>
      </c>
      <c r="B8339">
        <f>19.1535440571429*(1-0.8198)</f>
        <v>3.451468639097143</v>
      </c>
      <c r="C8339" s="1">
        <v>4</v>
      </c>
    </row>
    <row r="8340" spans="1:3" x14ac:dyDescent="0.3">
      <c r="A8340" t="s">
        <v>8339</v>
      </c>
      <c r="B8340">
        <f>27.1464019328571*(1-0.8198)</f>
        <v>4.8917816283008593</v>
      </c>
      <c r="C8340" s="1">
        <v>4</v>
      </c>
    </row>
    <row r="8341" spans="1:3" x14ac:dyDescent="0.3">
      <c r="A8341" t="s">
        <v>8340</v>
      </c>
      <c r="B8341">
        <f>31.9695021542857*(1-0.8198)</f>
        <v>5.7609042882022878</v>
      </c>
      <c r="C8341" s="1">
        <v>4</v>
      </c>
    </row>
    <row r="8342" spans="1:3" x14ac:dyDescent="0.3">
      <c r="A8342" t="s">
        <v>8341</v>
      </c>
      <c r="B8342">
        <f>31.1836871057143*(1-0.8198)</f>
        <v>5.6193004164497165</v>
      </c>
      <c r="C8342" s="1">
        <v>4</v>
      </c>
    </row>
    <row r="8343" spans="1:3" x14ac:dyDescent="0.3">
      <c r="A8343" t="s">
        <v>8342</v>
      </c>
      <c r="B8343">
        <f>27.13620092*(1-0.8198)</f>
        <v>4.8899434057840017</v>
      </c>
      <c r="C8343" s="1">
        <v>4</v>
      </c>
    </row>
    <row r="8344" spans="1:3" x14ac:dyDescent="0.3">
      <c r="A8344" t="s">
        <v>8343</v>
      </c>
      <c r="B8344">
        <f>18.3523971128571*(1-0.8198)</f>
        <v>3.3071019597368578</v>
      </c>
      <c r="C8344" s="1">
        <v>4</v>
      </c>
    </row>
    <row r="8345" spans="1:3" x14ac:dyDescent="0.3">
      <c r="A8345" t="s">
        <v>8344</v>
      </c>
      <c r="B8345">
        <f>7.77785523428571*(1-0.8198)</f>
        <v>1.4015695132182859</v>
      </c>
      <c r="C8345" s="1">
        <v>4</v>
      </c>
    </row>
    <row r="8346" spans="1:3" x14ac:dyDescent="0.3">
      <c r="A8346" t="s">
        <v>8345</v>
      </c>
      <c r="B8346">
        <f>0*(1-0.8198)</f>
        <v>0</v>
      </c>
      <c r="C8346" s="1">
        <v>4</v>
      </c>
    </row>
    <row r="8347" spans="1:3" x14ac:dyDescent="0.3">
      <c r="A8347" t="s">
        <v>8346</v>
      </c>
      <c r="B8347">
        <f>0*(1-0.8198)</f>
        <v>0</v>
      </c>
      <c r="C8347" s="1">
        <v>4</v>
      </c>
    </row>
    <row r="8348" spans="1:3" x14ac:dyDescent="0.3">
      <c r="A8348" t="s">
        <v>8347</v>
      </c>
      <c r="B8348">
        <f>0*(1-0.8198)</f>
        <v>0</v>
      </c>
      <c r="C8348" s="1">
        <v>4</v>
      </c>
    </row>
    <row r="8349" spans="1:3" x14ac:dyDescent="0.3">
      <c r="A8349" t="s">
        <v>8348</v>
      </c>
      <c r="B8349">
        <f>0*(1-0.8198)</f>
        <v>0</v>
      </c>
      <c r="C8349" s="1">
        <v>4</v>
      </c>
    </row>
    <row r="8350" spans="1:3" x14ac:dyDescent="0.3">
      <c r="A8350" t="s">
        <v>8349</v>
      </c>
      <c r="B8350">
        <f>0*(1-0.8198)</f>
        <v>0</v>
      </c>
      <c r="C8350" s="1">
        <v>3</v>
      </c>
    </row>
    <row r="8351" spans="1:3" x14ac:dyDescent="0.3">
      <c r="A8351" t="s">
        <v>8350</v>
      </c>
      <c r="B8351">
        <f>0*(1-0.8198)</f>
        <v>0</v>
      </c>
      <c r="C8351" s="1">
        <v>4</v>
      </c>
    </row>
    <row r="8352" spans="1:3" x14ac:dyDescent="0.3">
      <c r="A8352" t="s">
        <v>8351</v>
      </c>
      <c r="B8352">
        <f>0*(1-0.8198)</f>
        <v>0</v>
      </c>
      <c r="C8352" s="1">
        <v>4</v>
      </c>
    </row>
    <row r="8353" spans="1:3" x14ac:dyDescent="0.3">
      <c r="A8353" t="s">
        <v>8352</v>
      </c>
      <c r="B8353">
        <f>0*(1-0.8198)</f>
        <v>0</v>
      </c>
      <c r="C8353" s="1">
        <v>4</v>
      </c>
    </row>
    <row r="8354" spans="1:3" x14ac:dyDescent="0.3">
      <c r="A8354" t="s">
        <v>8353</v>
      </c>
      <c r="B8354">
        <f>0*(1-0.8198)</f>
        <v>0</v>
      </c>
      <c r="C8354" s="1">
        <v>4</v>
      </c>
    </row>
    <row r="8355" spans="1:3" x14ac:dyDescent="0.3">
      <c r="A8355" t="s">
        <v>8354</v>
      </c>
      <c r="B8355">
        <f>0*(1-0.8198)</f>
        <v>0</v>
      </c>
      <c r="C8355" s="1">
        <v>4</v>
      </c>
    </row>
    <row r="8356" spans="1:3" x14ac:dyDescent="0.3">
      <c r="A8356" t="s">
        <v>8355</v>
      </c>
      <c r="B8356">
        <f>0*(1-0.8198)</f>
        <v>0</v>
      </c>
      <c r="C8356" s="1">
        <v>4</v>
      </c>
    </row>
    <row r="8357" spans="1:3" x14ac:dyDescent="0.3">
      <c r="A8357" t="s">
        <v>8356</v>
      </c>
      <c r="B8357">
        <f>0*(1-0.8198)</f>
        <v>0</v>
      </c>
      <c r="C8357" s="1">
        <v>4</v>
      </c>
    </row>
    <row r="8358" spans="1:3" x14ac:dyDescent="0.3">
      <c r="A8358" t="s">
        <v>8357</v>
      </c>
      <c r="B8358">
        <f>0*(1-0.8198)</f>
        <v>0</v>
      </c>
      <c r="C8358" s="1">
        <v>4</v>
      </c>
    </row>
    <row r="8359" spans="1:3" x14ac:dyDescent="0.3">
      <c r="A8359" t="s">
        <v>8358</v>
      </c>
      <c r="B8359">
        <f>0*(1-0.8198)</f>
        <v>0</v>
      </c>
      <c r="C8359" s="1">
        <v>3</v>
      </c>
    </row>
    <row r="8360" spans="1:3" x14ac:dyDescent="0.3">
      <c r="A8360" t="s">
        <v>8359</v>
      </c>
      <c r="B8360">
        <f>0*(1-0.8198)</f>
        <v>0</v>
      </c>
      <c r="C8360" s="1">
        <v>4</v>
      </c>
    </row>
    <row r="8361" spans="1:3" x14ac:dyDescent="0.3">
      <c r="A8361" t="s">
        <v>8360</v>
      </c>
      <c r="B8361">
        <f>0*(1-0.8198)</f>
        <v>0</v>
      </c>
      <c r="C8361" s="1">
        <v>4</v>
      </c>
    </row>
    <row r="8362" spans="1:3" x14ac:dyDescent="0.3">
      <c r="A8362" t="s">
        <v>8361</v>
      </c>
      <c r="B8362">
        <f>8.86593472857143*(1-0.8198)</f>
        <v>1.5976414380885722</v>
      </c>
      <c r="C8362" s="1">
        <v>4</v>
      </c>
    </row>
    <row r="8363" spans="1:3" x14ac:dyDescent="0.3">
      <c r="A8363" t="s">
        <v>8362</v>
      </c>
      <c r="B8363">
        <f>19.0659469142857*(1-0.8198)</f>
        <v>3.4356836339542869</v>
      </c>
      <c r="C8363" s="1">
        <v>4</v>
      </c>
    </row>
    <row r="8364" spans="1:3" x14ac:dyDescent="0.3">
      <c r="A8364" t="s">
        <v>8363</v>
      </c>
      <c r="B8364">
        <f>26.7330206957143*(1-0.8198)</f>
        <v>4.8172903293677161</v>
      </c>
      <c r="C8364" s="1">
        <v>4</v>
      </c>
    </row>
    <row r="8365" spans="1:3" x14ac:dyDescent="0.3">
      <c r="A8365" t="s">
        <v>8364</v>
      </c>
      <c r="B8365">
        <f>30.95159264*(1-0.8198)</f>
        <v>5.5774769937280002</v>
      </c>
      <c r="C8365" s="1">
        <v>3</v>
      </c>
    </row>
    <row r="8366" spans="1:3" x14ac:dyDescent="0.3">
      <c r="A8366" t="s">
        <v>8365</v>
      </c>
      <c r="B8366">
        <f>30.2852158657143*(1-0.8198)</f>
        <v>5.4573958990017157</v>
      </c>
      <c r="C8366" s="1">
        <v>4</v>
      </c>
    </row>
    <row r="8367" spans="1:3" x14ac:dyDescent="0.3">
      <c r="A8367" t="s">
        <v>8366</v>
      </c>
      <c r="B8367">
        <f>26.1565662585714*(1-0.8198)</f>
        <v>4.7134132397945727</v>
      </c>
      <c r="C8367" s="1">
        <v>4</v>
      </c>
    </row>
    <row r="8368" spans="1:3" x14ac:dyDescent="0.3">
      <c r="A8368" t="s">
        <v>8367</v>
      </c>
      <c r="B8368">
        <f>18.3096998942857*(1-0.8198)</f>
        <v>3.2994079209502862</v>
      </c>
      <c r="C8368" s="1">
        <v>4</v>
      </c>
    </row>
    <row r="8369" spans="1:3" x14ac:dyDescent="0.3">
      <c r="A8369" t="s">
        <v>8368</v>
      </c>
      <c r="B8369">
        <f>7.72017822857143*(1-0.8198)</f>
        <v>1.3911761167885717</v>
      </c>
      <c r="C8369" s="1">
        <v>4</v>
      </c>
    </row>
    <row r="8370" spans="1:3" x14ac:dyDescent="0.3">
      <c r="A8370" t="s">
        <v>8369</v>
      </c>
      <c r="B8370">
        <f>0*(1-0.8198)</f>
        <v>0</v>
      </c>
      <c r="C8370" s="1">
        <v>4</v>
      </c>
    </row>
    <row r="8371" spans="1:3" x14ac:dyDescent="0.3">
      <c r="A8371" t="s">
        <v>8370</v>
      </c>
      <c r="B8371">
        <f>0*(1-0.8198)</f>
        <v>0</v>
      </c>
      <c r="C8371" s="1">
        <v>4</v>
      </c>
    </row>
    <row r="8372" spans="1:3" x14ac:dyDescent="0.3">
      <c r="A8372" t="s">
        <v>8371</v>
      </c>
      <c r="B8372">
        <f>0*(1-0.8198)</f>
        <v>0</v>
      </c>
      <c r="C8372" s="1">
        <v>4</v>
      </c>
    </row>
    <row r="8373" spans="1:3" x14ac:dyDescent="0.3">
      <c r="A8373" t="s">
        <v>8372</v>
      </c>
      <c r="B8373">
        <f>0*(1-0.8198)</f>
        <v>0</v>
      </c>
      <c r="C8373" s="1">
        <v>3</v>
      </c>
    </row>
    <row r="8374" spans="1:3" x14ac:dyDescent="0.3">
      <c r="A8374" t="s">
        <v>8373</v>
      </c>
      <c r="B8374">
        <f>0*(1-0.8198)</f>
        <v>0</v>
      </c>
      <c r="C8374" s="1">
        <v>4</v>
      </c>
    </row>
    <row r="8375" spans="1:3" x14ac:dyDescent="0.3">
      <c r="A8375" t="s">
        <v>8374</v>
      </c>
      <c r="B8375">
        <f>0*(1-0.8198)</f>
        <v>0</v>
      </c>
      <c r="C8375" s="1">
        <v>4</v>
      </c>
    </row>
    <row r="8376" spans="1:3" x14ac:dyDescent="0.3">
      <c r="A8376" t="s">
        <v>8375</v>
      </c>
      <c r="B8376">
        <f>0*(1-0.8198)</f>
        <v>0</v>
      </c>
      <c r="C8376" s="1">
        <v>4</v>
      </c>
    </row>
    <row r="8377" spans="1:3" x14ac:dyDescent="0.3">
      <c r="A8377" t="s">
        <v>8376</v>
      </c>
      <c r="B8377">
        <f>0*(1-0.8198)</f>
        <v>0</v>
      </c>
      <c r="C8377" s="1">
        <v>4</v>
      </c>
    </row>
    <row r="8378" spans="1:3" x14ac:dyDescent="0.3">
      <c r="A8378" t="s">
        <v>8377</v>
      </c>
      <c r="B8378">
        <f>0*(1-0.8198)</f>
        <v>0</v>
      </c>
      <c r="C8378" s="1">
        <v>4</v>
      </c>
    </row>
    <row r="8379" spans="1:3" x14ac:dyDescent="0.3">
      <c r="A8379" t="s">
        <v>8378</v>
      </c>
      <c r="B8379">
        <f>0*(1-0.8198)</f>
        <v>0</v>
      </c>
      <c r="C8379" s="1">
        <v>4</v>
      </c>
    </row>
    <row r="8380" spans="1:3" x14ac:dyDescent="0.3">
      <c r="A8380" t="s">
        <v>8379</v>
      </c>
      <c r="B8380">
        <f>0*(1-0.8198)</f>
        <v>0</v>
      </c>
      <c r="C8380" s="1">
        <v>4</v>
      </c>
    </row>
    <row r="8381" spans="1:3" x14ac:dyDescent="0.3">
      <c r="A8381" t="s">
        <v>8380</v>
      </c>
      <c r="B8381">
        <f>0*(1-0.8198)</f>
        <v>0</v>
      </c>
      <c r="C8381" s="1">
        <v>4</v>
      </c>
    </row>
    <row r="8382" spans="1:3" x14ac:dyDescent="0.3">
      <c r="A8382" t="s">
        <v>8381</v>
      </c>
      <c r="B8382">
        <f>0*(1-0.8198)</f>
        <v>0</v>
      </c>
      <c r="C8382" s="1">
        <v>4</v>
      </c>
    </row>
    <row r="8383" spans="1:3" x14ac:dyDescent="0.3">
      <c r="A8383" t="s">
        <v>8382</v>
      </c>
      <c r="B8383">
        <f>0*(1-0.8198)</f>
        <v>0</v>
      </c>
      <c r="C8383" s="1">
        <v>3</v>
      </c>
    </row>
    <row r="8384" spans="1:3" x14ac:dyDescent="0.3">
      <c r="A8384" t="s">
        <v>8383</v>
      </c>
      <c r="B8384">
        <f>0*(1-0.8198)</f>
        <v>0</v>
      </c>
      <c r="C8384" s="1">
        <v>4</v>
      </c>
    </row>
    <row r="8385" spans="1:3" x14ac:dyDescent="0.3">
      <c r="A8385" t="s">
        <v>8384</v>
      </c>
      <c r="B8385">
        <f>0*(1-0.8198)</f>
        <v>0</v>
      </c>
      <c r="C8385" s="1">
        <v>11</v>
      </c>
    </row>
    <row r="8386" spans="1:3" x14ac:dyDescent="0.3">
      <c r="A8386" t="s">
        <v>8385</v>
      </c>
      <c r="B8386">
        <f>8.47921613285714*(1-0.8198)</f>
        <v>1.5279547471408577</v>
      </c>
      <c r="C8386" s="1">
        <v>14</v>
      </c>
    </row>
    <row r="8387" spans="1:3" x14ac:dyDescent="0.3">
      <c r="A8387" t="s">
        <v>8386</v>
      </c>
      <c r="B8387">
        <f>18.6070224728571*(1-0.8198)</f>
        <v>3.3529854496088576</v>
      </c>
      <c r="C8387" s="1">
        <v>15</v>
      </c>
    </row>
    <row r="8388" spans="1:3" x14ac:dyDescent="0.3">
      <c r="A8388" t="s">
        <v>8387</v>
      </c>
      <c r="B8388">
        <f>18.94148237*(1-0.8198)</f>
        <v>3.4132551230740011</v>
      </c>
      <c r="C8388" s="1">
        <v>18</v>
      </c>
    </row>
    <row r="8389" spans="1:3" x14ac:dyDescent="0.3">
      <c r="A8389" t="s">
        <v>8388</v>
      </c>
      <c r="B8389">
        <f>30.5166862785714*(1-0.8198)</f>
        <v>5.4991068673985719</v>
      </c>
      <c r="C8389" s="1">
        <v>17</v>
      </c>
    </row>
    <row r="8390" spans="1:3" x14ac:dyDescent="0.3">
      <c r="A8390" t="s">
        <v>8389</v>
      </c>
      <c r="B8390">
        <f>30.4357804271429*(1-0.8198)</f>
        <v>5.4845276329711439</v>
      </c>
      <c r="C8390" s="1">
        <v>15</v>
      </c>
    </row>
    <row r="8391" spans="1:3" x14ac:dyDescent="0.3">
      <c r="A8391" t="s">
        <v>8390</v>
      </c>
      <c r="B8391">
        <f>26.0797389571429*(1-0.8198)</f>
        <v>4.6995689600771433</v>
      </c>
      <c r="C8391" s="1">
        <v>15</v>
      </c>
    </row>
    <row r="8392" spans="1:3" x14ac:dyDescent="0.3">
      <c r="A8392" t="s">
        <v>8391</v>
      </c>
      <c r="B8392">
        <f>18.1274921857143*(1-0.8198)</f>
        <v>3.266574091865714</v>
      </c>
      <c r="C8392" s="1">
        <v>15</v>
      </c>
    </row>
    <row r="8393" spans="1:3" x14ac:dyDescent="0.3">
      <c r="A8393" t="s">
        <v>8392</v>
      </c>
      <c r="B8393">
        <f>7.68801515*(1-0.8198)</f>
        <v>1.3853803300300005</v>
      </c>
      <c r="C8393" s="1">
        <v>12</v>
      </c>
    </row>
    <row r="8394" spans="1:3" x14ac:dyDescent="0.3">
      <c r="A8394" t="s">
        <v>8393</v>
      </c>
      <c r="B8394">
        <f>0*(1-0.8198)</f>
        <v>0</v>
      </c>
      <c r="C8394" s="1">
        <v>11</v>
      </c>
    </row>
    <row r="8395" spans="1:3" x14ac:dyDescent="0.3">
      <c r="A8395" t="s">
        <v>8394</v>
      </c>
      <c r="B8395">
        <f>0*(1-0.8198)</f>
        <v>0</v>
      </c>
      <c r="C8395" s="1">
        <v>8</v>
      </c>
    </row>
    <row r="8396" spans="1:3" x14ac:dyDescent="0.3">
      <c r="A8396" t="s">
        <v>8395</v>
      </c>
      <c r="B8396">
        <f>0*(1-0.8198)</f>
        <v>0</v>
      </c>
      <c r="C8396" s="1">
        <v>9</v>
      </c>
    </row>
    <row r="8397" spans="1:3" x14ac:dyDescent="0.3">
      <c r="A8397" t="s">
        <v>8396</v>
      </c>
      <c r="B8397">
        <f>0*(1-0.8198)</f>
        <v>0</v>
      </c>
      <c r="C8397" s="1">
        <v>8</v>
      </c>
    </row>
    <row r="8398" spans="1:3" x14ac:dyDescent="0.3">
      <c r="A8398" t="s">
        <v>8397</v>
      </c>
      <c r="B8398">
        <f>0*(1-0.8198)</f>
        <v>0</v>
      </c>
      <c r="C8398" s="1">
        <v>8</v>
      </c>
    </row>
    <row r="8399" spans="1:3" x14ac:dyDescent="0.3">
      <c r="A8399" t="s">
        <v>8398</v>
      </c>
      <c r="B8399">
        <f>0*(1-0.8198)</f>
        <v>0</v>
      </c>
      <c r="C8399" s="1">
        <v>7</v>
      </c>
    </row>
    <row r="8400" spans="1:3" x14ac:dyDescent="0.3">
      <c r="A8400" t="s">
        <v>8399</v>
      </c>
      <c r="B8400">
        <f>0*(1-0.8198)</f>
        <v>0</v>
      </c>
      <c r="C8400" s="1">
        <v>6</v>
      </c>
    </row>
    <row r="8401" spans="1:3" x14ac:dyDescent="0.3">
      <c r="A8401" t="s">
        <v>8400</v>
      </c>
      <c r="B8401">
        <f>0*(1-0.8198)</f>
        <v>0</v>
      </c>
      <c r="C8401" s="1">
        <v>6</v>
      </c>
    </row>
    <row r="8402" spans="1:3" x14ac:dyDescent="0.3">
      <c r="A8402" t="s">
        <v>8401</v>
      </c>
      <c r="B8402">
        <f>0*(1-0.8198)</f>
        <v>0</v>
      </c>
      <c r="C8402" s="1">
        <v>4</v>
      </c>
    </row>
    <row r="8403" spans="1:3" x14ac:dyDescent="0.3">
      <c r="A8403" t="s">
        <v>8402</v>
      </c>
      <c r="B8403">
        <f>0*(1-0.8198)</f>
        <v>0</v>
      </c>
      <c r="C8403" s="1">
        <v>4</v>
      </c>
    </row>
    <row r="8404" spans="1:3" x14ac:dyDescent="0.3">
      <c r="A8404" t="s">
        <v>8403</v>
      </c>
      <c r="B8404">
        <f>0*(1-0.8198)</f>
        <v>0</v>
      </c>
      <c r="C8404" s="1">
        <v>3</v>
      </c>
    </row>
    <row r="8405" spans="1:3" x14ac:dyDescent="0.3">
      <c r="A8405" t="s">
        <v>8404</v>
      </c>
      <c r="B8405">
        <f>0*(1-0.8198)</f>
        <v>0</v>
      </c>
      <c r="C8405" s="1">
        <v>4</v>
      </c>
    </row>
    <row r="8406" spans="1:3" x14ac:dyDescent="0.3">
      <c r="A8406" t="s">
        <v>8405</v>
      </c>
      <c r="B8406">
        <f>0*(1-0.8198)</f>
        <v>0</v>
      </c>
      <c r="C8406" s="1">
        <v>4</v>
      </c>
    </row>
    <row r="8407" spans="1:3" x14ac:dyDescent="0.3">
      <c r="A8407" t="s">
        <v>8406</v>
      </c>
      <c r="B8407">
        <f>0*(1-0.8198)</f>
        <v>0</v>
      </c>
      <c r="C8407" s="1">
        <v>5</v>
      </c>
    </row>
    <row r="8408" spans="1:3" x14ac:dyDescent="0.3">
      <c r="A8408" t="s">
        <v>8407</v>
      </c>
      <c r="B8408">
        <f>0*(1-0.8198)</f>
        <v>0</v>
      </c>
      <c r="C8408" s="1">
        <v>4</v>
      </c>
    </row>
    <row r="8409" spans="1:3" x14ac:dyDescent="0.3">
      <c r="A8409" t="s">
        <v>8408</v>
      </c>
      <c r="B8409">
        <f>0*(1-0.8198)</f>
        <v>0</v>
      </c>
      <c r="C8409" s="1">
        <v>9</v>
      </c>
    </row>
    <row r="8410" spans="1:3" x14ac:dyDescent="0.3">
      <c r="A8410" t="s">
        <v>8409</v>
      </c>
      <c r="B8410">
        <f>8.22965340857143*(1-0.8198)</f>
        <v>1.4829835442245718</v>
      </c>
      <c r="C8410" s="1">
        <v>14</v>
      </c>
    </row>
    <row r="8411" spans="1:3" x14ac:dyDescent="0.3">
      <c r="A8411" t="s">
        <v>8410</v>
      </c>
      <c r="B8411">
        <f>18.6561803185714*(1-0.8198)</f>
        <v>3.3618436934065721</v>
      </c>
      <c r="C8411" s="1">
        <v>18</v>
      </c>
    </row>
    <row r="8412" spans="1:3" x14ac:dyDescent="0.3">
      <c r="A8412" t="s">
        <v>8411</v>
      </c>
      <c r="B8412">
        <f>26.3735838185714*(1-0.8198)</f>
        <v>4.7525198041065719</v>
      </c>
      <c r="C8412" s="1">
        <v>15</v>
      </c>
    </row>
    <row r="8413" spans="1:3" x14ac:dyDescent="0.3">
      <c r="A8413" t="s">
        <v>8412</v>
      </c>
      <c r="B8413">
        <f>30.9745985614286*(1-0.8198)</f>
        <v>5.5816226607694297</v>
      </c>
      <c r="C8413" s="1">
        <v>15</v>
      </c>
    </row>
    <row r="8414" spans="1:3" x14ac:dyDescent="0.3">
      <c r="A8414" t="s">
        <v>8413</v>
      </c>
      <c r="B8414">
        <f>30.53144523*(1-0.8198)</f>
        <v>5.5017664304460014</v>
      </c>
      <c r="C8414" s="1">
        <v>15</v>
      </c>
    </row>
    <row r="8415" spans="1:3" x14ac:dyDescent="0.3">
      <c r="A8415" t="s">
        <v>8414</v>
      </c>
      <c r="B8415">
        <f>26.1291763028571*(1-0.8198)</f>
        <v>4.7084775697748578</v>
      </c>
      <c r="C8415" s="1">
        <v>15</v>
      </c>
    </row>
    <row r="8416" spans="1:3" x14ac:dyDescent="0.3">
      <c r="A8416" t="s">
        <v>8415</v>
      </c>
      <c r="B8416">
        <f>18.3860432614286*(1-0.8198)</f>
        <v>3.3131649957094291</v>
      </c>
      <c r="C8416" s="1">
        <v>15</v>
      </c>
    </row>
    <row r="8417" spans="1:3" x14ac:dyDescent="0.3">
      <c r="A8417" t="s">
        <v>8416</v>
      </c>
      <c r="B8417">
        <f>7.78901189142857*(1-0.8198)</f>
        <v>1.403579942835429</v>
      </c>
      <c r="C8417" s="1">
        <v>11</v>
      </c>
    </row>
    <row r="8418" spans="1:3" x14ac:dyDescent="0.3">
      <c r="A8418" t="s">
        <v>8417</v>
      </c>
      <c r="B8418">
        <f>0*(1-0.8198)</f>
        <v>0</v>
      </c>
      <c r="C8418" s="1">
        <v>11</v>
      </c>
    </row>
    <row r="8419" spans="1:3" x14ac:dyDescent="0.3">
      <c r="A8419" t="s">
        <v>8418</v>
      </c>
      <c r="B8419">
        <f>0*(1-0.8198)</f>
        <v>0</v>
      </c>
      <c r="C8419" s="1">
        <v>11</v>
      </c>
    </row>
    <row r="8420" spans="1:3" x14ac:dyDescent="0.3">
      <c r="A8420" t="s">
        <v>8419</v>
      </c>
      <c r="B8420">
        <f>0*(1-0.8198)</f>
        <v>0</v>
      </c>
      <c r="C8420" s="1">
        <v>10</v>
      </c>
    </row>
    <row r="8421" spans="1:3" x14ac:dyDescent="0.3">
      <c r="A8421" t="s">
        <v>8420</v>
      </c>
      <c r="B8421">
        <f>0*(1-0.8198)</f>
        <v>0</v>
      </c>
      <c r="C8421" s="1">
        <v>9</v>
      </c>
    </row>
    <row r="8422" spans="1:3" x14ac:dyDescent="0.3">
      <c r="A8422" t="s">
        <v>8421</v>
      </c>
      <c r="B8422">
        <f>0*(1-0.8198)</f>
        <v>0</v>
      </c>
      <c r="C8422" s="1">
        <v>8</v>
      </c>
    </row>
    <row r="8423" spans="1:3" x14ac:dyDescent="0.3">
      <c r="A8423" t="s">
        <v>8422</v>
      </c>
      <c r="B8423">
        <f>0*(1-0.8198)</f>
        <v>0</v>
      </c>
      <c r="C8423" s="1">
        <v>7</v>
      </c>
    </row>
    <row r="8424" spans="1:3" x14ac:dyDescent="0.3">
      <c r="A8424" t="s">
        <v>8423</v>
      </c>
      <c r="B8424">
        <f>0*(1-0.8198)</f>
        <v>0</v>
      </c>
      <c r="C8424" s="1">
        <v>6</v>
      </c>
    </row>
    <row r="8425" spans="1:3" x14ac:dyDescent="0.3">
      <c r="A8425" t="s">
        <v>8424</v>
      </c>
      <c r="B8425">
        <f>0*(1-0.8198)</f>
        <v>0</v>
      </c>
      <c r="C8425" s="1">
        <v>6</v>
      </c>
    </row>
    <row r="8426" spans="1:3" x14ac:dyDescent="0.3">
      <c r="A8426" t="s">
        <v>8425</v>
      </c>
      <c r="B8426">
        <f>0*(1-0.8198)</f>
        <v>0</v>
      </c>
      <c r="C8426" s="1">
        <v>4</v>
      </c>
    </row>
    <row r="8427" spans="1:3" x14ac:dyDescent="0.3">
      <c r="A8427" t="s">
        <v>8426</v>
      </c>
      <c r="B8427">
        <f>0*(1-0.8198)</f>
        <v>0</v>
      </c>
      <c r="C8427" s="1">
        <v>4</v>
      </c>
    </row>
    <row r="8428" spans="1:3" x14ac:dyDescent="0.3">
      <c r="A8428" t="s">
        <v>8427</v>
      </c>
      <c r="B8428">
        <f>0*(1-0.8198)</f>
        <v>0</v>
      </c>
      <c r="C8428" s="1">
        <v>4</v>
      </c>
    </row>
    <row r="8429" spans="1:3" x14ac:dyDescent="0.3">
      <c r="A8429" t="s">
        <v>8428</v>
      </c>
      <c r="B8429">
        <f>0*(1-0.8198)</f>
        <v>0</v>
      </c>
      <c r="C8429" s="1">
        <v>4</v>
      </c>
    </row>
    <row r="8430" spans="1:3" x14ac:dyDescent="0.3">
      <c r="A8430" t="s">
        <v>8429</v>
      </c>
      <c r="B8430">
        <f>0*(1-0.8198)</f>
        <v>0</v>
      </c>
      <c r="C8430" s="1">
        <v>4</v>
      </c>
    </row>
    <row r="8431" spans="1:3" x14ac:dyDescent="0.3">
      <c r="A8431" t="s">
        <v>8430</v>
      </c>
      <c r="B8431">
        <f>0*(1-0.8198)</f>
        <v>0</v>
      </c>
      <c r="C8431" s="1">
        <v>5</v>
      </c>
    </row>
    <row r="8432" spans="1:3" x14ac:dyDescent="0.3">
      <c r="A8432" t="s">
        <v>8431</v>
      </c>
      <c r="B8432">
        <f>0*(1-0.8198)</f>
        <v>0</v>
      </c>
      <c r="C8432" s="1">
        <v>4</v>
      </c>
    </row>
    <row r="8433" spans="1:3" x14ac:dyDescent="0.3">
      <c r="A8433" t="s">
        <v>8432</v>
      </c>
      <c r="B8433">
        <f>0*(1-0.8198)</f>
        <v>0</v>
      </c>
      <c r="C8433" s="1">
        <v>11</v>
      </c>
    </row>
    <row r="8434" spans="1:3" x14ac:dyDescent="0.3">
      <c r="A8434" t="s">
        <v>8433</v>
      </c>
      <c r="B8434">
        <f>8.51968085285714*(1-0.8198)</f>
        <v>1.5352464896848572</v>
      </c>
      <c r="C8434" s="1">
        <v>13</v>
      </c>
    </row>
    <row r="8435" spans="1:3" x14ac:dyDescent="0.3">
      <c r="A8435" t="s">
        <v>8434</v>
      </c>
      <c r="B8435">
        <f>18.7607216114286*(1-0.8198)</f>
        <v>3.3806820343794293</v>
      </c>
      <c r="C8435" s="1">
        <v>22</v>
      </c>
    </row>
    <row r="8436" spans="1:3" x14ac:dyDescent="0.3">
      <c r="A8436" t="s">
        <v>8435</v>
      </c>
      <c r="B8436">
        <f>26.4722148842857*(1-0.8198)</f>
        <v>4.7702931221482858</v>
      </c>
      <c r="C8436" s="1">
        <v>19</v>
      </c>
    </row>
    <row r="8437" spans="1:3" x14ac:dyDescent="0.3">
      <c r="A8437" t="s">
        <v>8436</v>
      </c>
      <c r="B8437">
        <f>30.6504361814286*(1-0.8198)</f>
        <v>5.5232085998934295</v>
      </c>
      <c r="C8437" s="1">
        <v>16</v>
      </c>
    </row>
    <row r="8438" spans="1:3" x14ac:dyDescent="0.3">
      <c r="A8438" t="s">
        <v>8437</v>
      </c>
      <c r="B8438">
        <f>30.2627914271429*(1-0.8198)</f>
        <v>5.4533550151711436</v>
      </c>
      <c r="C8438" s="1">
        <v>16</v>
      </c>
    </row>
    <row r="8439" spans="1:3" x14ac:dyDescent="0.3">
      <c r="A8439" t="s">
        <v>8438</v>
      </c>
      <c r="B8439">
        <f>26.3536593385714*(1-0.8198)</f>
        <v>4.7489294128105719</v>
      </c>
      <c r="C8439" s="1">
        <v>17</v>
      </c>
    </row>
    <row r="8440" spans="1:3" x14ac:dyDescent="0.3">
      <c r="A8440" t="s">
        <v>8439</v>
      </c>
      <c r="B8440">
        <f>18.1370853628571*(1-0.8198)</f>
        <v>3.2683027823868573</v>
      </c>
      <c r="C8440" s="1">
        <v>14</v>
      </c>
    </row>
    <row r="8441" spans="1:3" x14ac:dyDescent="0.3">
      <c r="A8441" t="s">
        <v>8440</v>
      </c>
      <c r="B8441">
        <f>7.84189839*(1-0.8198)</f>
        <v>1.4131100898780002</v>
      </c>
      <c r="C8441" s="1">
        <v>12</v>
      </c>
    </row>
    <row r="8442" spans="1:3" x14ac:dyDescent="0.3">
      <c r="A8442" t="s">
        <v>8441</v>
      </c>
      <c r="B8442">
        <f>0*(1-0.8198)</f>
        <v>0</v>
      </c>
      <c r="C8442" s="1">
        <v>11</v>
      </c>
    </row>
    <row r="8443" spans="1:3" x14ac:dyDescent="0.3">
      <c r="A8443" t="s">
        <v>8442</v>
      </c>
      <c r="B8443">
        <f>0*(1-0.8198)</f>
        <v>0</v>
      </c>
      <c r="C8443" s="1">
        <v>10</v>
      </c>
    </row>
    <row r="8444" spans="1:3" x14ac:dyDescent="0.3">
      <c r="A8444" t="s">
        <v>8443</v>
      </c>
      <c r="B8444">
        <f>0*(1-0.8198)</f>
        <v>0</v>
      </c>
      <c r="C8444" s="1">
        <v>9</v>
      </c>
    </row>
    <row r="8445" spans="1:3" x14ac:dyDescent="0.3">
      <c r="A8445" t="s">
        <v>8444</v>
      </c>
      <c r="B8445">
        <f>0*(1-0.8198)</f>
        <v>0</v>
      </c>
      <c r="C8445" s="1">
        <v>7</v>
      </c>
    </row>
    <row r="8446" spans="1:3" x14ac:dyDescent="0.3">
      <c r="A8446" t="s">
        <v>8445</v>
      </c>
      <c r="B8446">
        <f>0*(1-0.8198)</f>
        <v>0</v>
      </c>
      <c r="C8446" s="1">
        <v>8</v>
      </c>
    </row>
    <row r="8447" spans="1:3" x14ac:dyDescent="0.3">
      <c r="A8447" t="s">
        <v>8446</v>
      </c>
      <c r="B8447">
        <f>0*(1-0.8198)</f>
        <v>0</v>
      </c>
      <c r="C8447" s="1">
        <v>8</v>
      </c>
    </row>
    <row r="8448" spans="1:3" x14ac:dyDescent="0.3">
      <c r="A8448" t="s">
        <v>8447</v>
      </c>
      <c r="B8448">
        <f>0*(1-0.8198)</f>
        <v>0</v>
      </c>
      <c r="C8448" s="1">
        <v>6</v>
      </c>
    </row>
    <row r="8449" spans="1:3" x14ac:dyDescent="0.3">
      <c r="A8449" t="s">
        <v>8448</v>
      </c>
      <c r="B8449">
        <f>0*(1-0.8198)</f>
        <v>0</v>
      </c>
      <c r="C8449" s="1">
        <v>6</v>
      </c>
    </row>
    <row r="8450" spans="1:3" x14ac:dyDescent="0.3">
      <c r="A8450" t="s">
        <v>8449</v>
      </c>
      <c r="B8450">
        <f>0*(1-0.8198)</f>
        <v>0</v>
      </c>
      <c r="C8450" s="1">
        <v>4</v>
      </c>
    </row>
    <row r="8451" spans="1:3" x14ac:dyDescent="0.3">
      <c r="A8451" t="s">
        <v>8450</v>
      </c>
      <c r="B8451">
        <f>0*(1-0.8198)</f>
        <v>0</v>
      </c>
      <c r="C8451" s="1">
        <v>5</v>
      </c>
    </row>
    <row r="8452" spans="1:3" x14ac:dyDescent="0.3">
      <c r="A8452" t="s">
        <v>8451</v>
      </c>
      <c r="B8452">
        <f>0*(1-0.8198)</f>
        <v>0</v>
      </c>
      <c r="C8452" s="1">
        <v>4</v>
      </c>
    </row>
    <row r="8453" spans="1:3" x14ac:dyDescent="0.3">
      <c r="A8453" t="s">
        <v>8452</v>
      </c>
      <c r="B8453">
        <f>0*(1-0.8198)</f>
        <v>0</v>
      </c>
      <c r="C8453" s="1">
        <v>5</v>
      </c>
    </row>
    <row r="8454" spans="1:3" x14ac:dyDescent="0.3">
      <c r="A8454" t="s">
        <v>8453</v>
      </c>
      <c r="B8454">
        <f>0*(1-0.8198)</f>
        <v>0</v>
      </c>
      <c r="C8454" s="1">
        <v>4</v>
      </c>
    </row>
    <row r="8455" spans="1:3" x14ac:dyDescent="0.3">
      <c r="A8455" t="s">
        <v>8454</v>
      </c>
      <c r="B8455">
        <f>0*(1-0.8198)</f>
        <v>0</v>
      </c>
      <c r="C8455" s="1">
        <v>4</v>
      </c>
    </row>
    <row r="8456" spans="1:3" x14ac:dyDescent="0.3">
      <c r="A8456" t="s">
        <v>8455</v>
      </c>
      <c r="B8456">
        <f>0*(1-0.8198)</f>
        <v>0</v>
      </c>
      <c r="C8456" s="1">
        <v>5</v>
      </c>
    </row>
    <row r="8457" spans="1:3" x14ac:dyDescent="0.3">
      <c r="A8457" t="s">
        <v>8456</v>
      </c>
      <c r="B8457">
        <f>0*(1-0.8198)</f>
        <v>0</v>
      </c>
      <c r="C8457" s="1">
        <v>11</v>
      </c>
    </row>
    <row r="8458" spans="1:3" x14ac:dyDescent="0.3">
      <c r="A8458" t="s">
        <v>8457</v>
      </c>
      <c r="B8458">
        <f>8.32413896714286*(1-0.8198)</f>
        <v>1.5000098418791432</v>
      </c>
      <c r="C8458" s="1">
        <v>14</v>
      </c>
    </row>
    <row r="8459" spans="1:3" x14ac:dyDescent="0.3">
      <c r="A8459" t="s">
        <v>8458</v>
      </c>
      <c r="B8459">
        <f>18.43939201*(1-0.8198)</f>
        <v>3.3227784402020011</v>
      </c>
      <c r="C8459" s="1">
        <v>21</v>
      </c>
    </row>
    <row r="8460" spans="1:3" x14ac:dyDescent="0.3">
      <c r="A8460" t="s">
        <v>8459</v>
      </c>
      <c r="B8460">
        <f>26.2527716942857*(1-0.8198)</f>
        <v>4.730749459310287</v>
      </c>
      <c r="C8460" s="1">
        <v>19</v>
      </c>
    </row>
    <row r="8461" spans="1:3" x14ac:dyDescent="0.3">
      <c r="A8461" t="s">
        <v>8460</v>
      </c>
      <c r="B8461">
        <f>30.9392075342857*(1-0.8198)</f>
        <v>5.575245197678286</v>
      </c>
      <c r="C8461" s="1">
        <v>20</v>
      </c>
    </row>
    <row r="8462" spans="1:3" x14ac:dyDescent="0.3">
      <c r="A8462" t="s">
        <v>8461</v>
      </c>
      <c r="B8462">
        <f>30.0230229971429*(1-0.8198)</f>
        <v>5.4101487440851441</v>
      </c>
      <c r="C8462" s="1">
        <v>16</v>
      </c>
    </row>
    <row r="8463" spans="1:3" x14ac:dyDescent="0.3">
      <c r="A8463" t="s">
        <v>8462</v>
      </c>
      <c r="B8463">
        <f>26.2478626914286*(1-0.8198)</f>
        <v>4.7298648569954311</v>
      </c>
      <c r="C8463" s="1">
        <v>16</v>
      </c>
    </row>
    <row r="8464" spans="1:3" x14ac:dyDescent="0.3">
      <c r="A8464" t="s">
        <v>8463</v>
      </c>
      <c r="B8464">
        <f>18.0866465471429*(1-0.8198)</f>
        <v>3.2592137077951429</v>
      </c>
      <c r="C8464" s="1">
        <v>17</v>
      </c>
    </row>
    <row r="8465" spans="1:3" x14ac:dyDescent="0.3">
      <c r="A8465" t="s">
        <v>8464</v>
      </c>
      <c r="B8465">
        <f>7.76782431714286*(1-0.8198)</f>
        <v>1.3997619419491432</v>
      </c>
      <c r="C8465" s="1">
        <v>12</v>
      </c>
    </row>
    <row r="8466" spans="1:3" x14ac:dyDescent="0.3">
      <c r="A8466" t="s">
        <v>8465</v>
      </c>
      <c r="B8466">
        <f>0*(1-0.8198)</f>
        <v>0</v>
      </c>
      <c r="C8466" s="1">
        <v>11</v>
      </c>
    </row>
    <row r="8467" spans="1:3" x14ac:dyDescent="0.3">
      <c r="A8467" t="s">
        <v>8466</v>
      </c>
      <c r="B8467">
        <f>0*(1-0.8198)</f>
        <v>0</v>
      </c>
      <c r="C8467" s="1">
        <v>9</v>
      </c>
    </row>
    <row r="8468" spans="1:3" x14ac:dyDescent="0.3">
      <c r="A8468" t="s">
        <v>8467</v>
      </c>
      <c r="B8468">
        <f>0*(1-0.8198)</f>
        <v>0</v>
      </c>
      <c r="C8468" s="1">
        <v>9</v>
      </c>
    </row>
    <row r="8469" spans="1:3" x14ac:dyDescent="0.3">
      <c r="A8469" t="s">
        <v>8468</v>
      </c>
      <c r="B8469">
        <f>0*(1-0.8198)</f>
        <v>0</v>
      </c>
      <c r="C8469" s="1">
        <v>10</v>
      </c>
    </row>
    <row r="8470" spans="1:3" x14ac:dyDescent="0.3">
      <c r="A8470" t="s">
        <v>8469</v>
      </c>
      <c r="B8470">
        <f>0*(1-0.8198)</f>
        <v>0</v>
      </c>
      <c r="C8470" s="1">
        <v>8</v>
      </c>
    </row>
    <row r="8471" spans="1:3" x14ac:dyDescent="0.3">
      <c r="A8471" t="s">
        <v>8470</v>
      </c>
      <c r="B8471">
        <f>0*(1-0.8198)</f>
        <v>0</v>
      </c>
      <c r="C8471" s="1">
        <v>7</v>
      </c>
    </row>
    <row r="8472" spans="1:3" x14ac:dyDescent="0.3">
      <c r="A8472" t="s">
        <v>8471</v>
      </c>
      <c r="B8472">
        <f>0*(1-0.8198)</f>
        <v>0</v>
      </c>
      <c r="C8472" s="1">
        <v>6</v>
      </c>
    </row>
    <row r="8473" spans="1:3" x14ac:dyDescent="0.3">
      <c r="A8473" t="s">
        <v>8472</v>
      </c>
      <c r="B8473">
        <f>0*(1-0.8198)</f>
        <v>0</v>
      </c>
      <c r="C8473" s="1">
        <v>6</v>
      </c>
    </row>
    <row r="8474" spans="1:3" x14ac:dyDescent="0.3">
      <c r="A8474" t="s">
        <v>8473</v>
      </c>
      <c r="B8474">
        <f>0*(1-0.8198)</f>
        <v>0</v>
      </c>
      <c r="C8474" s="1">
        <v>5</v>
      </c>
    </row>
    <row r="8475" spans="1:3" x14ac:dyDescent="0.3">
      <c r="A8475" t="s">
        <v>8474</v>
      </c>
      <c r="B8475">
        <f>0*(1-0.8198)</f>
        <v>0</v>
      </c>
      <c r="C8475" s="1">
        <v>4</v>
      </c>
    </row>
    <row r="8476" spans="1:3" x14ac:dyDescent="0.3">
      <c r="A8476" t="s">
        <v>8475</v>
      </c>
      <c r="B8476">
        <f>0*(1-0.8198)</f>
        <v>0</v>
      </c>
      <c r="C8476" s="1">
        <v>4</v>
      </c>
    </row>
    <row r="8477" spans="1:3" x14ac:dyDescent="0.3">
      <c r="A8477" t="s">
        <v>8476</v>
      </c>
      <c r="B8477">
        <f>0*(1-0.8198)</f>
        <v>0</v>
      </c>
      <c r="C8477" s="1">
        <v>5</v>
      </c>
    </row>
    <row r="8478" spans="1:3" x14ac:dyDescent="0.3">
      <c r="A8478" t="s">
        <v>8477</v>
      </c>
      <c r="B8478">
        <f>0*(1-0.8198)</f>
        <v>0</v>
      </c>
      <c r="C8478" s="1">
        <v>4</v>
      </c>
    </row>
    <row r="8479" spans="1:3" x14ac:dyDescent="0.3">
      <c r="A8479" t="s">
        <v>8478</v>
      </c>
      <c r="B8479">
        <f>0*(1-0.8198)</f>
        <v>0</v>
      </c>
      <c r="C8479" s="1">
        <v>5</v>
      </c>
    </row>
    <row r="8480" spans="1:3" x14ac:dyDescent="0.3">
      <c r="A8480" t="s">
        <v>8479</v>
      </c>
      <c r="B8480">
        <f>0*(1-0.8198)</f>
        <v>0</v>
      </c>
      <c r="C8480" s="1">
        <v>4</v>
      </c>
    </row>
    <row r="8481" spans="1:3" x14ac:dyDescent="0.3">
      <c r="A8481" t="s">
        <v>8480</v>
      </c>
      <c r="B8481">
        <f>0*(1-0.8198)</f>
        <v>0</v>
      </c>
      <c r="C8481" s="1">
        <v>13</v>
      </c>
    </row>
    <row r="8482" spans="1:3" x14ac:dyDescent="0.3">
      <c r="A8482" t="s">
        <v>8481</v>
      </c>
      <c r="B8482">
        <f>7.16606757428571*(1-0.8198)</f>
        <v>1.291325376886286</v>
      </c>
      <c r="C8482" s="1">
        <v>15</v>
      </c>
    </row>
    <row r="8483" spans="1:3" x14ac:dyDescent="0.3">
      <c r="A8483" t="s">
        <v>8482</v>
      </c>
      <c r="B8483">
        <f>16.9396264*(1-0.8198)</f>
        <v>3.0525206772800009</v>
      </c>
      <c r="C8483" s="1">
        <v>18</v>
      </c>
    </row>
    <row r="8484" spans="1:3" x14ac:dyDescent="0.3">
      <c r="A8484" t="s">
        <v>8483</v>
      </c>
      <c r="B8484">
        <f>7.54260186571429*(1-0.8198)</f>
        <v>1.3591768562017146</v>
      </c>
      <c r="C8484" s="1">
        <v>18</v>
      </c>
    </row>
    <row r="8485" spans="1:3" x14ac:dyDescent="0.3">
      <c r="A8485" t="s">
        <v>8484</v>
      </c>
      <c r="B8485">
        <f>14.3999813471429*(1-0.8198)</f>
        <v>2.5948766387551432</v>
      </c>
      <c r="C8485" s="1">
        <v>15</v>
      </c>
    </row>
    <row r="8486" spans="1:3" x14ac:dyDescent="0.3">
      <c r="A8486" t="s">
        <v>8485</v>
      </c>
      <c r="B8486">
        <f>8.55528*(1-0.8198)</f>
        <v>1.5416614560000006</v>
      </c>
      <c r="C8486" s="1">
        <v>14</v>
      </c>
    </row>
    <row r="8487" spans="1:3" x14ac:dyDescent="0.3">
      <c r="A8487" t="s">
        <v>8486</v>
      </c>
      <c r="B8487">
        <f>26.6374380842857*(1-0.8198)</f>
        <v>4.8000663427882868</v>
      </c>
      <c r="C8487" s="1">
        <v>15</v>
      </c>
    </row>
    <row r="8488" spans="1:3" x14ac:dyDescent="0.3">
      <c r="A8488" t="s">
        <v>8487</v>
      </c>
      <c r="B8488">
        <f>18.50748853*(1-0.8198)</f>
        <v>3.3350494331060005</v>
      </c>
      <c r="C8488" s="1">
        <v>13</v>
      </c>
    </row>
    <row r="8489" spans="1:3" x14ac:dyDescent="0.3">
      <c r="A8489" t="s">
        <v>8488</v>
      </c>
      <c r="B8489">
        <f>7.92958583285714*(1-0.8198)</f>
        <v>1.4289113670808578</v>
      </c>
      <c r="C8489" s="1">
        <v>9</v>
      </c>
    </row>
    <row r="8490" spans="1:3" x14ac:dyDescent="0.3">
      <c r="A8490" t="s">
        <v>8489</v>
      </c>
      <c r="B8490">
        <f>0*(1-0.8198)</f>
        <v>0</v>
      </c>
      <c r="C8490" s="1">
        <v>8</v>
      </c>
    </row>
    <row r="8491" spans="1:3" x14ac:dyDescent="0.3">
      <c r="A8491" t="s">
        <v>8490</v>
      </c>
      <c r="B8491">
        <f>0*(1-0.8198)</f>
        <v>0</v>
      </c>
      <c r="C8491" s="1">
        <v>6</v>
      </c>
    </row>
    <row r="8492" spans="1:3" x14ac:dyDescent="0.3">
      <c r="A8492" t="s">
        <v>8491</v>
      </c>
      <c r="B8492">
        <f>0*(1-0.8198)</f>
        <v>0</v>
      </c>
      <c r="C8492" s="1">
        <v>5</v>
      </c>
    </row>
    <row r="8493" spans="1:3" x14ac:dyDescent="0.3">
      <c r="A8493" t="s">
        <v>8492</v>
      </c>
      <c r="B8493">
        <f>0*(1-0.8198)</f>
        <v>0</v>
      </c>
      <c r="C8493" s="1">
        <v>6</v>
      </c>
    </row>
    <row r="8494" spans="1:3" x14ac:dyDescent="0.3">
      <c r="A8494" t="s">
        <v>8493</v>
      </c>
      <c r="B8494">
        <f>0*(1-0.8198)</f>
        <v>0</v>
      </c>
      <c r="C8494" s="1">
        <v>6</v>
      </c>
    </row>
    <row r="8495" spans="1:3" x14ac:dyDescent="0.3">
      <c r="A8495" t="s">
        <v>8494</v>
      </c>
      <c r="B8495">
        <f>0*(1-0.8198)</f>
        <v>0</v>
      </c>
      <c r="C8495" s="1">
        <v>4</v>
      </c>
    </row>
    <row r="8496" spans="1:3" x14ac:dyDescent="0.3">
      <c r="A8496" t="s">
        <v>8495</v>
      </c>
      <c r="B8496">
        <f>0*(1-0.8198)</f>
        <v>0</v>
      </c>
      <c r="C8496" s="1">
        <v>5</v>
      </c>
    </row>
    <row r="8497" spans="1:3" x14ac:dyDescent="0.3">
      <c r="A8497" t="s">
        <v>8496</v>
      </c>
      <c r="B8497">
        <f>0*(1-0.8198)</f>
        <v>0</v>
      </c>
      <c r="C8497" s="1">
        <v>4</v>
      </c>
    </row>
    <row r="8498" spans="1:3" x14ac:dyDescent="0.3">
      <c r="A8498" t="s">
        <v>8497</v>
      </c>
      <c r="B8498">
        <f>0*(1-0.8198)</f>
        <v>0</v>
      </c>
      <c r="C8498" s="1">
        <v>3</v>
      </c>
    </row>
    <row r="8499" spans="1:3" x14ac:dyDescent="0.3">
      <c r="A8499" t="s">
        <v>8498</v>
      </c>
      <c r="B8499">
        <f>0*(1-0.8198)</f>
        <v>0</v>
      </c>
      <c r="C8499" s="1">
        <v>2</v>
      </c>
    </row>
    <row r="8500" spans="1:3" x14ac:dyDescent="0.3">
      <c r="A8500" t="s">
        <v>8499</v>
      </c>
      <c r="B8500">
        <f>0*(1-0.8198)</f>
        <v>0</v>
      </c>
      <c r="C8500" s="1">
        <v>2</v>
      </c>
    </row>
    <row r="8501" spans="1:3" x14ac:dyDescent="0.3">
      <c r="A8501" t="s">
        <v>8500</v>
      </c>
      <c r="B8501">
        <f>0*(1-0.8198)</f>
        <v>0</v>
      </c>
      <c r="C8501" s="1">
        <v>3</v>
      </c>
    </row>
    <row r="8502" spans="1:3" x14ac:dyDescent="0.3">
      <c r="A8502" t="s">
        <v>8501</v>
      </c>
      <c r="B8502">
        <f>0*(1-0.8198)</f>
        <v>0</v>
      </c>
      <c r="C8502" s="1">
        <v>2</v>
      </c>
    </row>
    <row r="8503" spans="1:3" x14ac:dyDescent="0.3">
      <c r="A8503" t="s">
        <v>8502</v>
      </c>
      <c r="B8503">
        <f>0*(1-0.8198)</f>
        <v>0</v>
      </c>
      <c r="C8503" s="1">
        <v>3</v>
      </c>
    </row>
    <row r="8504" spans="1:3" x14ac:dyDescent="0.3">
      <c r="A8504" t="s">
        <v>8503</v>
      </c>
      <c r="B8504">
        <f>0*(1-0.8198)</f>
        <v>0</v>
      </c>
      <c r="C8504" s="1">
        <v>2</v>
      </c>
    </row>
    <row r="8505" spans="1:3" x14ac:dyDescent="0.3">
      <c r="A8505" t="s">
        <v>8504</v>
      </c>
      <c r="B8505">
        <f>0*(1-0.8198)</f>
        <v>0</v>
      </c>
      <c r="C8505" s="1">
        <v>2</v>
      </c>
    </row>
    <row r="8506" spans="1:3" x14ac:dyDescent="0.3">
      <c r="A8506" t="s">
        <v>8505</v>
      </c>
      <c r="B8506">
        <f>8.05565218857143*(1-0.8198)</f>
        <v>1.4516285243805718</v>
      </c>
      <c r="C8506" s="1">
        <v>3</v>
      </c>
    </row>
    <row r="8507" spans="1:3" x14ac:dyDescent="0.3">
      <c r="A8507" t="s">
        <v>8506</v>
      </c>
      <c r="B8507">
        <f>18.1400725728571*(1-0.8198)</f>
        <v>3.2688410776288577</v>
      </c>
      <c r="C8507" s="1">
        <v>2</v>
      </c>
    </row>
    <row r="8508" spans="1:3" x14ac:dyDescent="0.3">
      <c r="A8508" t="s">
        <v>8507</v>
      </c>
      <c r="B8508">
        <f>12.2365411442857*(1-0.8198)</f>
        <v>2.2050247142002863</v>
      </c>
      <c r="C8508" s="1">
        <v>2</v>
      </c>
    </row>
    <row r="8509" spans="1:3" x14ac:dyDescent="0.3">
      <c r="A8509" t="s">
        <v>8508</v>
      </c>
      <c r="B8509">
        <f>18.5970887357143*(1-0.8198)</f>
        <v>3.3511953901757159</v>
      </c>
      <c r="C8509" s="1">
        <v>3</v>
      </c>
    </row>
    <row r="8510" spans="1:3" x14ac:dyDescent="0.3">
      <c r="A8510" t="s">
        <v>8509</v>
      </c>
      <c r="B8510">
        <f>30.2593581842857*(1-0.8198)</f>
        <v>5.4527363448082875</v>
      </c>
      <c r="C8510" s="1">
        <v>2</v>
      </c>
    </row>
    <row r="8511" spans="1:3" x14ac:dyDescent="0.3">
      <c r="A8511" t="s">
        <v>8510</v>
      </c>
      <c r="B8511">
        <f>26.3195309757143*(1-0.8198)</f>
        <v>4.7427794818237148</v>
      </c>
      <c r="C8511" s="1">
        <v>2</v>
      </c>
    </row>
    <row r="8512" spans="1:3" x14ac:dyDescent="0.3">
      <c r="A8512" t="s">
        <v>8511</v>
      </c>
      <c r="B8512">
        <f>11.4706384128571*(1-0.8198)</f>
        <v>2.0670090419968576</v>
      </c>
      <c r="C8512" s="1">
        <v>3</v>
      </c>
    </row>
    <row r="8513" spans="1:3" x14ac:dyDescent="0.3">
      <c r="A8513" t="s">
        <v>8512</v>
      </c>
      <c r="B8513">
        <f>7.56872455*(1-0.8198)</f>
        <v>1.3638841639100006</v>
      </c>
      <c r="C8513" s="1">
        <v>2</v>
      </c>
    </row>
    <row r="8514" spans="1:3" x14ac:dyDescent="0.3">
      <c r="A8514" t="s">
        <v>8513</v>
      </c>
      <c r="B8514">
        <f>0*(1-0.8198)</f>
        <v>0</v>
      </c>
      <c r="C8514" s="1">
        <v>3</v>
      </c>
    </row>
    <row r="8515" spans="1:3" x14ac:dyDescent="0.3">
      <c r="A8515" t="s">
        <v>8514</v>
      </c>
      <c r="B8515">
        <f>0*(1-0.8198)</f>
        <v>0</v>
      </c>
      <c r="C8515" s="1">
        <v>2</v>
      </c>
    </row>
    <row r="8516" spans="1:3" x14ac:dyDescent="0.3">
      <c r="A8516" t="s">
        <v>8515</v>
      </c>
      <c r="B8516">
        <f>0*(1-0.8198)</f>
        <v>0</v>
      </c>
      <c r="C8516" s="1">
        <v>2</v>
      </c>
    </row>
    <row r="8517" spans="1:3" x14ac:dyDescent="0.3">
      <c r="A8517" t="s">
        <v>8516</v>
      </c>
      <c r="B8517">
        <f>0*(1-0.8198)</f>
        <v>0</v>
      </c>
      <c r="C8517" s="1">
        <v>2</v>
      </c>
    </row>
    <row r="8518" spans="1:3" x14ac:dyDescent="0.3">
      <c r="A8518" t="s">
        <v>8517</v>
      </c>
      <c r="B8518">
        <f>0*(1-0.8198)</f>
        <v>0</v>
      </c>
      <c r="C8518" s="1">
        <v>3</v>
      </c>
    </row>
    <row r="8519" spans="1:3" x14ac:dyDescent="0.3">
      <c r="A8519" t="s">
        <v>8518</v>
      </c>
      <c r="B8519">
        <f>0*(1-0.8198)</f>
        <v>0</v>
      </c>
      <c r="C8519" s="1">
        <v>2</v>
      </c>
    </row>
    <row r="8520" spans="1:3" x14ac:dyDescent="0.3">
      <c r="A8520" t="s">
        <v>8519</v>
      </c>
      <c r="B8520">
        <f>0*(1-0.8198)</f>
        <v>0</v>
      </c>
      <c r="C8520" s="1">
        <v>2</v>
      </c>
    </row>
    <row r="8521" spans="1:3" x14ac:dyDescent="0.3">
      <c r="A8521" t="s">
        <v>8520</v>
      </c>
      <c r="B8521">
        <f>0*(1-0.8198)</f>
        <v>0</v>
      </c>
      <c r="C8521" s="1">
        <v>2</v>
      </c>
    </row>
    <row r="8522" spans="1:3" x14ac:dyDescent="0.3">
      <c r="A8522" t="s">
        <v>8521</v>
      </c>
      <c r="B8522">
        <f>0*(1-0.8198)</f>
        <v>0</v>
      </c>
      <c r="C8522" s="1">
        <v>2</v>
      </c>
    </row>
    <row r="8523" spans="1:3" x14ac:dyDescent="0.3">
      <c r="A8523" t="s">
        <v>8522</v>
      </c>
      <c r="B8523">
        <f>0*(1-0.8198)</f>
        <v>0</v>
      </c>
      <c r="C8523" s="1">
        <v>2</v>
      </c>
    </row>
    <row r="8524" spans="1:3" x14ac:dyDescent="0.3">
      <c r="A8524" t="s">
        <v>8523</v>
      </c>
      <c r="B8524">
        <f>0*(1-0.8198)</f>
        <v>0</v>
      </c>
      <c r="C8524" s="1">
        <v>2</v>
      </c>
    </row>
    <row r="8525" spans="1:3" x14ac:dyDescent="0.3">
      <c r="A8525" t="s">
        <v>8524</v>
      </c>
      <c r="B8525">
        <f>0*(1-0.8198)</f>
        <v>0</v>
      </c>
      <c r="C8525" s="1">
        <v>2</v>
      </c>
    </row>
    <row r="8526" spans="1:3" x14ac:dyDescent="0.3">
      <c r="A8526" t="s">
        <v>8525</v>
      </c>
      <c r="B8526">
        <f>0*(1-0.8198)</f>
        <v>0</v>
      </c>
      <c r="C8526" s="1">
        <v>3</v>
      </c>
    </row>
    <row r="8527" spans="1:3" x14ac:dyDescent="0.3">
      <c r="A8527" t="s">
        <v>8526</v>
      </c>
      <c r="B8527">
        <f>0*(1-0.8198)</f>
        <v>0</v>
      </c>
      <c r="C8527" s="1">
        <v>2</v>
      </c>
    </row>
    <row r="8528" spans="1:3" x14ac:dyDescent="0.3">
      <c r="A8528" t="s">
        <v>8527</v>
      </c>
      <c r="B8528">
        <f>0*(1-0.8198)</f>
        <v>0</v>
      </c>
      <c r="C8528" s="1">
        <v>2</v>
      </c>
    </row>
    <row r="8529" spans="1:3" x14ac:dyDescent="0.3">
      <c r="A8529" t="s">
        <v>8528</v>
      </c>
      <c r="B8529">
        <f>0*(1-0.8198)</f>
        <v>0</v>
      </c>
      <c r="C8529" s="1">
        <v>2</v>
      </c>
    </row>
    <row r="8530" spans="1:3" x14ac:dyDescent="0.3">
      <c r="A8530" t="s">
        <v>8529</v>
      </c>
      <c r="B8530">
        <f>7.41252901571429*(1-0.8198)</f>
        <v>1.3357377286317145</v>
      </c>
      <c r="C8530" s="1">
        <v>2</v>
      </c>
    </row>
    <row r="8531" spans="1:3" x14ac:dyDescent="0.3">
      <c r="A8531" t="s">
        <v>8530</v>
      </c>
      <c r="B8531">
        <f>17.4900776314286*(1-0.8198)</f>
        <v>3.15171198918343</v>
      </c>
      <c r="C8531" s="1">
        <v>2</v>
      </c>
    </row>
    <row r="8532" spans="1:3" x14ac:dyDescent="0.3">
      <c r="A8532" t="s">
        <v>8531</v>
      </c>
      <c r="B8532">
        <f>23.3540132471429*(1-0.8198)</f>
        <v>4.2083931871351439</v>
      </c>
      <c r="C8532" s="1">
        <v>2</v>
      </c>
    </row>
    <row r="8533" spans="1:3" x14ac:dyDescent="0.3">
      <c r="A8533" t="s">
        <v>8532</v>
      </c>
      <c r="B8533">
        <f>30.8412768157143*(1-0.8198)</f>
        <v>5.5575980821917152</v>
      </c>
      <c r="C8533" s="1">
        <v>2</v>
      </c>
    </row>
    <row r="8534" spans="1:3" x14ac:dyDescent="0.3">
      <c r="A8534" t="s">
        <v>8533</v>
      </c>
      <c r="B8534">
        <f>30.1875297557143*(1-0.8198)</f>
        <v>5.4397928619797158</v>
      </c>
      <c r="C8534" s="1">
        <v>2</v>
      </c>
    </row>
    <row r="8535" spans="1:3" x14ac:dyDescent="0.3">
      <c r="A8535" t="s">
        <v>8534</v>
      </c>
      <c r="B8535">
        <f>26.5194638371429*(1-0.8198)</f>
        <v>4.7788073834531444</v>
      </c>
      <c r="C8535" s="1">
        <v>3</v>
      </c>
    </row>
    <row r="8536" spans="1:3" x14ac:dyDescent="0.3">
      <c r="A8536" t="s">
        <v>8535</v>
      </c>
      <c r="B8536">
        <f>18.2109257614286*(1-0.8198)</f>
        <v>3.2816088222094293</v>
      </c>
      <c r="C8536" s="1">
        <v>2</v>
      </c>
    </row>
    <row r="8537" spans="1:3" x14ac:dyDescent="0.3">
      <c r="A8537" t="s">
        <v>8536</v>
      </c>
      <c r="B8537">
        <f>8.04159407571429*(1-0.8198)</f>
        <v>1.4490952524437146</v>
      </c>
      <c r="C8537" s="1">
        <v>2</v>
      </c>
    </row>
    <row r="8538" spans="1:3" x14ac:dyDescent="0.3">
      <c r="A8538" t="s">
        <v>8537</v>
      </c>
      <c r="B8538">
        <f>0*(1-0.8198)</f>
        <v>0</v>
      </c>
      <c r="C8538" s="1">
        <v>2</v>
      </c>
    </row>
    <row r="8539" spans="1:3" x14ac:dyDescent="0.3">
      <c r="A8539" t="s">
        <v>8538</v>
      </c>
      <c r="B8539">
        <f>0*(1-0.8198)</f>
        <v>0</v>
      </c>
      <c r="C8539" s="1">
        <v>3</v>
      </c>
    </row>
    <row r="8540" spans="1:3" x14ac:dyDescent="0.3">
      <c r="A8540" t="s">
        <v>8539</v>
      </c>
      <c r="B8540">
        <f>0*(1-0.8198)</f>
        <v>0</v>
      </c>
      <c r="C8540" s="1">
        <v>2</v>
      </c>
    </row>
    <row r="8541" spans="1:3" x14ac:dyDescent="0.3">
      <c r="A8541" t="s">
        <v>8540</v>
      </c>
      <c r="B8541">
        <f>0*(1-0.8198)</f>
        <v>0</v>
      </c>
      <c r="C8541" s="1">
        <v>2</v>
      </c>
    </row>
    <row r="8542" spans="1:3" x14ac:dyDescent="0.3">
      <c r="A8542" t="s">
        <v>8541</v>
      </c>
      <c r="B8542">
        <f>0*(1-0.8198)</f>
        <v>0</v>
      </c>
      <c r="C8542" s="1">
        <v>2</v>
      </c>
    </row>
    <row r="8543" spans="1:3" x14ac:dyDescent="0.3">
      <c r="A8543" t="s">
        <v>8542</v>
      </c>
      <c r="B8543">
        <f>0*(1-0.8198)</f>
        <v>0</v>
      </c>
      <c r="C8543" s="1">
        <v>2</v>
      </c>
    </row>
    <row r="8544" spans="1:3" x14ac:dyDescent="0.3">
      <c r="A8544" t="s">
        <v>8543</v>
      </c>
      <c r="B8544">
        <f>0*(1-0.8198)</f>
        <v>0</v>
      </c>
      <c r="C8544" s="1">
        <v>2</v>
      </c>
    </row>
    <row r="8545" spans="1:3" x14ac:dyDescent="0.3">
      <c r="A8545" t="s">
        <v>8544</v>
      </c>
      <c r="B8545">
        <f>0*(1-0.8198)</f>
        <v>0</v>
      </c>
      <c r="C8545" s="1">
        <v>2</v>
      </c>
    </row>
    <row r="8546" spans="1:3" x14ac:dyDescent="0.3">
      <c r="A8546" t="s">
        <v>8545</v>
      </c>
      <c r="B8546">
        <f>0*(1-0.8198)</f>
        <v>0</v>
      </c>
      <c r="C8546" s="1">
        <v>2</v>
      </c>
    </row>
    <row r="8547" spans="1:3" x14ac:dyDescent="0.3">
      <c r="A8547" t="s">
        <v>8546</v>
      </c>
      <c r="B8547">
        <f>0*(1-0.8198)</f>
        <v>0</v>
      </c>
      <c r="C8547" s="1">
        <v>3</v>
      </c>
    </row>
    <row r="8548" spans="1:3" x14ac:dyDescent="0.3">
      <c r="A8548" t="s">
        <v>8547</v>
      </c>
      <c r="B8548">
        <f>0*(1-0.8198)</f>
        <v>0</v>
      </c>
      <c r="C8548" s="1">
        <v>2</v>
      </c>
    </row>
    <row r="8549" spans="1:3" x14ac:dyDescent="0.3">
      <c r="A8549" t="s">
        <v>8548</v>
      </c>
      <c r="B8549">
        <f>0*(1-0.8198)</f>
        <v>0</v>
      </c>
      <c r="C8549" s="1">
        <v>2</v>
      </c>
    </row>
    <row r="8550" spans="1:3" x14ac:dyDescent="0.3">
      <c r="A8550" t="s">
        <v>8549</v>
      </c>
      <c r="B8550">
        <f>0*(1-0.8198)</f>
        <v>0</v>
      </c>
      <c r="C8550" s="1">
        <v>2</v>
      </c>
    </row>
    <row r="8551" spans="1:3" x14ac:dyDescent="0.3">
      <c r="A8551" t="s">
        <v>8550</v>
      </c>
      <c r="B8551">
        <f>0*(1-0.8198)</f>
        <v>0</v>
      </c>
      <c r="C8551" s="1">
        <v>3</v>
      </c>
    </row>
    <row r="8552" spans="1:3" x14ac:dyDescent="0.3">
      <c r="A8552" t="s">
        <v>8551</v>
      </c>
      <c r="B8552">
        <f>0*(1-0.8198)</f>
        <v>0</v>
      </c>
      <c r="C8552" s="1">
        <v>4</v>
      </c>
    </row>
    <row r="8553" spans="1:3" x14ac:dyDescent="0.3">
      <c r="A8553" t="s">
        <v>8552</v>
      </c>
      <c r="B8553">
        <f>0*(1-0.8198)</f>
        <v>0</v>
      </c>
      <c r="C8553" s="1">
        <v>4</v>
      </c>
    </row>
    <row r="8554" spans="1:3" x14ac:dyDescent="0.3">
      <c r="A8554" t="s">
        <v>8553</v>
      </c>
      <c r="B8554">
        <f>8.05462233857143*(1-0.8198)</f>
        <v>1.4514429454105717</v>
      </c>
      <c r="C8554" s="1">
        <v>5</v>
      </c>
    </row>
    <row r="8555" spans="1:3" x14ac:dyDescent="0.3">
      <c r="A8555" t="s">
        <v>8554</v>
      </c>
      <c r="B8555">
        <f>18.3843983271429*(1-0.8198)</f>
        <v>3.3128685785511442</v>
      </c>
      <c r="C8555" s="1">
        <v>5</v>
      </c>
    </row>
    <row r="8556" spans="1:3" x14ac:dyDescent="0.3">
      <c r="A8556" t="s">
        <v>8555</v>
      </c>
      <c r="B8556">
        <f>26.4502222885714*(1-0.8198)</f>
        <v>4.7663300564005722</v>
      </c>
      <c r="C8556" s="1">
        <v>4</v>
      </c>
    </row>
    <row r="8557" spans="1:3" x14ac:dyDescent="0.3">
      <c r="A8557" t="s">
        <v>8556</v>
      </c>
      <c r="B8557">
        <f>30.90816178*(1-0.8198)</f>
        <v>5.5696507527560009</v>
      </c>
      <c r="C8557" s="1">
        <v>5</v>
      </c>
    </row>
    <row r="8558" spans="1:3" x14ac:dyDescent="0.3">
      <c r="A8558" t="s">
        <v>8557</v>
      </c>
      <c r="B8558">
        <f>30.8041444114286*(1-0.8198)</f>
        <v>5.5509068229394298</v>
      </c>
      <c r="C8558" s="1">
        <v>5</v>
      </c>
    </row>
    <row r="8559" spans="1:3" x14ac:dyDescent="0.3">
      <c r="A8559" t="s">
        <v>8558</v>
      </c>
      <c r="B8559">
        <f>26.8027209314286*(1-0.8198)</f>
        <v>4.8298503118434306</v>
      </c>
      <c r="C8559" s="1">
        <v>5</v>
      </c>
    </row>
    <row r="8560" spans="1:3" x14ac:dyDescent="0.3">
      <c r="A8560" t="s">
        <v>8559</v>
      </c>
      <c r="B8560">
        <f>18.21201274*(1-0.8198)</f>
        <v>3.2818046957480003</v>
      </c>
      <c r="C8560" s="1">
        <v>2</v>
      </c>
    </row>
    <row r="8561" spans="1:3" x14ac:dyDescent="0.3">
      <c r="A8561" t="s">
        <v>8560</v>
      </c>
      <c r="B8561">
        <f>8.24373142428572*(1-0.8198)</f>
        <v>1.4855204026562863</v>
      </c>
      <c r="C8561" s="1">
        <v>2</v>
      </c>
    </row>
    <row r="8562" spans="1:3" x14ac:dyDescent="0.3">
      <c r="A8562" t="s">
        <v>8561</v>
      </c>
      <c r="B8562">
        <f>0.03956*(1-0.8198)</f>
        <v>7.1287120000000023E-3</v>
      </c>
      <c r="C8562" s="1">
        <v>2</v>
      </c>
    </row>
    <row r="8563" spans="1:3" x14ac:dyDescent="0.3">
      <c r="A8563" t="s">
        <v>8562</v>
      </c>
      <c r="B8563">
        <f>0*(1-0.8198)</f>
        <v>0</v>
      </c>
      <c r="C8563" s="1">
        <v>2</v>
      </c>
    </row>
    <row r="8564" spans="1:3" x14ac:dyDescent="0.3">
      <c r="A8564" t="s">
        <v>8563</v>
      </c>
      <c r="B8564">
        <f>0*(1-0.8198)</f>
        <v>0</v>
      </c>
      <c r="C8564" s="1">
        <v>3</v>
      </c>
    </row>
    <row r="8565" spans="1:3" x14ac:dyDescent="0.3">
      <c r="A8565" t="s">
        <v>8564</v>
      </c>
      <c r="B8565">
        <f>0*(1-0.8198)</f>
        <v>0</v>
      </c>
      <c r="C8565" s="1">
        <v>2</v>
      </c>
    </row>
    <row r="8566" spans="1:3" x14ac:dyDescent="0.3">
      <c r="A8566" t="s">
        <v>8565</v>
      </c>
      <c r="B8566">
        <f>0*(1-0.8198)</f>
        <v>0</v>
      </c>
      <c r="C8566" s="1">
        <v>2</v>
      </c>
    </row>
    <row r="8567" spans="1:3" x14ac:dyDescent="0.3">
      <c r="A8567" t="s">
        <v>8566</v>
      </c>
      <c r="B8567">
        <f>0*(1-0.8198)</f>
        <v>0</v>
      </c>
      <c r="C8567" s="1">
        <v>2</v>
      </c>
    </row>
    <row r="8568" spans="1:3" x14ac:dyDescent="0.3">
      <c r="A8568" t="s">
        <v>8567</v>
      </c>
      <c r="B8568">
        <f>0*(1-0.8198)</f>
        <v>0</v>
      </c>
      <c r="C8568" s="1">
        <v>2</v>
      </c>
    </row>
    <row r="8569" spans="1:3" x14ac:dyDescent="0.3">
      <c r="A8569" t="s">
        <v>8568</v>
      </c>
      <c r="B8569">
        <f>0*(1-0.8198)</f>
        <v>0</v>
      </c>
      <c r="C8569" s="1">
        <v>2</v>
      </c>
    </row>
    <row r="8570" spans="1:3" x14ac:dyDescent="0.3">
      <c r="A8570" t="s">
        <v>8569</v>
      </c>
      <c r="B8570">
        <f>0*(1-0.8198)</f>
        <v>0</v>
      </c>
      <c r="C8570" s="1">
        <v>3</v>
      </c>
    </row>
    <row r="8571" spans="1:3" x14ac:dyDescent="0.3">
      <c r="A8571" t="s">
        <v>8570</v>
      </c>
      <c r="B8571">
        <f>0*(1-0.8198)</f>
        <v>0</v>
      </c>
      <c r="C8571" s="1">
        <v>2</v>
      </c>
    </row>
    <row r="8572" spans="1:3" x14ac:dyDescent="0.3">
      <c r="A8572" t="s">
        <v>8571</v>
      </c>
      <c r="B8572">
        <f>0*(1-0.8198)</f>
        <v>0</v>
      </c>
      <c r="C8572" s="1">
        <v>2</v>
      </c>
    </row>
    <row r="8573" spans="1:3" x14ac:dyDescent="0.3">
      <c r="A8573" t="s">
        <v>8572</v>
      </c>
      <c r="B8573">
        <f>0*(1-0.8198)</f>
        <v>0</v>
      </c>
      <c r="C8573" s="1">
        <v>2</v>
      </c>
    </row>
    <row r="8574" spans="1:3" x14ac:dyDescent="0.3">
      <c r="A8574" t="s">
        <v>8573</v>
      </c>
      <c r="B8574">
        <f>0*(1-0.8198)</f>
        <v>0</v>
      </c>
      <c r="C8574" s="1">
        <v>2</v>
      </c>
    </row>
    <row r="8575" spans="1:3" x14ac:dyDescent="0.3">
      <c r="A8575" t="s">
        <v>8574</v>
      </c>
      <c r="B8575">
        <f>0*(1-0.8198)</f>
        <v>0</v>
      </c>
      <c r="C8575" s="1">
        <v>3</v>
      </c>
    </row>
    <row r="8576" spans="1:3" x14ac:dyDescent="0.3">
      <c r="A8576" t="s">
        <v>8575</v>
      </c>
      <c r="B8576">
        <f>0*(1-0.8198)</f>
        <v>0</v>
      </c>
      <c r="C8576" s="1">
        <v>4</v>
      </c>
    </row>
    <row r="8577" spans="1:3" x14ac:dyDescent="0.3">
      <c r="A8577" t="s">
        <v>8576</v>
      </c>
      <c r="B8577">
        <f>0*(1-0.8198)</f>
        <v>0</v>
      </c>
      <c r="C8577" s="1">
        <v>4</v>
      </c>
    </row>
    <row r="8578" spans="1:3" x14ac:dyDescent="0.3">
      <c r="A8578" t="s">
        <v>8577</v>
      </c>
      <c r="B8578">
        <f>7.97294445285714*(1-0.8198)</f>
        <v>1.4367245904048576</v>
      </c>
      <c r="C8578" s="1">
        <v>4</v>
      </c>
    </row>
    <row r="8579" spans="1:3" x14ac:dyDescent="0.3">
      <c r="A8579" t="s">
        <v>8578</v>
      </c>
      <c r="B8579">
        <f>18.5214779657143*(1-0.8198)</f>
        <v>3.3375703294217147</v>
      </c>
      <c r="C8579" s="1">
        <v>4</v>
      </c>
    </row>
    <row r="8580" spans="1:3" x14ac:dyDescent="0.3">
      <c r="A8580" t="s">
        <v>8579</v>
      </c>
      <c r="B8580">
        <f>26.3950644071429*(1-0.8198)</f>
        <v>4.7563906061671437</v>
      </c>
      <c r="C8580" s="1">
        <v>4</v>
      </c>
    </row>
    <row r="8581" spans="1:3" x14ac:dyDescent="0.3">
      <c r="A8581" t="s">
        <v>8580</v>
      </c>
      <c r="B8581">
        <f>31.1997861214286*(1-0.8198)</f>
        <v>5.6222014590814302</v>
      </c>
      <c r="C8581" s="1">
        <v>5</v>
      </c>
    </row>
    <row r="8582" spans="1:3" x14ac:dyDescent="0.3">
      <c r="A8582" t="s">
        <v>8581</v>
      </c>
      <c r="B8582">
        <f>30.6018919457143*(1-0.8198)</f>
        <v>5.5144609286177166</v>
      </c>
      <c r="C8582" s="1">
        <v>4</v>
      </c>
    </row>
    <row r="8583" spans="1:3" x14ac:dyDescent="0.3">
      <c r="A8583" t="s">
        <v>8582</v>
      </c>
      <c r="B8583">
        <f>27.2476929171429*(1-0.8198)</f>
        <v>4.9100342636691439</v>
      </c>
      <c r="C8583" s="1">
        <v>3</v>
      </c>
    </row>
    <row r="8584" spans="1:3" x14ac:dyDescent="0.3">
      <c r="A8584" t="s">
        <v>8583</v>
      </c>
      <c r="B8584">
        <f>18.8007200271429*(1-0.8198)</f>
        <v>3.3878897488911441</v>
      </c>
      <c r="C8584" s="1">
        <v>2</v>
      </c>
    </row>
    <row r="8585" spans="1:3" x14ac:dyDescent="0.3">
      <c r="A8585" t="s">
        <v>8584</v>
      </c>
      <c r="B8585">
        <f>8.34662661571429*(1-0.8198)</f>
        <v>1.5040621161517145</v>
      </c>
      <c r="C8585" s="1">
        <v>2</v>
      </c>
    </row>
    <row r="8586" spans="1:3" x14ac:dyDescent="0.3">
      <c r="A8586" t="s">
        <v>8585</v>
      </c>
      <c r="B8586">
        <f>0.07568*(1-0.8198)</f>
        <v>1.3637536000000002E-2</v>
      </c>
      <c r="C8586" s="1">
        <v>2</v>
      </c>
    </row>
    <row r="8587" spans="1:3" x14ac:dyDescent="0.3">
      <c r="A8587" t="s">
        <v>8586</v>
      </c>
      <c r="B8587">
        <f>0*(1-0.8198)</f>
        <v>0</v>
      </c>
      <c r="C8587" s="1">
        <v>2</v>
      </c>
    </row>
    <row r="8588" spans="1:3" x14ac:dyDescent="0.3">
      <c r="A8588" t="s">
        <v>8587</v>
      </c>
      <c r="B8588">
        <f>0*(1-0.8198)</f>
        <v>0</v>
      </c>
      <c r="C8588" s="1">
        <v>2</v>
      </c>
    </row>
    <row r="8589" spans="1:3" x14ac:dyDescent="0.3">
      <c r="A8589" t="s">
        <v>8588</v>
      </c>
      <c r="B8589">
        <f>0*(1-0.8198)</f>
        <v>0</v>
      </c>
      <c r="C8589" s="1">
        <v>2</v>
      </c>
    </row>
    <row r="8590" spans="1:3" x14ac:dyDescent="0.3">
      <c r="A8590" t="s">
        <v>8589</v>
      </c>
      <c r="B8590">
        <f>0*(1-0.8198)</f>
        <v>0</v>
      </c>
      <c r="C8590" s="1">
        <v>3</v>
      </c>
    </row>
    <row r="8591" spans="1:3" x14ac:dyDescent="0.3">
      <c r="A8591" t="s">
        <v>8590</v>
      </c>
      <c r="B8591">
        <f>0*(1-0.8198)</f>
        <v>0</v>
      </c>
      <c r="C8591" s="1">
        <v>1</v>
      </c>
    </row>
    <row r="8592" spans="1:3" x14ac:dyDescent="0.3">
      <c r="A8592" t="s">
        <v>8591</v>
      </c>
      <c r="B8592">
        <f>0*(1-0.8198)</f>
        <v>0</v>
      </c>
      <c r="C8592" s="1">
        <v>2</v>
      </c>
    </row>
    <row r="8593" spans="1:3" x14ac:dyDescent="0.3">
      <c r="A8593" t="s">
        <v>8592</v>
      </c>
      <c r="B8593">
        <f>0*(1-0.8198)</f>
        <v>0</v>
      </c>
      <c r="C8593" s="1">
        <v>2</v>
      </c>
    </row>
    <row r="8594" spans="1:3" x14ac:dyDescent="0.3">
      <c r="A8594" t="s">
        <v>8593</v>
      </c>
      <c r="B8594">
        <f>0*(1-0.8198)</f>
        <v>0</v>
      </c>
      <c r="C8594" s="1">
        <v>3</v>
      </c>
    </row>
    <row r="8595" spans="1:3" x14ac:dyDescent="0.3">
      <c r="A8595" t="s">
        <v>8594</v>
      </c>
      <c r="B8595">
        <f>0*(1-0.8198)</f>
        <v>0</v>
      </c>
      <c r="C8595" s="1">
        <v>2</v>
      </c>
    </row>
    <row r="8596" spans="1:3" x14ac:dyDescent="0.3">
      <c r="A8596" t="s">
        <v>8595</v>
      </c>
      <c r="B8596">
        <f>0*(1-0.8198)</f>
        <v>0</v>
      </c>
      <c r="C8596" s="1">
        <v>2</v>
      </c>
    </row>
    <row r="8597" spans="1:3" x14ac:dyDescent="0.3">
      <c r="A8597" t="s">
        <v>8596</v>
      </c>
      <c r="B8597">
        <f>0*(1-0.8198)</f>
        <v>0</v>
      </c>
      <c r="C8597" s="1">
        <v>2</v>
      </c>
    </row>
    <row r="8598" spans="1:3" x14ac:dyDescent="0.3">
      <c r="A8598" t="s">
        <v>8597</v>
      </c>
      <c r="B8598">
        <f>0*(1-0.8198)</f>
        <v>0</v>
      </c>
      <c r="C8598" s="1">
        <v>2</v>
      </c>
    </row>
    <row r="8599" spans="1:3" x14ac:dyDescent="0.3">
      <c r="A8599" t="s">
        <v>8598</v>
      </c>
      <c r="B8599">
        <f>0*(1-0.8198)</f>
        <v>0</v>
      </c>
      <c r="C8599" s="1">
        <v>2</v>
      </c>
    </row>
    <row r="8600" spans="1:3" x14ac:dyDescent="0.3">
      <c r="A8600" t="s">
        <v>8599</v>
      </c>
      <c r="B8600">
        <f>0*(1-0.8198)</f>
        <v>0</v>
      </c>
      <c r="C8600" s="1">
        <v>2</v>
      </c>
    </row>
    <row r="8601" spans="1:3" x14ac:dyDescent="0.3">
      <c r="A8601" t="s">
        <v>8600</v>
      </c>
      <c r="B8601">
        <f>0*(1-0.8198)</f>
        <v>0</v>
      </c>
      <c r="C8601" s="1">
        <v>2</v>
      </c>
    </row>
    <row r="8602" spans="1:3" x14ac:dyDescent="0.3">
      <c r="A8602" t="s">
        <v>8601</v>
      </c>
      <c r="B8602">
        <f>8.05117054428571*(1-0.8198)</f>
        <v>1.4508209320802858</v>
      </c>
      <c r="C8602" s="1">
        <v>2</v>
      </c>
    </row>
    <row r="8603" spans="1:3" x14ac:dyDescent="0.3">
      <c r="A8603" t="s">
        <v>8602</v>
      </c>
      <c r="B8603">
        <f>18.3023721414286*(1-0.8198)</f>
        <v>3.2980874598854295</v>
      </c>
      <c r="C8603" s="1">
        <v>2</v>
      </c>
    </row>
    <row r="8604" spans="1:3" x14ac:dyDescent="0.3">
      <c r="A8604" t="s">
        <v>8603</v>
      </c>
      <c r="B8604">
        <f>26.6738327928571*(1-0.8198)</f>
        <v>4.8066246692728578</v>
      </c>
      <c r="C8604" s="1">
        <v>2</v>
      </c>
    </row>
    <row r="8605" spans="1:3" x14ac:dyDescent="0.3">
      <c r="A8605" t="s">
        <v>8604</v>
      </c>
      <c r="B8605">
        <f>30.7970163014286*(1-0.8198)</f>
        <v>5.5496223375174294</v>
      </c>
      <c r="C8605" s="1">
        <v>2</v>
      </c>
    </row>
    <row r="8606" spans="1:3" x14ac:dyDescent="0.3">
      <c r="A8606" t="s">
        <v>8605</v>
      </c>
      <c r="B8606">
        <f>30.0928315314286*(1-0.8198)</f>
        <v>5.42272824196343</v>
      </c>
      <c r="C8606" s="1">
        <v>2</v>
      </c>
    </row>
    <row r="8607" spans="1:3" x14ac:dyDescent="0.3">
      <c r="A8607" t="s">
        <v>8606</v>
      </c>
      <c r="B8607">
        <f>26.8572304957143*(1-0.8198)</f>
        <v>4.8396729353277159</v>
      </c>
      <c r="C8607" s="1">
        <v>2</v>
      </c>
    </row>
    <row r="8608" spans="1:3" x14ac:dyDescent="0.3">
      <c r="A8608" t="s">
        <v>8607</v>
      </c>
      <c r="B8608">
        <f>18.7539097357143*(1-0.8198)</f>
        <v>3.3794545343757152</v>
      </c>
      <c r="C8608" s="1">
        <v>2</v>
      </c>
    </row>
    <row r="8609" spans="1:3" x14ac:dyDescent="0.3">
      <c r="A8609" t="s">
        <v>8608</v>
      </c>
      <c r="B8609">
        <f>8.47451518857143*(1-0.8198)</f>
        <v>1.5271076369805716</v>
      </c>
      <c r="C8609" s="1">
        <v>3</v>
      </c>
    </row>
    <row r="8610" spans="1:3" x14ac:dyDescent="0.3">
      <c r="A8610" t="s">
        <v>8609</v>
      </c>
      <c r="B8610">
        <f>0.11266*(1-0.8198)</f>
        <v>2.0301332000000005E-2</v>
      </c>
      <c r="C8610" s="1">
        <v>2</v>
      </c>
    </row>
    <row r="8611" spans="1:3" x14ac:dyDescent="0.3">
      <c r="A8611" t="s">
        <v>8610</v>
      </c>
      <c r="B8611">
        <f>0*(1-0.8198)</f>
        <v>0</v>
      </c>
      <c r="C8611" s="1">
        <v>2</v>
      </c>
    </row>
    <row r="8612" spans="1:3" x14ac:dyDescent="0.3">
      <c r="A8612" t="s">
        <v>8611</v>
      </c>
      <c r="B8612">
        <f>0*(1-0.8198)</f>
        <v>0</v>
      </c>
      <c r="C8612" s="1">
        <v>2</v>
      </c>
    </row>
    <row r="8613" spans="1:3" x14ac:dyDescent="0.3">
      <c r="A8613" t="s">
        <v>8612</v>
      </c>
      <c r="B8613">
        <f>0*(1-0.8198)</f>
        <v>0</v>
      </c>
      <c r="C8613" s="1">
        <v>2</v>
      </c>
    </row>
    <row r="8614" spans="1:3" x14ac:dyDescent="0.3">
      <c r="A8614" t="s">
        <v>8613</v>
      </c>
      <c r="B8614">
        <f>0*(1-0.8198)</f>
        <v>0</v>
      </c>
      <c r="C8614" s="1">
        <v>2</v>
      </c>
    </row>
    <row r="8615" spans="1:3" x14ac:dyDescent="0.3">
      <c r="A8615" t="s">
        <v>8614</v>
      </c>
      <c r="B8615">
        <f>0*(1-0.8198)</f>
        <v>0</v>
      </c>
      <c r="C8615" s="1">
        <v>2</v>
      </c>
    </row>
    <row r="8616" spans="1:3" x14ac:dyDescent="0.3">
      <c r="A8616" t="s">
        <v>8615</v>
      </c>
      <c r="B8616">
        <f>0*(1-0.8198)</f>
        <v>0</v>
      </c>
      <c r="C8616" s="1">
        <v>2</v>
      </c>
    </row>
    <row r="8617" spans="1:3" x14ac:dyDescent="0.3">
      <c r="A8617" t="s">
        <v>8616</v>
      </c>
      <c r="B8617">
        <f>0*(1-0.8198)</f>
        <v>0</v>
      </c>
      <c r="C8617" s="1">
        <v>2</v>
      </c>
    </row>
    <row r="8618" spans="1:3" x14ac:dyDescent="0.3">
      <c r="A8618" t="s">
        <v>8617</v>
      </c>
      <c r="B8618">
        <f>0*(1-0.8198)</f>
        <v>0</v>
      </c>
      <c r="C8618" s="1">
        <v>2</v>
      </c>
    </row>
    <row r="8619" spans="1:3" x14ac:dyDescent="0.3">
      <c r="A8619" t="s">
        <v>8618</v>
      </c>
      <c r="B8619">
        <f>0*(1-0.8198)</f>
        <v>0</v>
      </c>
      <c r="C8619" s="1">
        <v>2</v>
      </c>
    </row>
    <row r="8620" spans="1:3" x14ac:dyDescent="0.3">
      <c r="A8620" t="s">
        <v>8619</v>
      </c>
      <c r="B8620">
        <f>0*(1-0.8198)</f>
        <v>0</v>
      </c>
      <c r="C8620" s="1">
        <v>2</v>
      </c>
    </row>
    <row r="8621" spans="1:3" x14ac:dyDescent="0.3">
      <c r="A8621" t="s">
        <v>8620</v>
      </c>
      <c r="B8621">
        <f>0*(1-0.8198)</f>
        <v>0</v>
      </c>
      <c r="C8621" s="1">
        <v>2</v>
      </c>
    </row>
    <row r="8622" spans="1:3" x14ac:dyDescent="0.3">
      <c r="A8622" t="s">
        <v>8621</v>
      </c>
      <c r="B8622">
        <f>0*(1-0.8198)</f>
        <v>0</v>
      </c>
      <c r="C8622" s="1">
        <v>3</v>
      </c>
    </row>
    <row r="8623" spans="1:3" x14ac:dyDescent="0.3">
      <c r="A8623" t="s">
        <v>8622</v>
      </c>
      <c r="B8623">
        <f>0*(1-0.8198)</f>
        <v>0</v>
      </c>
      <c r="C8623" s="1">
        <v>2</v>
      </c>
    </row>
    <row r="8624" spans="1:3" x14ac:dyDescent="0.3">
      <c r="A8624" t="s">
        <v>8623</v>
      </c>
      <c r="B8624">
        <f>0*(1-0.8198)</f>
        <v>0</v>
      </c>
      <c r="C8624" s="1">
        <v>2</v>
      </c>
    </row>
    <row r="8625" spans="1:3" x14ac:dyDescent="0.3">
      <c r="A8625" t="s">
        <v>8624</v>
      </c>
      <c r="B8625">
        <f>0*(1-0.8198)</f>
        <v>0</v>
      </c>
      <c r="C8625" s="1">
        <v>2</v>
      </c>
    </row>
    <row r="8626" spans="1:3" x14ac:dyDescent="0.3">
      <c r="A8626" t="s">
        <v>8625</v>
      </c>
      <c r="B8626">
        <f>7.85553657714286*(1-0.8198)</f>
        <v>1.4155676912011428</v>
      </c>
      <c r="C8626" s="1">
        <v>2</v>
      </c>
    </row>
    <row r="8627" spans="1:3" x14ac:dyDescent="0.3">
      <c r="A8627" t="s">
        <v>8626</v>
      </c>
      <c r="B8627">
        <f>18.4697387685714*(1-0.8198)</f>
        <v>3.3282469260965724</v>
      </c>
      <c r="C8627" s="1">
        <v>2</v>
      </c>
    </row>
    <row r="8628" spans="1:3" x14ac:dyDescent="0.3">
      <c r="A8628" t="s">
        <v>8627</v>
      </c>
      <c r="B8628">
        <f>26.6357483685714*(1-0.8198)</f>
        <v>4.7997618560165716</v>
      </c>
      <c r="C8628" s="1">
        <v>2</v>
      </c>
    </row>
    <row r="8629" spans="1:3" x14ac:dyDescent="0.3">
      <c r="A8629" t="s">
        <v>8628</v>
      </c>
      <c r="B8629">
        <f>31.1020334842857*(1-0.8198)</f>
        <v>5.6045864338682865</v>
      </c>
      <c r="C8629" s="1">
        <v>2</v>
      </c>
    </row>
    <row r="8630" spans="1:3" x14ac:dyDescent="0.3">
      <c r="A8630" t="s">
        <v>8629</v>
      </c>
      <c r="B8630">
        <f>29.71213613*(1-0.8198)</f>
        <v>5.3541269306260002</v>
      </c>
      <c r="C8630" s="1">
        <v>2</v>
      </c>
    </row>
    <row r="8631" spans="1:3" x14ac:dyDescent="0.3">
      <c r="A8631" t="s">
        <v>8630</v>
      </c>
      <c r="B8631">
        <f>26.9703745528571*(1-0.8198)</f>
        <v>4.8600614944248575</v>
      </c>
      <c r="C8631" s="1">
        <v>2</v>
      </c>
    </row>
    <row r="8632" spans="1:3" x14ac:dyDescent="0.3">
      <c r="A8632" t="s">
        <v>8631</v>
      </c>
      <c r="B8632">
        <f>19.0337897942857*(1-0.8198)</f>
        <v>3.4298889209302859</v>
      </c>
      <c r="C8632" s="1">
        <v>2</v>
      </c>
    </row>
    <row r="8633" spans="1:3" x14ac:dyDescent="0.3">
      <c r="A8633" t="s">
        <v>8632</v>
      </c>
      <c r="B8633">
        <f>8.56895209571429*(1-0.8198)</f>
        <v>1.5441251676477146</v>
      </c>
      <c r="C8633" s="1">
        <v>2</v>
      </c>
    </row>
    <row r="8634" spans="1:3" x14ac:dyDescent="0.3">
      <c r="A8634" t="s">
        <v>8633</v>
      </c>
      <c r="B8634">
        <f>0.1118*(1-0.8198)</f>
        <v>2.0146360000000006E-2</v>
      </c>
      <c r="C8634" s="1">
        <v>2</v>
      </c>
    </row>
    <row r="8635" spans="1:3" x14ac:dyDescent="0.3">
      <c r="A8635" t="s">
        <v>8634</v>
      </c>
      <c r="B8635">
        <f>0*(1-0.8198)</f>
        <v>0</v>
      </c>
      <c r="C8635" s="1">
        <v>2</v>
      </c>
    </row>
    <row r="8636" spans="1:3" x14ac:dyDescent="0.3">
      <c r="A8636" t="s">
        <v>8635</v>
      </c>
      <c r="B8636">
        <f>0*(1-0.8198)</f>
        <v>0</v>
      </c>
      <c r="C8636" s="1">
        <v>2</v>
      </c>
    </row>
    <row r="8637" spans="1:3" x14ac:dyDescent="0.3">
      <c r="A8637" t="s">
        <v>8636</v>
      </c>
      <c r="B8637">
        <f>0*(1-0.8198)</f>
        <v>0</v>
      </c>
      <c r="C8637" s="1">
        <v>2</v>
      </c>
    </row>
    <row r="8638" spans="1:3" x14ac:dyDescent="0.3">
      <c r="A8638" t="s">
        <v>8637</v>
      </c>
      <c r="B8638">
        <f>0*(1-0.8198)</f>
        <v>0</v>
      </c>
      <c r="C8638" s="1">
        <v>3</v>
      </c>
    </row>
    <row r="8639" spans="1:3" x14ac:dyDescent="0.3">
      <c r="A8639" t="s">
        <v>8638</v>
      </c>
      <c r="B8639">
        <f>0*(1-0.8198)</f>
        <v>0</v>
      </c>
      <c r="C8639" s="1">
        <v>2</v>
      </c>
    </row>
    <row r="8640" spans="1:3" x14ac:dyDescent="0.3">
      <c r="A8640" t="s">
        <v>8639</v>
      </c>
      <c r="B8640">
        <f>0*(1-0.8198)</f>
        <v>0</v>
      </c>
      <c r="C8640" s="1">
        <v>1</v>
      </c>
    </row>
    <row r="8641" spans="1:3" x14ac:dyDescent="0.3">
      <c r="A8641" t="s">
        <v>8640</v>
      </c>
      <c r="B8641">
        <f>0*(1-0.8198)</f>
        <v>0</v>
      </c>
      <c r="C8641" s="1">
        <v>2</v>
      </c>
    </row>
    <row r="8642" spans="1:3" x14ac:dyDescent="0.3">
      <c r="A8642" t="s">
        <v>8641</v>
      </c>
      <c r="B8642">
        <f>0*(1-0.8198)</f>
        <v>0</v>
      </c>
      <c r="C8642" s="1">
        <v>2</v>
      </c>
    </row>
    <row r="8643" spans="1:3" x14ac:dyDescent="0.3">
      <c r="A8643" t="s">
        <v>8642</v>
      </c>
      <c r="B8643">
        <f>0*(1-0.8198)</f>
        <v>0</v>
      </c>
      <c r="C8643" s="1">
        <v>3</v>
      </c>
    </row>
    <row r="8644" spans="1:3" x14ac:dyDescent="0.3">
      <c r="A8644" t="s">
        <v>8643</v>
      </c>
      <c r="B8644">
        <f>0*(1-0.8198)</f>
        <v>0</v>
      </c>
      <c r="C8644" s="1">
        <v>2</v>
      </c>
    </row>
    <row r="8645" spans="1:3" x14ac:dyDescent="0.3">
      <c r="A8645" t="s">
        <v>8644</v>
      </c>
      <c r="B8645">
        <f>0*(1-0.8198)</f>
        <v>0</v>
      </c>
      <c r="C8645" s="1">
        <v>2</v>
      </c>
    </row>
    <row r="8646" spans="1:3" x14ac:dyDescent="0.3">
      <c r="A8646" t="s">
        <v>8645</v>
      </c>
      <c r="B8646">
        <f>0*(1-0.8198)</f>
        <v>0</v>
      </c>
      <c r="C8646" s="1">
        <v>2</v>
      </c>
    </row>
    <row r="8647" spans="1:3" x14ac:dyDescent="0.3">
      <c r="A8647" t="s">
        <v>8646</v>
      </c>
      <c r="B8647">
        <f>0*(1-0.8198)</f>
        <v>0</v>
      </c>
      <c r="C8647" s="1">
        <v>2</v>
      </c>
    </row>
    <row r="8648" spans="1:3" x14ac:dyDescent="0.3">
      <c r="A8648" t="s">
        <v>8647</v>
      </c>
      <c r="B8648">
        <f>0*(1-0.8198)</f>
        <v>0</v>
      </c>
      <c r="C8648" s="1">
        <v>4</v>
      </c>
    </row>
    <row r="8649" spans="1:3" x14ac:dyDescent="0.3">
      <c r="A8649" t="s">
        <v>8648</v>
      </c>
      <c r="B8649">
        <f>0*(1-0.8198)</f>
        <v>0</v>
      </c>
      <c r="C8649" s="1">
        <v>4</v>
      </c>
    </row>
    <row r="8650" spans="1:3" x14ac:dyDescent="0.3">
      <c r="A8650" t="s">
        <v>8649</v>
      </c>
      <c r="B8650">
        <f>8.14086037428572*(1-0.8198)</f>
        <v>1.4669830394462862</v>
      </c>
      <c r="C8650" s="1">
        <v>4</v>
      </c>
    </row>
    <row r="8651" spans="1:3" x14ac:dyDescent="0.3">
      <c r="A8651" t="s">
        <v>8650</v>
      </c>
      <c r="B8651">
        <f>18.4609277614286*(1-0.8198)</f>
        <v>3.3266591826094292</v>
      </c>
      <c r="C8651" s="1">
        <v>6</v>
      </c>
    </row>
    <row r="8652" spans="1:3" x14ac:dyDescent="0.3">
      <c r="A8652" t="s">
        <v>8651</v>
      </c>
      <c r="B8652">
        <f>26.4447444571429*(1-0.8198)</f>
        <v>4.7653429511771446</v>
      </c>
      <c r="C8652" s="1">
        <v>4</v>
      </c>
    </row>
    <row r="8653" spans="1:3" x14ac:dyDescent="0.3">
      <c r="A8653" t="s">
        <v>8652</v>
      </c>
      <c r="B8653">
        <f>31.0486245357143*(1-0.8198)</f>
        <v>5.5949621413357153</v>
      </c>
      <c r="C8653" s="1">
        <v>4</v>
      </c>
    </row>
    <row r="8654" spans="1:3" x14ac:dyDescent="0.3">
      <c r="A8654" t="s">
        <v>8653</v>
      </c>
      <c r="B8654">
        <f>31.0094366085714*(1-0.8198)</f>
        <v>5.587900476864573</v>
      </c>
      <c r="C8654" s="1">
        <v>3</v>
      </c>
    </row>
    <row r="8655" spans="1:3" x14ac:dyDescent="0.3">
      <c r="A8655" t="s">
        <v>8654</v>
      </c>
      <c r="B8655">
        <f>27.5059869142857*(1-0.8198)</f>
        <v>4.9565788419542862</v>
      </c>
      <c r="C8655" s="1">
        <v>4</v>
      </c>
    </row>
    <row r="8656" spans="1:3" x14ac:dyDescent="0.3">
      <c r="A8656" t="s">
        <v>8655</v>
      </c>
      <c r="B8656">
        <f>19.49206985*(1-0.8198)</f>
        <v>3.5124709869700013</v>
      </c>
      <c r="C8656" s="1">
        <v>3</v>
      </c>
    </row>
    <row r="8657" spans="1:3" x14ac:dyDescent="0.3">
      <c r="A8657" t="s">
        <v>8656</v>
      </c>
      <c r="B8657">
        <f>8.88724792428571*(1-0.8198)</f>
        <v>1.6014820759562858</v>
      </c>
      <c r="C8657" s="1">
        <v>1</v>
      </c>
    </row>
    <row r="8658" spans="1:3" x14ac:dyDescent="0.3">
      <c r="A8658" t="s">
        <v>8657</v>
      </c>
      <c r="B8658">
        <f>0.03956*(1-0.8198)</f>
        <v>7.1287120000000023E-3</v>
      </c>
      <c r="C8658" s="1">
        <v>2</v>
      </c>
    </row>
    <row r="8659" spans="1:3" x14ac:dyDescent="0.3">
      <c r="A8659" t="s">
        <v>8658</v>
      </c>
      <c r="B8659">
        <f>0*(1-0.8198)</f>
        <v>0</v>
      </c>
      <c r="C8659" s="1">
        <v>2</v>
      </c>
    </row>
    <row r="8660" spans="1:3" x14ac:dyDescent="0.3">
      <c r="A8660" t="s">
        <v>8659</v>
      </c>
      <c r="B8660">
        <f>0*(1-0.8198)</f>
        <v>0</v>
      </c>
      <c r="C8660" s="1">
        <v>2</v>
      </c>
    </row>
    <row r="8661" spans="1:3" x14ac:dyDescent="0.3">
      <c r="A8661" t="s">
        <v>8660</v>
      </c>
      <c r="B8661">
        <f>0*(1-0.8198)</f>
        <v>0</v>
      </c>
      <c r="C8661" s="1">
        <v>2</v>
      </c>
    </row>
    <row r="8662" spans="1:3" x14ac:dyDescent="0.3">
      <c r="A8662" t="s">
        <v>8661</v>
      </c>
      <c r="B8662">
        <f>0*(1-0.8198)</f>
        <v>0</v>
      </c>
      <c r="C8662" s="1">
        <v>2</v>
      </c>
    </row>
    <row r="8663" spans="1:3" x14ac:dyDescent="0.3">
      <c r="A8663" t="s">
        <v>8662</v>
      </c>
      <c r="B8663">
        <f>0*(1-0.8198)</f>
        <v>0</v>
      </c>
      <c r="C8663" s="1">
        <v>2</v>
      </c>
    </row>
    <row r="8664" spans="1:3" x14ac:dyDescent="0.3">
      <c r="A8664" t="s">
        <v>8663</v>
      </c>
      <c r="B8664">
        <f>0*(1-0.8198)</f>
        <v>0</v>
      </c>
      <c r="C8664" s="1">
        <v>2</v>
      </c>
    </row>
    <row r="8665" spans="1:3" x14ac:dyDescent="0.3">
      <c r="A8665" t="s">
        <v>8664</v>
      </c>
      <c r="B8665">
        <f>0*(1-0.8198)</f>
        <v>0</v>
      </c>
      <c r="C8665" s="1">
        <v>2</v>
      </c>
    </row>
    <row r="8666" spans="1:3" x14ac:dyDescent="0.3">
      <c r="A8666" t="s">
        <v>8665</v>
      </c>
      <c r="B8666">
        <f>0*(1-0.8198)</f>
        <v>0</v>
      </c>
      <c r="C8666" s="1">
        <v>2</v>
      </c>
    </row>
    <row r="8667" spans="1:3" x14ac:dyDescent="0.3">
      <c r="A8667" t="s">
        <v>8666</v>
      </c>
      <c r="B8667">
        <f>0*(1-0.8198)</f>
        <v>0</v>
      </c>
      <c r="C8667" s="1">
        <v>2</v>
      </c>
    </row>
    <row r="8668" spans="1:3" x14ac:dyDescent="0.3">
      <c r="A8668" t="s">
        <v>8667</v>
      </c>
      <c r="B8668">
        <f>0*(1-0.8198)</f>
        <v>0</v>
      </c>
      <c r="C8668" s="1">
        <v>2</v>
      </c>
    </row>
    <row r="8669" spans="1:3" x14ac:dyDescent="0.3">
      <c r="A8669" t="s">
        <v>8668</v>
      </c>
      <c r="B8669">
        <f>0*(1-0.8198)</f>
        <v>0</v>
      </c>
      <c r="C8669" s="1">
        <v>2</v>
      </c>
    </row>
    <row r="8670" spans="1:3" x14ac:dyDescent="0.3">
      <c r="A8670" t="s">
        <v>8669</v>
      </c>
      <c r="B8670">
        <f>0*(1-0.8198)</f>
        <v>0</v>
      </c>
      <c r="C8670" s="1">
        <v>2</v>
      </c>
    </row>
    <row r="8671" spans="1:3" x14ac:dyDescent="0.3">
      <c r="A8671" t="s">
        <v>8670</v>
      </c>
      <c r="B8671">
        <f>0*(1-0.8198)</f>
        <v>0</v>
      </c>
      <c r="C8671" s="1">
        <v>2</v>
      </c>
    </row>
    <row r="8672" spans="1:3" x14ac:dyDescent="0.3">
      <c r="A8672" t="s">
        <v>8671</v>
      </c>
      <c r="B8672">
        <f>0*(1-0.8198)</f>
        <v>0</v>
      </c>
      <c r="C8672" s="1">
        <v>2</v>
      </c>
    </row>
    <row r="8673" spans="1:3" x14ac:dyDescent="0.3">
      <c r="A8673" t="s">
        <v>8672</v>
      </c>
      <c r="B8673">
        <f>0*(1-0.8198)</f>
        <v>0</v>
      </c>
      <c r="C8673" s="1">
        <v>2</v>
      </c>
    </row>
    <row r="8674" spans="1:3" x14ac:dyDescent="0.3">
      <c r="A8674" t="s">
        <v>8673</v>
      </c>
      <c r="B8674">
        <f>2.81247704285714*(1-0.8198)</f>
        <v>0.50680836312285726</v>
      </c>
      <c r="C8674" s="1">
        <v>2</v>
      </c>
    </row>
    <row r="8675" spans="1:3" x14ac:dyDescent="0.3">
      <c r="A8675" t="s">
        <v>8674</v>
      </c>
      <c r="B8675">
        <f>5.85065924285714*(1-0.8198)</f>
        <v>1.0542887955628575</v>
      </c>
      <c r="C8675" s="1">
        <v>2</v>
      </c>
    </row>
    <row r="8676" spans="1:3" x14ac:dyDescent="0.3">
      <c r="A8676" t="s">
        <v>8675</v>
      </c>
      <c r="B8676">
        <f>8.51895691714286*(1-0.8198)</f>
        <v>1.535116036469143</v>
      </c>
      <c r="C8676" s="1">
        <v>2</v>
      </c>
    </row>
    <row r="8677" spans="1:3" x14ac:dyDescent="0.3">
      <c r="A8677" t="s">
        <v>8676</v>
      </c>
      <c r="B8677">
        <f>19.0309092857143*(1-0.8198)</f>
        <v>3.4293698532857149</v>
      </c>
      <c r="C8677" s="1">
        <v>2</v>
      </c>
    </row>
    <row r="8678" spans="1:3" x14ac:dyDescent="0.3">
      <c r="A8678" t="s">
        <v>8677</v>
      </c>
      <c r="B8678">
        <f>19.6432176142857*(1-0.8198)</f>
        <v>3.5397078140942861</v>
      </c>
      <c r="C8678" s="1">
        <v>2</v>
      </c>
    </row>
    <row r="8679" spans="1:3" x14ac:dyDescent="0.3">
      <c r="A8679" t="s">
        <v>8678</v>
      </c>
      <c r="B8679">
        <f>14.31063822*(1-0.8198)</f>
        <v>2.5787770072440006</v>
      </c>
      <c r="C8679" s="1">
        <v>2</v>
      </c>
    </row>
    <row r="8680" spans="1:3" x14ac:dyDescent="0.3">
      <c r="A8680" t="s">
        <v>8679</v>
      </c>
      <c r="B8680">
        <f>8.45371369285714*(1-0.8198)</f>
        <v>1.5233592074528577</v>
      </c>
      <c r="C8680" s="1">
        <v>2</v>
      </c>
    </row>
    <row r="8681" spans="1:3" x14ac:dyDescent="0.3">
      <c r="A8681" t="s">
        <v>8680</v>
      </c>
      <c r="B8681">
        <f>4.50233238428572*(1-0.8198)</f>
        <v>0.81132029564828601</v>
      </c>
      <c r="C8681" s="1">
        <v>2</v>
      </c>
    </row>
    <row r="8682" spans="1:3" x14ac:dyDescent="0.3">
      <c r="A8682" t="s">
        <v>8681</v>
      </c>
      <c r="B8682">
        <f>0.1548*(1-0.8198)</f>
        <v>2.7894960000000007E-2</v>
      </c>
      <c r="C8682" s="1">
        <v>2</v>
      </c>
    </row>
    <row r="8683" spans="1:3" x14ac:dyDescent="0.3">
      <c r="A8683" t="s">
        <v>8682</v>
      </c>
      <c r="B8683">
        <f>0*(1-0.8198)</f>
        <v>0</v>
      </c>
      <c r="C8683" s="1">
        <v>2</v>
      </c>
    </row>
    <row r="8684" spans="1:3" x14ac:dyDescent="0.3">
      <c r="A8684" t="s">
        <v>8683</v>
      </c>
      <c r="B8684">
        <f>0*(1-0.8198)</f>
        <v>0</v>
      </c>
      <c r="C8684" s="1">
        <v>2</v>
      </c>
    </row>
    <row r="8685" spans="1:3" x14ac:dyDescent="0.3">
      <c r="A8685" t="s">
        <v>8684</v>
      </c>
      <c r="B8685">
        <f>0*(1-0.8198)</f>
        <v>0</v>
      </c>
      <c r="C8685" s="1">
        <v>2</v>
      </c>
    </row>
    <row r="8686" spans="1:3" x14ac:dyDescent="0.3">
      <c r="A8686" t="s">
        <v>8685</v>
      </c>
      <c r="B8686">
        <f>0*(1-0.8198)</f>
        <v>0</v>
      </c>
      <c r="C8686" s="1">
        <v>2</v>
      </c>
    </row>
    <row r="8687" spans="1:3" x14ac:dyDescent="0.3">
      <c r="A8687" t="s">
        <v>8686</v>
      </c>
      <c r="B8687">
        <f>0*(1-0.8198)</f>
        <v>0</v>
      </c>
      <c r="C8687" s="1">
        <v>2</v>
      </c>
    </row>
    <row r="8688" spans="1:3" x14ac:dyDescent="0.3">
      <c r="A8688" t="s">
        <v>8687</v>
      </c>
      <c r="B8688">
        <f>0*(1-0.8198)</f>
        <v>0</v>
      </c>
      <c r="C8688" s="1">
        <v>2</v>
      </c>
    </row>
    <row r="8689" spans="1:3" x14ac:dyDescent="0.3">
      <c r="A8689" t="s">
        <v>8688</v>
      </c>
      <c r="B8689">
        <f>0*(1-0.8198)</f>
        <v>0</v>
      </c>
      <c r="C8689" s="1">
        <v>2</v>
      </c>
    </row>
    <row r="8690" spans="1:3" x14ac:dyDescent="0.3">
      <c r="A8690" t="s">
        <v>8689</v>
      </c>
      <c r="B8690">
        <f>0*(1-0.8198)</f>
        <v>0</v>
      </c>
      <c r="C8690" s="1">
        <v>2</v>
      </c>
    </row>
    <row r="8691" spans="1:3" x14ac:dyDescent="0.3">
      <c r="A8691" t="s">
        <v>8690</v>
      </c>
      <c r="B8691">
        <f>0*(1-0.8198)</f>
        <v>0</v>
      </c>
      <c r="C8691" s="1">
        <v>2</v>
      </c>
    </row>
    <row r="8692" spans="1:3" x14ac:dyDescent="0.3">
      <c r="A8692" t="s">
        <v>8691</v>
      </c>
      <c r="B8692">
        <f>0*(1-0.8198)</f>
        <v>0</v>
      </c>
      <c r="C8692" s="1">
        <v>2</v>
      </c>
    </row>
    <row r="8693" spans="1:3" x14ac:dyDescent="0.3">
      <c r="A8693" t="s">
        <v>8692</v>
      </c>
      <c r="B8693">
        <f>0*(1-0.8198)</f>
        <v>0</v>
      </c>
      <c r="C8693" s="1">
        <v>2</v>
      </c>
    </row>
    <row r="8694" spans="1:3" x14ac:dyDescent="0.3">
      <c r="A8694" t="s">
        <v>8693</v>
      </c>
      <c r="B8694">
        <f>0*(1-0.8198)</f>
        <v>0</v>
      </c>
      <c r="C8694" s="1">
        <v>2</v>
      </c>
    </row>
    <row r="8695" spans="1:3" x14ac:dyDescent="0.3">
      <c r="A8695" t="s">
        <v>8694</v>
      </c>
      <c r="B8695">
        <f>0*(1-0.8198)</f>
        <v>0</v>
      </c>
      <c r="C8695" s="1">
        <v>2</v>
      </c>
    </row>
    <row r="8696" spans="1:3" x14ac:dyDescent="0.3">
      <c r="A8696" t="s">
        <v>8695</v>
      </c>
      <c r="B8696">
        <f>0*(1-0.8198)</f>
        <v>0</v>
      </c>
      <c r="C8696" s="1">
        <v>2</v>
      </c>
    </row>
    <row r="8697" spans="1:3" x14ac:dyDescent="0.3">
      <c r="A8697" t="s">
        <v>8696</v>
      </c>
      <c r="B8697">
        <f>0*(1-0.8198)</f>
        <v>0</v>
      </c>
      <c r="C8697" s="1">
        <v>2</v>
      </c>
    </row>
    <row r="8698" spans="1:3" x14ac:dyDescent="0.3">
      <c r="A8698" t="s">
        <v>8697</v>
      </c>
      <c r="B8698">
        <f>2.41325417*(1-0.8198)</f>
        <v>0.43486840143400002</v>
      </c>
      <c r="C8698" s="1">
        <v>2</v>
      </c>
    </row>
    <row r="8699" spans="1:3" x14ac:dyDescent="0.3">
      <c r="A8699" t="s">
        <v>8698</v>
      </c>
      <c r="B8699">
        <f>8.34970265142857*(1-0.8198)</f>
        <v>1.5046164177874288</v>
      </c>
      <c r="C8699" s="1">
        <v>2</v>
      </c>
    </row>
    <row r="8700" spans="1:3" x14ac:dyDescent="0.3">
      <c r="A8700" t="s">
        <v>8699</v>
      </c>
      <c r="B8700">
        <f>20.2559631914286*(1-0.8198)</f>
        <v>3.6501245670954297</v>
      </c>
      <c r="C8700" s="1">
        <v>1</v>
      </c>
    </row>
    <row r="8701" spans="1:3" x14ac:dyDescent="0.3">
      <c r="A8701" t="s">
        <v>8700</v>
      </c>
      <c r="B8701">
        <f>22.8990738*(1-0.8198)</f>
        <v>4.1264130987600005</v>
      </c>
      <c r="C8701" s="1">
        <v>3</v>
      </c>
    </row>
    <row r="8702" spans="1:3" x14ac:dyDescent="0.3">
      <c r="A8702" t="s">
        <v>8701</v>
      </c>
      <c r="B8702">
        <f>23.5193553728571*(1-0.8198)</f>
        <v>4.2381878381888578</v>
      </c>
      <c r="C8702" s="1">
        <v>1</v>
      </c>
    </row>
    <row r="8703" spans="1:3" x14ac:dyDescent="0.3">
      <c r="A8703" t="s">
        <v>8702</v>
      </c>
      <c r="B8703">
        <f>10.5916249185714*(1-0.8198)</f>
        <v>1.9086108103265715</v>
      </c>
      <c r="C8703" s="1">
        <v>2</v>
      </c>
    </row>
    <row r="8704" spans="1:3" x14ac:dyDescent="0.3">
      <c r="A8704" t="s">
        <v>8703</v>
      </c>
      <c r="B8704">
        <f>9.60118165428571*(1-0.8198)</f>
        <v>1.730132934102286</v>
      </c>
      <c r="C8704" s="1">
        <v>2</v>
      </c>
    </row>
    <row r="8705" spans="1:3" x14ac:dyDescent="0.3">
      <c r="A8705" t="s">
        <v>8704</v>
      </c>
      <c r="B8705">
        <f>5.05578010142857*(1-0.8198)</f>
        <v>0.91105157427742889</v>
      </c>
      <c r="C8705" s="1">
        <v>2</v>
      </c>
    </row>
    <row r="8706" spans="1:3" x14ac:dyDescent="0.3">
      <c r="A8706" t="s">
        <v>8705</v>
      </c>
      <c r="B8706">
        <f>0.11438*(1-0.8198)</f>
        <v>2.0611276000000001E-2</v>
      </c>
      <c r="C8706" s="1">
        <v>2</v>
      </c>
    </row>
    <row r="8707" spans="1:3" x14ac:dyDescent="0.3">
      <c r="A8707" t="s">
        <v>8706</v>
      </c>
      <c r="B8707">
        <f>0*(1-0.8198)</f>
        <v>0</v>
      </c>
      <c r="C8707" s="1">
        <v>2</v>
      </c>
    </row>
    <row r="8708" spans="1:3" x14ac:dyDescent="0.3">
      <c r="A8708" t="s">
        <v>8707</v>
      </c>
      <c r="B8708">
        <f>0*(1-0.8198)</f>
        <v>0</v>
      </c>
      <c r="C8708" s="1">
        <v>2</v>
      </c>
    </row>
    <row r="8709" spans="1:3" x14ac:dyDescent="0.3">
      <c r="A8709" t="s">
        <v>8708</v>
      </c>
      <c r="B8709">
        <f>0*(1-0.8198)</f>
        <v>0</v>
      </c>
      <c r="C8709" s="1">
        <v>2</v>
      </c>
    </row>
    <row r="8710" spans="1:3" x14ac:dyDescent="0.3">
      <c r="A8710" t="s">
        <v>8709</v>
      </c>
      <c r="B8710">
        <f>0*(1-0.8198)</f>
        <v>0</v>
      </c>
      <c r="C8710" s="1">
        <v>2</v>
      </c>
    </row>
    <row r="8711" spans="1:3" x14ac:dyDescent="0.3">
      <c r="A8711" t="s">
        <v>8710</v>
      </c>
      <c r="B8711">
        <f>0*(1-0.8198)</f>
        <v>0</v>
      </c>
      <c r="C8711" s="1">
        <v>2</v>
      </c>
    </row>
    <row r="8712" spans="1:3" x14ac:dyDescent="0.3">
      <c r="A8712" t="s">
        <v>8711</v>
      </c>
      <c r="B8712">
        <f>0*(1-0.8198)</f>
        <v>0</v>
      </c>
      <c r="C8712" s="1">
        <v>2</v>
      </c>
    </row>
    <row r="8713" spans="1:3" x14ac:dyDescent="0.3">
      <c r="A8713" t="s">
        <v>8712</v>
      </c>
      <c r="B8713">
        <f>0*(1-0.8198)</f>
        <v>0</v>
      </c>
      <c r="C8713" s="1">
        <v>2</v>
      </c>
    </row>
    <row r="8714" spans="1:3" x14ac:dyDescent="0.3">
      <c r="A8714" t="s">
        <v>8713</v>
      </c>
      <c r="B8714">
        <f>0*(1-0.8198)</f>
        <v>0</v>
      </c>
      <c r="C8714" s="1">
        <v>2</v>
      </c>
    </row>
    <row r="8715" spans="1:3" x14ac:dyDescent="0.3">
      <c r="A8715" t="s">
        <v>8714</v>
      </c>
      <c r="B8715">
        <f>0*(1-0.8198)</f>
        <v>0</v>
      </c>
      <c r="C8715" s="1">
        <v>2</v>
      </c>
    </row>
    <row r="8716" spans="1:3" x14ac:dyDescent="0.3">
      <c r="A8716" t="s">
        <v>8715</v>
      </c>
      <c r="B8716">
        <f>0*(1-0.8198)</f>
        <v>0</v>
      </c>
      <c r="C8716" s="1">
        <v>2</v>
      </c>
    </row>
    <row r="8717" spans="1:3" x14ac:dyDescent="0.3">
      <c r="A8717" t="s">
        <v>8716</v>
      </c>
      <c r="B8717">
        <f>0*(1-0.8198)</f>
        <v>0</v>
      </c>
      <c r="C8717" s="1">
        <v>2</v>
      </c>
    </row>
    <row r="8718" spans="1:3" x14ac:dyDescent="0.3">
      <c r="A8718" t="s">
        <v>8717</v>
      </c>
      <c r="B8718">
        <f>0*(1-0.8198)</f>
        <v>0</v>
      </c>
      <c r="C8718" s="1">
        <v>2</v>
      </c>
    </row>
    <row r="8719" spans="1:3" x14ac:dyDescent="0.3">
      <c r="A8719" t="s">
        <v>8718</v>
      </c>
      <c r="B8719">
        <f>0*(1-0.8198)</f>
        <v>0</v>
      </c>
      <c r="C8719" s="1">
        <v>2</v>
      </c>
    </row>
    <row r="8720" spans="1:3" x14ac:dyDescent="0.3">
      <c r="A8720" t="s">
        <v>8719</v>
      </c>
      <c r="B8720">
        <f>0*(1-0.8198)</f>
        <v>0</v>
      </c>
      <c r="C8720" s="1">
        <v>4</v>
      </c>
    </row>
    <row r="8721" spans="1:3" x14ac:dyDescent="0.3">
      <c r="A8721" t="s">
        <v>8720</v>
      </c>
      <c r="B8721">
        <f>0*(1-0.8198)</f>
        <v>0</v>
      </c>
      <c r="C8721" s="1">
        <v>4</v>
      </c>
    </row>
    <row r="8722" spans="1:3" x14ac:dyDescent="0.3">
      <c r="A8722" t="s">
        <v>8721</v>
      </c>
      <c r="B8722">
        <f>7.83151831285714*(1-0.8198)</f>
        <v>1.4112395999768574</v>
      </c>
      <c r="C8722" s="1">
        <v>4</v>
      </c>
    </row>
    <row r="8723" spans="1:3" x14ac:dyDescent="0.3">
      <c r="A8723" t="s">
        <v>8722</v>
      </c>
      <c r="B8723">
        <f>16.8678476671429*(1-0.8198)</f>
        <v>3.0395861496191432</v>
      </c>
      <c r="C8723" s="1">
        <v>4</v>
      </c>
    </row>
    <row r="8724" spans="1:3" x14ac:dyDescent="0.3">
      <c r="A8724" t="s">
        <v>8723</v>
      </c>
      <c r="B8724">
        <f>26.2404456214286*(1-0.8198)</f>
        <v>4.7285283009814298</v>
      </c>
      <c r="C8724" s="1">
        <v>3</v>
      </c>
    </row>
    <row r="8725" spans="1:3" x14ac:dyDescent="0.3">
      <c r="A8725" t="s">
        <v>8724</v>
      </c>
      <c r="B8725">
        <f>30.4684505985714*(1-0.8198)</f>
        <v>5.4904147978625719</v>
      </c>
      <c r="C8725" s="1">
        <v>4</v>
      </c>
    </row>
    <row r="8726" spans="1:3" x14ac:dyDescent="0.3">
      <c r="A8726" t="s">
        <v>8725</v>
      </c>
      <c r="B8726">
        <f>30.9355013642857*(1-0.8198)</f>
        <v>5.5745773458442871</v>
      </c>
      <c r="C8726" s="1">
        <v>4</v>
      </c>
    </row>
    <row r="8727" spans="1:3" x14ac:dyDescent="0.3">
      <c r="A8727" t="s">
        <v>8726</v>
      </c>
      <c r="B8727">
        <f>27.2566718085714*(1-0.8198)</f>
        <v>4.9116522599045727</v>
      </c>
      <c r="C8727" s="1">
        <v>3</v>
      </c>
    </row>
    <row r="8728" spans="1:3" x14ac:dyDescent="0.3">
      <c r="A8728" t="s">
        <v>8727</v>
      </c>
      <c r="B8728">
        <f>19.0682752414286*(1-0.8198)</f>
        <v>3.4361031985054287</v>
      </c>
      <c r="C8728" s="1">
        <v>2</v>
      </c>
    </row>
    <row r="8729" spans="1:3" x14ac:dyDescent="0.3">
      <c r="A8729" t="s">
        <v>8728</v>
      </c>
      <c r="B8729">
        <f>8.89350405571429*(1-0.8198)</f>
        <v>1.602609430839715</v>
      </c>
      <c r="C8729" s="1">
        <v>2</v>
      </c>
    </row>
    <row r="8730" spans="1:3" x14ac:dyDescent="0.3">
      <c r="A8730" t="s">
        <v>8729</v>
      </c>
      <c r="B8730">
        <f>0.24252*(1-0.8198)</f>
        <v>4.3702104000000006E-2</v>
      </c>
      <c r="C8730" s="1">
        <v>2</v>
      </c>
    </row>
    <row r="8731" spans="1:3" x14ac:dyDescent="0.3">
      <c r="A8731" t="s">
        <v>8730</v>
      </c>
      <c r="B8731">
        <f>0*(1-0.8198)</f>
        <v>0</v>
      </c>
      <c r="C8731" s="1">
        <v>2</v>
      </c>
    </row>
    <row r="8732" spans="1:3" x14ac:dyDescent="0.3">
      <c r="A8732" t="s">
        <v>8731</v>
      </c>
      <c r="B8732">
        <f>0*(1-0.8198)</f>
        <v>0</v>
      </c>
      <c r="C8732" s="1">
        <v>2</v>
      </c>
    </row>
    <row r="8733" spans="1:3" x14ac:dyDescent="0.3">
      <c r="A8733" t="s">
        <v>8732</v>
      </c>
      <c r="B8733">
        <f>0*(1-0.8198)</f>
        <v>0</v>
      </c>
      <c r="C8733" s="1">
        <v>2</v>
      </c>
    </row>
    <row r="8734" spans="1:3" x14ac:dyDescent="0.3">
      <c r="A8734" t="s">
        <v>8733</v>
      </c>
      <c r="B8734">
        <f>0*(1-0.8198)</f>
        <v>0</v>
      </c>
      <c r="C8734" s="1">
        <v>2</v>
      </c>
    </row>
    <row r="8735" spans="1:3" x14ac:dyDescent="0.3">
      <c r="A8735" t="s">
        <v>8734</v>
      </c>
      <c r="B8735">
        <f>0*(1-0.8198)</f>
        <v>0</v>
      </c>
      <c r="C8735" s="1">
        <v>2</v>
      </c>
    </row>
    <row r="8736" spans="1:3" x14ac:dyDescent="0.3">
      <c r="A8736" t="s">
        <v>8735</v>
      </c>
      <c r="B8736">
        <f>0*(1-0.8198)</f>
        <v>0</v>
      </c>
      <c r="C8736" s="1">
        <v>2</v>
      </c>
    </row>
    <row r="8737" spans="1:3" x14ac:dyDescent="0.3">
      <c r="A8737" t="s">
        <v>8736</v>
      </c>
      <c r="B8737">
        <f>0*(1-0.8198)</f>
        <v>0</v>
      </c>
      <c r="C8737" s="1">
        <v>2</v>
      </c>
    </row>
    <row r="8738" spans="1:3" x14ac:dyDescent="0.3">
      <c r="A8738" t="s">
        <v>8737</v>
      </c>
      <c r="B8738">
        <f>0*(1-0.8198)</f>
        <v>0</v>
      </c>
      <c r="C8738" s="1">
        <v>2</v>
      </c>
    </row>
    <row r="8739" spans="1:3" x14ac:dyDescent="0.3">
      <c r="A8739" t="s">
        <v>8738</v>
      </c>
      <c r="B8739">
        <f>0*(1-0.8198)</f>
        <v>0</v>
      </c>
      <c r="C8739" s="1">
        <v>2</v>
      </c>
    </row>
    <row r="8740" spans="1:3" x14ac:dyDescent="0.3">
      <c r="A8740" t="s">
        <v>8739</v>
      </c>
      <c r="B8740">
        <f>0*(1-0.8198)</f>
        <v>0</v>
      </c>
      <c r="C8740" s="1">
        <v>2</v>
      </c>
    </row>
    <row r="8741" spans="1:3" x14ac:dyDescent="0.3">
      <c r="A8741" t="s">
        <v>8740</v>
      </c>
      <c r="B8741">
        <f>0*(1-0.8198)</f>
        <v>0</v>
      </c>
      <c r="C8741" s="1">
        <v>2</v>
      </c>
    </row>
    <row r="8742" spans="1:3" x14ac:dyDescent="0.3">
      <c r="A8742" t="s">
        <v>8741</v>
      </c>
      <c r="B8742">
        <f>0*(1-0.8198)</f>
        <v>0</v>
      </c>
      <c r="C8742" s="1">
        <v>2</v>
      </c>
    </row>
    <row r="8743" spans="1:3" x14ac:dyDescent="0.3">
      <c r="A8743" t="s">
        <v>8742</v>
      </c>
      <c r="B8743">
        <f>0*(1-0.8198)</f>
        <v>0</v>
      </c>
      <c r="C8743" s="1">
        <v>2</v>
      </c>
    </row>
    <row r="8744" spans="1:3" x14ac:dyDescent="0.3">
      <c r="A8744" t="s">
        <v>8743</v>
      </c>
      <c r="B8744">
        <f>0*(1-0.8198)</f>
        <v>0</v>
      </c>
      <c r="C8744" s="1">
        <v>4</v>
      </c>
    </row>
    <row r="8745" spans="1:3" x14ac:dyDescent="0.3">
      <c r="A8745" t="s">
        <v>8744</v>
      </c>
      <c r="B8745">
        <f>0*(1-0.8198)</f>
        <v>0</v>
      </c>
      <c r="C8745" s="1">
        <v>4</v>
      </c>
    </row>
    <row r="8746" spans="1:3" x14ac:dyDescent="0.3">
      <c r="A8746" t="s">
        <v>8745</v>
      </c>
      <c r="B8746">
        <f>5.83729859*(1-0.8198)</f>
        <v>1.0518812059180001</v>
      </c>
      <c r="C8746" s="1">
        <v>5</v>
      </c>
    </row>
    <row r="8747" spans="1:3" x14ac:dyDescent="0.3">
      <c r="A8747" t="s">
        <v>8746</v>
      </c>
      <c r="B8747">
        <f>13.5910514028571*(1-0.8198)</f>
        <v>2.4491074627948581</v>
      </c>
      <c r="C8747" s="1">
        <v>3</v>
      </c>
    </row>
    <row r="8748" spans="1:3" x14ac:dyDescent="0.3">
      <c r="A8748" t="s">
        <v>8747</v>
      </c>
      <c r="B8748">
        <f>25.5847181657143*(1-0.8198)</f>
        <v>4.6103662134617149</v>
      </c>
      <c r="C8748" s="1">
        <v>4</v>
      </c>
    </row>
    <row r="8749" spans="1:3" x14ac:dyDescent="0.3">
      <c r="A8749" t="s">
        <v>8748</v>
      </c>
      <c r="B8749">
        <f>28.2719391571429*(1-0.8198)</f>
        <v>5.0946034361171444</v>
      </c>
      <c r="C8749" s="1">
        <v>3</v>
      </c>
    </row>
    <row r="8750" spans="1:3" x14ac:dyDescent="0.3">
      <c r="A8750" t="s">
        <v>8749</v>
      </c>
      <c r="B8750">
        <f>28.0038182471429*(1-0.8198)</f>
        <v>5.0462880481351444</v>
      </c>
      <c r="C8750" s="1">
        <v>4</v>
      </c>
    </row>
    <row r="8751" spans="1:3" x14ac:dyDescent="0.3">
      <c r="A8751" t="s">
        <v>8750</v>
      </c>
      <c r="B8751">
        <f>14.1042514885714*(1-0.8198)</f>
        <v>2.5415861182405717</v>
      </c>
      <c r="C8751" s="1">
        <v>3</v>
      </c>
    </row>
    <row r="8752" spans="1:3" x14ac:dyDescent="0.3">
      <c r="A8752" t="s">
        <v>8751</v>
      </c>
      <c r="B8752">
        <f>10.3619014114286*(1-0.8198)</f>
        <v>1.8672146343394291</v>
      </c>
      <c r="C8752" s="1">
        <v>2</v>
      </c>
    </row>
    <row r="8753" spans="1:3" x14ac:dyDescent="0.3">
      <c r="A8753" t="s">
        <v>8752</v>
      </c>
      <c r="B8753">
        <f>9.18093067571429*(1-0.8198)</f>
        <v>1.6544037077637146</v>
      </c>
      <c r="C8753" s="1">
        <v>2</v>
      </c>
    </row>
    <row r="8754" spans="1:3" x14ac:dyDescent="0.3">
      <c r="A8754" t="s">
        <v>8753</v>
      </c>
      <c r="B8754">
        <f>0.19608*(1-0.8198)</f>
        <v>3.5333616000000005E-2</v>
      </c>
      <c r="C8754" s="1">
        <v>2</v>
      </c>
    </row>
    <row r="8755" spans="1:3" x14ac:dyDescent="0.3">
      <c r="A8755" t="s">
        <v>8754</v>
      </c>
      <c r="B8755">
        <f>0*(1-0.8198)</f>
        <v>0</v>
      </c>
      <c r="C8755" s="1">
        <v>2</v>
      </c>
    </row>
    <row r="8756" spans="1:3" x14ac:dyDescent="0.3">
      <c r="A8756" t="s">
        <v>8755</v>
      </c>
      <c r="B8756">
        <f>0*(1-0.8198)</f>
        <v>0</v>
      </c>
      <c r="C8756" s="1">
        <v>2</v>
      </c>
    </row>
    <row r="8757" spans="1:3" x14ac:dyDescent="0.3">
      <c r="A8757" t="s">
        <v>8756</v>
      </c>
      <c r="B8757">
        <f>0*(1-0.8198)</f>
        <v>0</v>
      </c>
      <c r="C8757" s="1">
        <v>2</v>
      </c>
    </row>
    <row r="8758" spans="1:3" x14ac:dyDescent="0.3">
      <c r="A8758" t="s">
        <v>8757</v>
      </c>
      <c r="B8758">
        <f>0*(1-0.8198)</f>
        <v>0</v>
      </c>
      <c r="C8758" s="1">
        <v>2</v>
      </c>
    </row>
    <row r="8759" spans="1:3" x14ac:dyDescent="0.3">
      <c r="A8759" t="s">
        <v>8758</v>
      </c>
      <c r="B8759">
        <f>0*(1-0.8198)</f>
        <v>0</v>
      </c>
      <c r="C8759" s="1">
        <v>2</v>
      </c>
    </row>
    <row r="8760" spans="1:3" x14ac:dyDescent="0.3">
      <c r="A8760" t="s">
        <v>8759</v>
      </c>
      <c r="B8760">
        <f>0*(1-0.8198)</f>
        <v>0</v>
      </c>
      <c r="C8760" s="1">
        <v>2</v>
      </c>
    </row>
    <row r="8761" spans="1:3" x14ac:dyDescent="0.3">
      <c r="A8761" t="s">
        <v>8760</v>
      </c>
      <c r="B8761">
        <f>0*(1-0.8198)</f>
        <v>0</v>
      </c>
      <c r="C876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Madrigal Ballestero</dc:creator>
  <cp:lastModifiedBy>Sebastián Madrigal Ballestero</cp:lastModifiedBy>
  <dcterms:created xsi:type="dcterms:W3CDTF">2025-04-04T08:45:14Z</dcterms:created>
  <dcterms:modified xsi:type="dcterms:W3CDTF">2025-11-27T01:36:46Z</dcterms:modified>
</cp:coreProperties>
</file>